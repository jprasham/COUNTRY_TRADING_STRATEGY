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6706593E-11C8-4200-8778-EC3F96D9CF14}" xr6:coauthVersionLast="47" xr6:coauthVersionMax="47" xr10:uidLastSave="{00000000-0000-0000-0000-000000000000}"/>
  <bookViews>
    <workbookView xWindow="25620" yWindow="-98" windowWidth="22140" windowHeight="11821" firstSheet="1" activeTab="2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A2" i="6" a="1"/>
  <c r="S2" i="6" a="1"/>
  <c r="C2" i="6" a="1"/>
  <c r="AD2" i="1" a="1"/>
  <c r="V2" i="1" a="1"/>
  <c r="AB2" i="6" a="1"/>
  <c r="D2" i="6" a="1"/>
  <c r="AI2" i="6" a="1"/>
  <c r="K2" i="6" a="1"/>
  <c r="N2" i="1" a="1"/>
  <c r="F2" i="1" a="1"/>
  <c r="Q2" i="1" a="1"/>
  <c r="A2" i="1" a="1"/>
  <c r="U2" i="6" a="1"/>
  <c r="H2" i="1" a="1"/>
  <c r="T2" i="6" a="1"/>
  <c r="W2" i="1" a="1"/>
  <c r="O2" i="1" a="1"/>
  <c r="G2" i="1" a="1"/>
  <c r="Z2" i="6" a="1"/>
  <c r="R2" i="6" a="1"/>
  <c r="J2" i="6" a="1"/>
  <c r="B2" i="6" a="1"/>
  <c r="AC2" i="1" a="1"/>
  <c r="M2" i="1" a="1"/>
  <c r="E2" i="1" a="1"/>
  <c r="A2" i="6" a="1"/>
  <c r="L2" i="1" a="1"/>
  <c r="AF2" i="6" a="1"/>
  <c r="P2" i="6" a="1"/>
  <c r="AA2" i="1" a="1"/>
  <c r="W2" i="6" a="1"/>
  <c r="R2" i="1" a="1"/>
  <c r="B2" i="1" a="1"/>
  <c r="V2" i="6" a="1"/>
  <c r="AG2" i="1" a="1"/>
  <c r="I2" i="1" a="1"/>
  <c r="AC2" i="6" a="1"/>
  <c r="AF2" i="1" a="1"/>
  <c r="P2" i="1" a="1"/>
  <c r="L2" i="6" a="1"/>
  <c r="AE2" i="1" a="1"/>
  <c r="AH2" i="6" a="1"/>
  <c r="U2" i="1" a="1"/>
  <c r="K2" i="1" a="1"/>
  <c r="O2" i="6" a="1"/>
  <c r="N2" i="6" a="1"/>
  <c r="E2" i="6" a="1"/>
  <c r="T2" i="1" a="1"/>
  <c r="AI2" i="1" a="1"/>
  <c r="S2" i="1" a="1"/>
  <c r="AG2" i="6" a="1"/>
  <c r="Y2" i="6" a="1"/>
  <c r="Q2" i="6" a="1"/>
  <c r="I2" i="6" a="1"/>
  <c r="AB2" i="1" a="1"/>
  <c r="D2" i="1" a="1"/>
  <c r="X2" i="6" a="1"/>
  <c r="H2" i="6" a="1"/>
  <c r="C2" i="1" a="1"/>
  <c r="AE2" i="6" a="1"/>
  <c r="G2" i="6" a="1"/>
  <c r="AH2" i="1" a="1"/>
  <c r="Z2" i="1" a="1"/>
  <c r="J2" i="1" a="1"/>
  <c r="AD2" i="6" a="1"/>
  <c r="F2" i="6" a="1"/>
  <c r="Y2" i="1" a="1"/>
  <c r="M2" i="6" a="1"/>
  <c r="X2" i="1" a="1"/>
  <c r="X2" i="1" l="1"/>
  <c r="M2" i="6"/>
  <c r="Y2" i="1"/>
  <c r="F2" i="6"/>
  <c r="AD2" i="6"/>
  <c r="J2" i="1"/>
  <c r="Z2" i="1"/>
  <c r="AH2" i="1"/>
  <c r="G2" i="6"/>
  <c r="AE2" i="6"/>
  <c r="C2" i="1"/>
  <c r="H2" i="6"/>
  <c r="X2" i="6"/>
  <c r="D2" i="1"/>
  <c r="AB2" i="1"/>
  <c r="I2" i="6"/>
  <c r="Q2" i="6"/>
  <c r="Y2" i="6"/>
  <c r="AG2" i="6"/>
  <c r="S2" i="1"/>
  <c r="AI2" i="1"/>
  <c r="T2" i="1"/>
  <c r="E2" i="6"/>
  <c r="N2" i="6"/>
  <c r="O2" i="6"/>
  <c r="K2" i="1"/>
  <c r="U2" i="1"/>
  <c r="AH2" i="6"/>
  <c r="AE2" i="1"/>
  <c r="AE68" i="1" s="1"/>
  <c r="L2" i="6"/>
  <c r="P2" i="1"/>
  <c r="AF2" i="1"/>
  <c r="AF68" i="1" s="1"/>
  <c r="AC2" i="6"/>
  <c r="I2" i="1"/>
  <c r="AG2" i="1"/>
  <c r="V2" i="6"/>
  <c r="B2" i="1"/>
  <c r="R2" i="1"/>
  <c r="W2" i="6"/>
  <c r="AA2" i="1"/>
  <c r="P2" i="6"/>
  <c r="AF2" i="6"/>
  <c r="L2" i="1"/>
  <c r="A2" i="6"/>
  <c r="E2" i="1"/>
  <c r="M2" i="1"/>
  <c r="AC2" i="1"/>
  <c r="AC68" i="1" s="1"/>
  <c r="B2" i="6"/>
  <c r="J2" i="6"/>
  <c r="R2" i="6"/>
  <c r="Z2" i="6"/>
  <c r="G2" i="1"/>
  <c r="O2" i="1"/>
  <c r="W2" i="1"/>
  <c r="T2" i="6"/>
  <c r="H2" i="1"/>
  <c r="U2" i="6"/>
  <c r="A2" i="1"/>
  <c r="Q2" i="1"/>
  <c r="F2" i="1"/>
  <c r="N2" i="1"/>
  <c r="K2" i="6"/>
  <c r="AI2" i="6"/>
  <c r="D2" i="6"/>
  <c r="AB2" i="6"/>
  <c r="V2" i="1"/>
  <c r="AD2" i="1"/>
  <c r="C2" i="6"/>
  <c r="S2" i="6"/>
  <c r="AA2" i="6"/>
  <c r="AA68" i="1"/>
  <c r="AB68" i="1"/>
  <c r="AI68" i="1"/>
  <c r="X68" i="1"/>
  <c r="Y68" i="1"/>
  <c r="AG68" i="1"/>
  <c r="Z68" i="1"/>
  <c r="W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D68" i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8C05464F-F4F9-4C82-964B-5E0777EFCB2C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Timestamp="1763707363"&gt;&lt;FQL&gt;&lt;Q&gt;EWJ^FG_PRICE(0,-200D)&lt;/Q&gt;&lt;R&gt;201&lt;/R&gt;&lt;C&gt;1&lt;/C&gt;&lt;D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xsi:type="xsd:double"&gt;72.02&lt;/D&gt;&lt;D xsi:type="xsd:double"&gt;71.74&lt;/D&gt;&lt;D xsi:type="xsd:double"&gt;70.77&lt;/D&gt;&lt;D xsi:type="xsd:double"&gt;70.28&lt;/D&gt;&lt;D xsi:type="xsd:double"&gt;69.48&lt;/D&gt;&lt;D xsi:type="xsd:double"&gt;69.27&lt;/D&gt;&lt;D xsi:type="xsd:double"&gt;67.92&lt;/D&gt;&lt;D xsi:type="xsd:double"&gt;68.07&lt;/D&gt;&lt;D xsi:type="xsd:double"&gt;66.78&lt;/D&gt;&lt;D xsi:type="xsd:double"&gt;67.44&lt;/D&gt;&lt;D xsi:type="xsd:double"&gt;66.9&lt;/D&gt;&lt;D xsi:type="xsd:double"&gt;65.82&lt;/D&gt;&lt;D xsi:type="xsd:double"&gt;64.22&lt;/D&gt;&lt;D xsi:type="xsd:double"&gt;66.34&lt;/D&gt;&lt;D xsi:type="xsd:double"&gt;61.65&lt;/D&gt;&lt;D xsi:type="xsd:double"&gt;61.32&lt;/D&gt;&lt;D xsi:type="xsd:double"&gt;61.51&lt;/D&gt;&lt;D xsi:type="xsd:double"&gt;65.41&lt;/D&gt;&lt;D xsi:type="xsd:double"&gt;68.22&lt;/D&gt;&lt;D xsi:type="xsd:double"&gt;68.2&lt;/D&gt;&lt;D xsi:type="xsd:double"&gt;68.56&lt;/D&gt;&lt;D xsi:type="xsd:double"&gt;69.22&lt;/D&gt;&lt;D xsi:type="xsd:double"&gt;70.65&lt;/D&gt;&lt;D xsi:type="xsd:double"&gt;70.75&lt;/D&gt;&lt;D xsi:type="xsd:double"&gt;71.68&lt;/D&gt;&lt;D xsi:type="xsd:double"&gt;71.17&lt;/D&gt;&lt;D xsi:type="xsd:double"&gt;71.33&lt;/D&gt;&lt;D xsi:type="xsd:double"&gt;71.32&lt;/D&gt;&lt;D xsi:type="xsd:double"&gt;71.7&lt;/D&gt;&lt;D xsi:type="xsd:double"&gt;70.89&lt;/D&gt;&lt;D xsi:type="xsd:double"&gt;71.09&lt;/D&gt;&lt;D xsi:type="xsd:double"&gt;70.35&lt;/D&gt;&lt;D xsi:type="xsd:double"&gt;69.26&lt;/D&gt;&lt;D xsi:type="xsd:double"&gt;69.52&lt;/D&gt;&lt;D xsi:type="xsd:double"&gt;68.26&lt;/D&gt;&lt;D xsi:type="xsd:double"&gt;68.68&lt;/D&gt;&lt;D xsi:type="xsd:double"&gt;70.17&lt;/D&gt;&lt;D xsi:type="xsd:double"&gt;69.61&lt;/D&gt;&lt;D xsi:type="xsd:double"&gt;70.15&lt;/D&gt;&lt;D xsi:type="xsd:double"&gt;68.64&lt;/D&gt;&lt;D xsi:type="xsd:double"&gt;69.21&lt;/D&gt;&lt;D xsi:type="xsd:double"&gt;68.47&lt;/D&gt;&lt;D xsi:type="xsd:double"&gt;69&lt;/D&gt;&lt;D xsi:type="xsd:double"&gt;69.51&lt;/D&gt;&lt;D xsi:type="xsd:double"&gt;69.47&lt;/D&gt;&lt;D xsi:type="xsd:double"&gt;68.78&lt;/D&gt;&lt;D xsi:type="xsd:double"&gt;69.09&lt;/D&gt;&lt;D xsi:type="xsd:double"&gt;69.71&lt;/D&gt;&lt;D xsi:type="xsd:double"&gt;69.62&lt;/D&gt;&lt;D xsi:type="xsd:double"&gt;70.1&lt;/D&gt;&lt;D xsi:type="xsd:double"&gt;69.37&lt;/D&gt;&lt;D xsi:type="xsd:double"&gt;69.26&lt;/D&gt;&lt;D xsi:type="xsd:double"&gt;68.02&lt;/D&gt;&lt;D xsi:type="xsd:double"&gt;68.74&lt;/D&gt;&lt;D xsi:type="xsd:double"&gt;68.75&lt;/D&gt;&lt;D xsi:type="xsd:double"&gt;68.48&lt;/D&gt;&lt;D xsi:type="xsd:double"&gt;69.4&lt;/D&gt;&lt;D xsi:type="xsd:double"&gt;69.12&lt;/D&gt;&lt;/FQL&gt;&lt;FQL&gt;&lt;Q&gt;TUR^FG_PRICE(0,-200D)&lt;/Q&gt;&lt;R&gt;201&lt;/R&gt;&lt;C&gt;1&lt;/C&gt;&lt;D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xsi:type="xsd:double"&gt;31.18&lt;/D&gt;&lt;D xsi:type="xsd:double"&gt;31.48&lt;/D&gt;&lt;D xsi:type="xsd:double"&gt;31.96&lt;/D&gt;&lt;D xsi:type="xsd:double"&gt;32.18&lt;/D&gt;&lt;D xsi:type="xsd:double"&gt;31.77&lt;/D&gt;&lt;D xsi:type="xsd:double"&gt;31.66&lt;/D&gt;&lt;D xsi:type="xsd:double"&gt;31.71&lt;/D&gt;&lt;D xsi:type="xsd:double"&gt;31.91&lt;/D&gt;&lt;D xsi:type="xsd:double"&gt;31.21&lt;/D&gt;&lt;D xsi:type="xsd:double"&gt;31.85&lt;/D&gt;&lt;D xsi:type="xsd:double"&gt;32.13&lt;/D&gt;&lt;D xsi:type="xsd:double"&gt;32.08&lt;/D&gt;&lt;D xsi:type="xsd:double"&gt;31.9&lt;/D&gt;&lt;D xsi:type="xsd:double"&gt;32.83&lt;/D&gt;&lt;D xsi:type="xsd:double"&gt;31.83&lt;/D&gt;&lt;D xsi:type="xsd:double"&gt;31.86&lt;/D&gt;&lt;D xsi:type="xsd:double"&gt;31.67&lt;/D&gt;&lt;D xsi:type="xsd:double"&gt;32.2&lt;/D&gt;&lt;D xsi:type="xsd:double"&gt;32.44&lt;/D&gt;&lt;D xsi:type="xsd:double"&gt;32.89&lt;/D&gt;&lt;D xsi:type="xsd:double"&gt;32.82&lt;/D&gt;&lt;D xsi:type="xsd:double"&gt;32.67&lt;/D&gt;&lt;D xsi:type="xsd:double"&gt;32.31&lt;/D&gt;&lt;D xsi:type="xsd:double"&gt;32.76&lt;/D&gt;&lt;D xsi:type="xsd:double"&gt;32.63&lt;/D&gt;&lt;D xsi:type="xsd:double"&gt;31.74&lt;/D&gt;&lt;D xsi:type="xsd:double"&gt;30.77&lt;/D&gt;&lt;D xsi:type="xsd:double"&gt;33.28&lt;/D&gt;&lt;D xsi:type="xsd:double"&gt;33.04&lt;/D&gt;&lt;D xsi:type="xsd:double"&gt;37.79&lt;/D&gt;&lt;D xsi:type="xsd:double"&gt;38.55&lt;/D&gt;&lt;D xsi:type="xsd:double"&gt;38.34&lt;/D&gt;&lt;D xsi:type="xsd:double"&gt;37.89&lt;/D&gt;&lt;D xsi:type="xsd:double"&gt;37.62&lt;/D&gt;&lt;D xsi:type="xsd:double"&gt;37.05&lt;/D&gt;&lt;D xsi:type="xsd:double"&gt;36.82&lt;/D&gt;&lt;D xsi:type="xsd:double"&gt;37.28&lt;/D&gt;&lt;D xsi:type="xsd:double"&gt;37.28&lt;/D&gt;&lt;D xsi:type="xsd:double"&gt;36.34&lt;/D&gt;&lt;D xsi:type="xsd:double"&gt;35.2&lt;/D&gt;&lt;D xsi:type="xsd:double"&gt;34.97&lt;/D&gt;&lt;D xsi:type="xsd:double"&gt;34.28&lt;/D&gt;&lt;D xsi:type="xsd:double"&gt;34.55&lt;/D&gt;&lt;D xsi:type="xsd:double"&gt;33.88&lt;/D&gt;&lt;D xsi:type="xsd:double"&gt;33.54&lt;/D&gt;&lt;D xsi:type="xsd:double"&gt;33.97&lt;/D&gt;&lt;D xsi:type="xsd:double"&gt;33.66&lt;/D&gt;&lt;D xsi:type="xsd:double"&gt;34.78&lt;/D&gt;&lt;D xsi:type="xsd:double"&gt;34.625&lt;/D&gt;&lt;D xsi:type="xsd:double"&gt;35.32&lt;/D&gt;&lt;D xsi:type="xsd:double"&gt;35.23&lt;/D&gt;&lt;D xsi:type="xsd:double"&gt;35.5&lt;/D&gt;&lt;D xsi:type="xsd:double"&gt;34.88&lt;/D&gt;&lt;D xsi:type="xsd:double"&gt;35.28&lt;/D&gt;&lt;D xsi:type="xsd:double"&gt;35.24&lt;/D&gt;&lt;D xsi:type="xsd:double"&gt;35.65&lt;/D&gt;&lt;D xsi:type="xsd:double"&gt;35.53&lt;/D&gt;&lt;D xsi:type="xsd:double"&gt;35.06&lt;/D&gt;&lt;/FQL&gt;&lt;FQL&gt;&lt;Q&gt;ECH^FG_PRICE(0,-200D)&lt;/Q&gt;&lt;R&gt;201&lt;/R&gt;&lt;C&gt;1&lt;/C&gt;&lt;D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xsi:type="xsd:double"&gt;31.44&lt;/D&gt;&lt;D xsi:type="xsd:double"&gt;31.24&lt;/D&gt;&lt;D xsi:type="xsd:double"&gt;31.67&lt;/D&gt;&lt;D xsi:type="xsd:double"&gt;31.7&lt;/D&gt;&lt;D xsi:type="xsd:double"&gt;31.19&lt;/D&gt;&lt;D xsi:type="xsd:double"&gt;30.91&lt;/D&gt;&lt;D xsi:type="xsd:double"&gt;30.05&lt;/D&gt;&lt;D xsi:type="xsd:double"&gt;29.95&lt;/D&gt;&lt;D xsi:type="xsd:double"&gt;29.43&lt;/D&gt;&lt;D xsi:type="xsd:double"&gt;29.35&lt;/D&gt;&lt;D xsi:type="xsd:double"&gt;29.13&lt;/D&gt;&lt;D xsi:type="xsd:double"&gt;28.39&lt;/D&gt;&lt;D xsi:type="xsd:double"&gt;27.51&lt;/D&gt;&lt;D xsi:type="xsd:double"&gt;28.24&lt;/D&gt;&lt;D xsi:type="xsd:double"&gt;26.5&lt;/D&gt;&lt;D xsi:type="xsd:double"&gt;27.09&lt;/D&gt;&lt;D xsi:type="xsd:double"&gt;28.19&lt;/D&gt;&lt;D xsi:type="xsd:double"&gt;30.07&lt;/D&gt;&lt;D xsi:type="xsd:double"&gt;29.91&lt;/D&gt;&lt;D xsi:type="xsd:double"&gt;30.2&lt;/D&gt;&lt;D xsi:type="xsd:double"&gt;29.82&lt;/D&gt;&lt;D xsi:type="xsd:double"&gt;29.76&lt;/D&gt;&lt;D xsi:type="xsd:double"&gt;30.17&lt;/D&gt;&lt;D xsi:type="xsd:double"&gt;30.27&lt;/D&gt;&lt;D xsi:type="xsd:double"&gt;30.76&lt;/D&gt;&lt;D xsi:type="xsd:double"&gt;30.41&lt;/D&gt;&lt;D xsi:type="xsd:double"&gt;30.3&lt;/D&gt;&lt;D xsi:type="xsd:double"&gt;30.52&lt;/D&gt;&lt;D xsi:type="xsd:double"&gt;30.94&lt;/D&gt;&lt;D xsi:type="xsd:double"&gt;30.9&lt;/D&gt;&lt;D xsi:type="xsd:double"&gt;30.71&lt;/D&gt;&lt;D xsi:type="xsd:double"&gt;30.06&lt;/D&gt;&lt;D xsi:type="xsd:double"&gt;29.76&lt;/D&gt;&lt;D xsi:type="xsd:double"&gt;29.34&lt;/D&gt;&lt;D xsi:type="xsd:double"&gt;29.39&lt;/D&gt;&lt;D xsi:type="xsd:double"&gt;29.16&lt;/D&gt;&lt;D xsi:type="xsd:double"&gt;29.77&lt;/D&gt;&lt;D xsi:type="xsd:double"&gt;29.69&lt;/D&gt;&lt;D xsi:type="xsd:double"&gt;29.39&lt;/D&gt;&lt;D xsi:type="xsd:double"&gt;28.9&lt;/D&gt;&lt;D xsi:type="xsd:double"&gt;28.36&lt;/D&gt;&lt;D xsi:type="xsd:double"&gt;28.62&lt;/D&gt;&lt;D xsi:type="xsd:double"&gt;28.74&lt;/D&gt;&lt;D xsi:type="xsd:double"&gt;28.89&lt;/D&gt;&lt;D xsi:type="xsd:double"&gt;28.93&lt;/D&gt;&lt;D xsi:type="xsd:double"&gt;28.88&lt;/D&gt;&lt;D xsi:type="xsd:double"&gt;28.67&lt;/D&gt;&lt;D xsi:type="xsd:double"&gt;28.9&lt;/D&gt;&lt;D xsi:type="xsd:double"&gt;28.6&lt;/D&gt;&lt;D xsi:type="xsd:double"&gt;28.42&lt;/D&gt;&lt;D xsi:type="xsd:double"&gt;29.15&lt;/D&gt;&lt;D xsi:type="xsd:double"&gt;29.14&lt;/D&gt;&lt;D xsi:type="xsd:double"&gt;28.54&lt;/D&gt;&lt;D xsi:type="xsd:double"&gt;28.31&lt;/D&gt;&lt;D xsi:type="xsd:double"&gt;28.29&lt;/D&gt;&lt;D xsi:type="xsd:double"&gt;28.24&lt;/D&gt;&lt;D xsi:type="xsd:double"&gt;28.23&lt;/D&gt;&lt;D xsi:type="xsd:double"&gt;27.89&lt;/D&gt;&lt;/FQL&gt;&lt;FQL&gt;&lt;Q&gt;QQQ^FG_TOTAL_RETURNC(-5AY,0,AM)&lt;/Q&gt;&lt;R&gt;61&lt;/R&gt;&lt;C&gt;1&lt;/C&gt;&lt;D xsi:type="xsd:double"&gt;2.0990849&lt;/D&gt;&lt;D xsi:type="xsd:double"&gt;6.7773223&lt;/D&gt;&lt;D xsi:type="xsd:double"&gt;4.6114683&lt;/D&gt;&lt;D xsi:type="xsd:double"&gt;2.2392392&lt;/D&gt;&lt;D xsi:type="xsd:double"&gt;-5.40148&lt;/D&gt;&lt;D xsi:type="xsd:double"&gt;7.5642586&lt;/D&gt;&lt;D xsi:type="xsd:double"&gt;-2.2532105&lt;/D&gt;&lt;D xsi:type="xsd:double"&gt;4.1967034&lt;/D&gt;&lt;D xsi:type="xsd:double"&gt;4.8371196&lt;/D&gt;&lt;D xsi:type="xsd:double"&gt;2.4917126&lt;/D&gt;&lt;D xsi:type="xsd:double"&gt;-0.43947697&lt;/D&gt;&lt;D xsi:type="xsd:double"&gt;2.5375962&lt;/D&gt;&lt;D xsi:type="xsd:double"&gt;7.7364087&lt;/D&gt;&lt;D xsi:type="xsd:double"&gt;-5.6458235&lt;/D&gt;&lt;D xsi:type="xsd:double"&gt;-4.9830556&lt;/D&gt;&lt;D xsi:type="xsd:double"&gt;-5.5871906&lt;/D&gt;&lt;D xsi:type="xsd:double"&gt;2.9223084&lt;/D&gt;&lt;D xsi:type="xsd:double"&gt;-2.8044283&lt;/D&gt;&lt;D xsi:type="xsd:double"&gt;-15.395212&lt;/D&gt;&lt;D xsi:type="xsd:double"&gt;-4.8461914&lt;/D&gt;&lt;D xsi:type="xsd:double"&gt;10.524082&lt;/D&gt;&lt;D xsi:type="xsd:double"&gt;6.5438986&lt;/D&gt;&lt;D xsi:type="xsd:double"&gt;-10.411805&lt;/D&gt;&lt;D xsi:type="xsd:double"&gt;-6.795287&lt;/D&gt;&lt;D xsi:type="xsd:double"&gt;5.8377743&lt;/D&gt;&lt;D xsi:type="xsd:double"&gt;-5.1348567&lt;/D&gt;&lt;D xsi:type="xsd:double"&gt;4.8749685&lt;/D&gt;&lt;D xsi:type="xsd:double"&gt;6.5374374&lt;/D&gt;&lt;D xsi:type="xsd:double"&gt;1.753962&lt;/D&gt;&lt;D xsi:type="xsd:double"&gt;3.3696055&lt;/D&gt;&lt;D xsi:type="xsd:double"&gt;6.396234&lt;/D&gt;&lt;D xsi:type="xsd:double"&gt;9.180689&lt;/D&gt;&lt;D xsi:type="xsd:double"&gt;2.6873827&lt;/D&gt;&lt;D xsi:type="xsd:double"&gt;-4.9447956&lt;/D&gt;&lt;D xsi:type="xsd:double"&gt;1.9369245&lt;/D&gt;&lt;D xsi:type="xsd:double"&gt;-2.7267218&lt;/D&gt;&lt;D xsi:type="xsd:double"&gt;10.191763&lt;/D&gt;&lt;D xsi:type="xsd:double"&gt;3.3629298&lt;/D&gt;&lt;D xsi:type="xsd:double"&gt;4.5452356&lt;/D&gt;&lt;D xsi:type="xsd:double"&gt;1.4578104&lt;/D&gt;&lt;D xsi:type="xsd:double"&gt;3.985691&lt;/D&gt;&lt;D xsi:type="xsd:double"&gt;-6.561959&lt;/D&gt;&lt;D xsi:type="xsd:double"&gt;9.709394&lt;/D&gt;&lt;D xsi:type="xsd:double"&gt;5.8385134&lt;/D&gt;&lt;D xsi:type="xsd:double"&gt;-1.1353612&lt;/D&gt;&lt;D xsi:type="xsd:double"&gt;1.0563135&lt;/D&gt;&lt;D xsi:type="xsd:double"&gt;0.45392513&lt;/D&gt;&lt;D xsi:type="xsd:double"&gt;2.6371956&lt;/D&gt;&lt;D xsi:type="xsd:double"&gt;1.7594576&lt;/D&gt;&lt;D xsi:type="xsd:double"&gt;3.0784726&lt;/D&gt;&lt;D xsi:type="xsd:double"&gt;0.754416&lt;/D&gt;&lt;D xsi:type="xsd:double"&gt;2.9689074&lt;/D&gt;&lt;D xsi:type="xsd:double"&gt;-10.790533&lt;/D&gt;&lt;D xsi:type="xsd:double"&gt;-7.2011414&lt;/D&gt;&lt;D xsi:type="xsd:double"&gt;17.151546&lt;/D&gt;&lt;D xsi:type="xsd:double"&gt;1.2608886&lt;/D&gt;&lt;D xsi:type="xsd:double"&gt;6.653762&lt;/D&gt;&lt;D xsi:type="xsd:double"&gt;0.8267164&lt;/D&gt;&lt;D xsi:type="xsd:double"&gt;5.910933&lt;/D&gt;&lt;D xsi:type="xsd:double"&gt;2.1514535&lt;/D&gt;&lt;D xsi:type="xsd:double"&gt;-4.230303&lt;/D&gt;&lt;/FQL&gt;&lt;FQL&gt;&lt;Q&gt;KSA^FG_TOTAL_RETURNC(-5AY,0,AM)&lt;/Q&gt;&lt;R&gt;61&lt;/R&gt;&lt;C&gt;1&lt;/C&gt;&lt;D xsi:type="xsd:double"&gt;0.8164644&lt;/D&gt;&lt;D xsi:type="xsd:double"&gt;1.7999172&lt;/D&gt;&lt;D xsi:type="xsd:double"&gt;1.7235875&lt;/D&gt;&lt;D xsi:type="xsd:double"&gt;2.0709038&lt;/D&gt;&lt;D xsi:type="xsd:double"&gt;4.8570633&lt;/D&gt;&lt;D xsi:type="xsd:double"&gt;7.5930834&lt;/D&gt;&lt;D xsi:type="xsd:double"&gt;3.4332395&lt;/D&gt;&lt;D xsi:type="xsd:double"&gt;3.3361554&lt;/D&gt;&lt;D xsi:type="xsd:double"&gt;-0.95213056&lt;/D&gt;&lt;D xsi:type="xsd:double"&gt;6.0301304&lt;/D&gt;&lt;D xsi:type="xsd:double"&gt;1.2962222&lt;/D&gt;&lt;D xsi:type="xsd:double"&gt;6.2893033&lt;/D&gt;&lt;D xsi:type="xsd:double"&gt;-2.1165252&lt;/D&gt;&lt;D xsi:type="xsd:double"&gt;-5.113739&lt;/D&gt;&lt;D xsi:type="xsd:double"&gt;11.295843&lt;/D&gt;&lt;D xsi:type="xsd:double"&gt;1.219523&lt;/D&gt;&lt;D xsi:type="xsd:double"&gt;3.3954024&lt;/D&gt;&lt;D xsi:type="xsd:double"&gt;7.097459&lt;/D&gt;&lt;D xsi:type="xsd:double"&gt;-10.860533&lt;/D&gt;&lt;D xsi:type="xsd:double"&gt;-5.3209963&lt;/D&gt;&lt;D xsi:type="xsd:double"&gt;0.66115856&lt;/D&gt;&lt;D xsi:type="xsd:double"&gt;7.154584&lt;/D&gt;&lt;D xsi:type="xsd:double"&gt;-9.260071&lt;/D&gt;&lt;D xsi:type="xsd:double"&gt;6.489742&lt;/D&gt;&lt;D xsi:type="xsd:double"&gt;-7.9746246&lt;/D&gt;&lt;D xsi:type="xsd:double"&gt;-7.66024&lt;/D&gt;&lt;D xsi:type="xsd:double"&gt;5.0929666&lt;/D&gt;&lt;D xsi:type="xsd:double"&gt;-2.692306&lt;/D&gt;&lt;D xsi:type="xsd:double"&gt;-2.3715436&lt;/D&gt;&lt;D xsi:type="xsd:double"&gt;8.852911&lt;/D&gt;&lt;D xsi:type="xsd:double"&gt;2.5787234&lt;/D&gt;&lt;D xsi:type="xsd:double"&gt;0.74716806&lt;/D&gt;&lt;D xsi:type="xsd:double"&gt;2.5977135&lt;/D&gt;&lt;D xsi:type="xsd:double"&gt;-3.9043963&lt;/D&gt;&lt;D xsi:type="xsd:double"&gt;-3.5951734&lt;/D&gt;&lt;D xsi:type="xsd:double"&gt;-5.0319314&lt;/D&gt;&lt;D xsi:type="xsd:double"&gt;7.235074&lt;/D&gt;&lt;D xsi:type="xsd:double"&gt;3.995943&lt;/D&gt;&lt;D xsi:type="xsd:double"&gt;3.3480048&lt;/D&gt;&lt;D xsi:type="xsd:double"&gt;5.6987405&lt;/D&gt;&lt;D xsi:type="xsd:double"&gt;-0.24608374&lt;/D&gt;&lt;D xsi:type="xsd:double"&gt;-3.094864&lt;/D&gt;&lt;D xsi:type="xsd:double"&gt;-2.7308524&lt;/D&gt;&lt;D xsi:type="xsd:double"&gt;-0.91590285&lt;/D&gt;&lt;D xsi:type="xsd:double"&gt;2.4616241&lt;/D&gt;&lt;D xsi:type="xsd:double"&gt;-0.52331686&lt;/D&gt;&lt;D xsi:type="xsd:double"&gt;1.1955976&lt;/D&gt;&lt;D xsi:type="xsd:double"&gt;-1.5831709&lt;/D&gt;&lt;D xsi:type="xsd:double"&gt;-0.4321754&lt;/D&gt;&lt;D xsi:type="xsd:double"&gt;-0.2598226&lt;/D&gt;&lt;D xsi:type="xsd:double"&gt;3.3407688&lt;/D&gt;&lt;D xsi:type="xsd:double"&gt;1.1924624&lt;/D&gt;&lt;D xsi:type="xsd:double"&gt;-4.902196&lt;/D&gt;&lt;D xsi:type="xsd:double"&gt;-0.39653182&lt;/D&gt;&lt;D xsi:type="xsd:double"&gt;-0.7464528&lt;/D&gt;&lt;D xsi:type="xsd:double"&gt;-6.7991495&lt;/D&gt;&lt;D xsi:type="xsd:double"&gt;4.294312&lt;/D&gt;&lt;D xsi:type="xsd:double"&gt;-0.629431&lt;/D&gt;&lt;D xsi:type="xsd:double"&gt;-0.1583457&lt;/D&gt;&lt;D xsi:type="xsd:double"&gt;8.088816&lt;/D&gt;&lt;D xsi:type="xsd:double"&gt;-6.603086&lt;/D&gt;&lt;/FQL&gt;&lt;FQL&gt;&lt;Q&gt;EWL^FG_PRICE(0,-200D)&lt;/Q&gt;&lt;R&gt;201&lt;/R&gt;&lt;C&gt;1&lt;/C&gt;&lt;D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xsi:type="xsd:double"&gt;53.67&lt;/D&gt;&lt;D xsi:type="xsd:double"&gt;53.71&lt;/D&gt;&lt;D xsi:type="xsd:double"&gt;53.04&lt;/D&gt;&lt;D xsi:type="xsd:double"&gt;52.96&lt;/D&gt;&lt;D xsi:type="xsd:double"&gt;52.23&lt;/D&gt;&lt;D xsi:type="xsd:double"&gt;52.45&lt;/D&gt;&lt;D xsi:type="xsd:double"&gt;51.82&lt;/D&gt;&lt;D xsi:type="xsd:double"&gt;51.95&lt;/D&gt;&lt;D xsi:type="xsd:double"&gt;51.29&lt;/D&gt;&lt;D xsi:type="xsd:double"&gt;51.45&lt;/D&gt;&lt;D xsi:type="xsd:double"&gt;51.2&lt;/D&gt;&lt;D xsi:type="xsd:double"&gt;51.05&lt;/D&gt;&lt;D xsi:type="xsd:double"&gt;49.7&lt;/D&gt;&lt;D xsi:type="xsd:double"&gt;49.71&lt;/D&gt;&lt;D xsi:type="xsd:double"&gt;47.12&lt;/D&gt;&lt;D xsi:type="xsd:double"&gt;47.04&lt;/D&gt;&lt;D xsi:type="xsd:double"&gt;48.36&lt;/D&gt;&lt;D xsi:type="xsd:double"&gt;51.41&lt;/D&gt;&lt;D xsi:type="xsd:double"&gt;51.49&lt;/D&gt;&lt;D xsi:type="xsd:double"&gt;51.76&lt;/D&gt;&lt;D xsi:type="xsd:double"&gt;51.79&lt;/D&gt;&lt;D xsi:type="xsd:double"&gt;52.48&lt;/D&gt;&lt;D xsi:type="xsd:double"&gt;52.59&lt;/D&gt;&lt;D xsi:type="xsd:double"&gt;52.45&lt;/D&gt;&lt;D xsi:type="xsd:double"&gt;52.98&lt;/D&gt;&lt;D xsi:type="xsd:double"&gt;52.9&lt;/D&gt;&lt;D xsi:type="xsd:double"&gt;53.06&lt;/D&gt;&lt;D xsi:type="xsd:double"&gt;53.28&lt;/D&gt;&lt;D xsi:type="xsd:double"&gt;53.24&lt;/D&gt;&lt;D xsi:type="xsd:double"&gt;53.43&lt;/D&gt;&lt;D xsi:type="xsd:double"&gt;53.33&lt;/D&gt;&lt;D xsi:type="xsd:double"&gt;52.59&lt;/D&gt;&lt;D xsi:type="xsd:double"&gt;52.14&lt;/D&gt;&lt;D xsi:type="xsd:double"&gt;52.41&lt;/D&gt;&lt;D xsi:type="xsd:double"&gt;51.87&lt;/D&gt;&lt;D xsi:type="xsd:double"&gt;52.62&lt;/D&gt;&lt;D xsi:type="xsd:double"&gt;53.53&lt;/D&gt;&lt;D xsi:type="xsd:double"&gt;52.59&lt;/D&gt;&lt;D xsi:type="xsd:double"&gt;52.86&lt;/D&gt;&lt;D xsi:type="xsd:double"&gt;52.71&lt;/D&gt;&lt;D xsi:type="xsd:double"&gt;52.3&lt;/D&gt;&lt;D xsi:type="xsd:double"&gt;51.73&lt;/D&gt;&lt;D xsi:type="xsd:double"&gt;51.33&lt;/D&gt;&lt;D xsi:type="xsd:double"&gt;52.03&lt;/D&gt;&lt;D xsi:type="xsd:double"&gt;51.97&lt;/D&gt;&lt;D xsi:type="xsd:double"&gt;51.54&lt;/D&gt;&lt;D xsi:type="xsd:double"&gt;51.62&lt;/D&gt;&lt;D xsi:type="xsd:double"&gt;51.29&lt;/D&gt;&lt;D xsi:type="xsd:double"&gt;50.86&lt;/D&gt;&lt;D xsi:type="xsd:double"&gt;51.31&lt;/D&gt;&lt;D xsi:type="xsd:double"&gt;51.41&lt;/D&gt;&lt;D xsi:type="xsd:double"&gt;51.4&lt;/D&gt;&lt;D xsi:type="xsd:double"&gt;50.22&lt;/D&gt;&lt;D xsi:type="xsd:double"&gt;50.05&lt;/D&gt;&lt;D xsi:type="xsd:double"&gt;49.9&lt;/D&gt;&lt;D xsi:type="xsd:double"&gt;49.59&lt;/D&gt;&lt;D xsi:type="xsd:double"&gt;49.97&lt;/D&gt;&lt;D xsi:type="xsd:double"&gt;50.21&lt;/D&gt;&lt;/FQL&gt;&lt;FQL&gt;&lt;Q&gt;EIDO^FG_PRICE(0,-200D)&lt;/Q&gt;&lt;R&gt;201&lt;/R&gt;&lt;C&gt;1&lt;/C&gt;&lt;D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</t>
        </r>
      </text>
    </comment>
    <comment ref="A2" authorId="0" shapeId="0" xr:uid="{512F0602-E54B-49CC-A0E1-FACC91D23CA6}">
      <text>
        <r>
          <rPr>
            <b/>
            <sz val="9"/>
            <color indexed="81"/>
            <rFont val="Tahoma"/>
            <charset val="1"/>
          </rPr>
          <t>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xsi:type="xsd:double"&gt;17.1&lt;/D&gt;&lt;D xsi:type="xsd:double"&gt;16.93&lt;/D&gt;&lt;D xsi:type="xsd:double"&gt;16.77&lt;/D&gt;&lt;D xsi:type="xsd:double"&gt;16.76&lt;/D&gt;&lt;D xsi:type="xsd:double"&gt;16.61&lt;/D&gt;&lt;D xsi:type="xsd:double"&gt;16.36&lt;/D&gt;&lt;D xsi:type="xsd:double"&gt;16.03&lt;/D&gt;&lt;D xsi:type="xsd:double"&gt;16.13&lt;/D&gt;&lt;D xsi:type="xsd:double"&gt;15.93&lt;/D&gt;&lt;D xsi:type="xsd:double"&gt;16.14&lt;/D&gt;&lt;D xsi:type="xsd:double"&gt;16.09&lt;/D&gt;&lt;D xsi:type="xsd:double"&gt;15.87&lt;/D&gt;&lt;D xsi:type="xsd:double"&gt;15.45&lt;/D&gt;&lt;D xsi:type="xsd:double"&gt;15.56&lt;/D&gt;&lt;D xsi:type="xsd:double"&gt;14.36&lt;/D&gt;&lt;D xsi:type="xsd:double"&gt;15.15&lt;/D&gt;&lt;D xsi:type="xsd:double"&gt;15.09&lt;/D&gt;&lt;D xsi:type="xsd:double"&gt;15.88&lt;/D&gt;&lt;D xsi:type="xsd:double"&gt;16.33&lt;/D&gt;&lt;D xsi:type="xsd:double"&gt;16.25&lt;/D&gt;&lt;D xsi:type="xsd:double"&gt;16.3&lt;/D&gt;&lt;D xsi:type="xsd:double"&gt;16.37&lt;/D&gt;&lt;D xsi:type="xsd:double"&gt;16.42&lt;/D&gt;&lt;D xsi:type="xsd:double"&gt;16.31&lt;/D&gt;&lt;D xsi:type="xsd:double"&gt;15.72&lt;/D&gt;&lt;D xsi:type="xsd:double"&gt;15.34&lt;/D&gt;&lt;D xsi:type="xsd:double"&gt;15.62&lt;/D&gt;&lt;D xsi:type="xsd:double"&gt;15.91&lt;/D&gt;&lt;D xsi:type="xsd:double"&gt;15.95&lt;/D&gt;&lt;D xsi:type="xsd:double"&gt;15.74&lt;/D&gt;&lt;D xsi:type="xsd:double"&gt;16.62&lt;/D&gt;&lt;D xsi:type="xsd:double"&gt;16.57&lt;/D&gt;&lt;D xsi:type="xsd:double"&gt;16.73&lt;/D&gt;&lt;D xsi:type="xsd:double"&gt;16.87&lt;/D&gt;&lt;D xsi:type="xsd:double"&gt;16.46&lt;/D&gt;&lt;D xsi:type="xsd:double"&gt;16.69&lt;/D&gt;&lt;D xsi:type="xsd:double"&gt;17.1&lt;/D&gt;&lt;D xsi:type="xsd:double"&gt;17.12&lt;/D&gt;&lt;D xsi:type="xsd:double"&gt;17.05&lt;/D&gt;&lt;D xsi:type="xsd:double"&gt;16.46&lt;/D&gt;&lt;D xsi:type="xsd:double"&gt;16.66&lt;/D&gt;&lt;D xsi:type="xsd:double"&gt;15.96&lt;/D&gt;&lt;D xsi:type="xsd:double"&gt;16.41&lt;/D&gt;&lt;D xsi:type="xsd:double"&gt;16.98&lt;/D&gt;&lt;D xsi:type="xsd:double"&gt;17.15&lt;/D&gt;&lt;D xsi:type="xsd:double"&gt;17.57&lt;/D&gt;&lt;D xsi:type="xsd:double"&gt;17.6&lt;/D&gt;&lt;D xsi:type="xsd:double"&gt;17.84&lt;/D&gt;&lt;D xsi:type="xsd:double"&gt;17.79&lt;/D&gt;&lt;D xsi:type="xsd:double"&gt;18.15&lt;/D&gt;&lt;D xsi:type="xsd:double"&gt;17.67&lt;/D&gt;&lt;D xsi:type="xsd:double"&gt;17.6&lt;/D&gt;&lt;D xsi:type="xsd:double"&gt;17.47&lt;/D&gt;&lt;D xsi:type="xsd:double"&gt;17.3&lt;/D&gt;&lt;D xsi:type="xsd:double"&gt;17.5&lt;/D&gt;&lt;D xsi:type="xsd:double"&gt;17.61&lt;/D&gt;&lt;D xsi:type="xsd:double"&gt;17.58&lt;/D&gt;&lt;D xsi:type="xsd:double"&gt;18.16&lt;/D&gt;&lt;/FQL&gt;&lt;FQL&gt;&lt;Q&gt;EWI^FG_PRICE(0,-200D)&lt;/Q&gt;&lt;R&gt;201&lt;/R&gt;&lt;C&gt;1&lt;/C&gt;&lt;D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xsi:type="xsd:double"&gt;44.67&lt;/D&gt;&lt;D xsi:type="xsd:double"&gt;44.23&lt;/D&gt;&lt;D xsi:type="xsd:double"&gt;44.04&lt;/D&gt;&lt;D xsi:type="xsd:double"&gt;43.48&lt;/D&gt;&lt;D xsi:type="xsd:double"&gt;42.69&lt;/D&gt;&lt;D xsi:type="xsd:double"&gt;42.81&lt;/D&gt;&lt;D xsi:type="xsd:double"&gt;41.94&lt;/D&gt;&lt;D xsi:type="xsd:double"&gt;42.13&lt;/D&gt;&lt;D xsi:type="xsd:double"&gt;41.76&lt;/D&gt;&lt;D xsi:type="xsd:double"&gt;41.54&lt;/D&gt;&lt;D xsi:type="xsd:double"&gt;40.92&lt;/D&gt;&lt;D xsi:type="xsd:double"&gt;40.53&lt;/D&gt;&lt;D xsi:type="xsd:double"&gt;39.66&lt;/D&gt;&lt;D xsi:type="xsd:double"&gt;40.22&lt;/D&gt;&lt;D xsi:type="xsd:double"&gt;36.6&lt;/D&gt;&lt;D xsi:type="xsd:double"&gt;37.06&lt;/D&gt;&lt;D xsi:type="xsd:double"&gt;38.49&lt;/D&gt;&lt;D xsi:type="xsd:double"&gt;41.77&lt;/D&gt;&lt;D xsi:type="xsd:double"&gt;42.66&lt;/D&gt;&lt;D xsi:type="xsd:double"&gt;42.46&lt;/D&gt;&lt;D xsi:type="xsd:double"&gt;42.32&lt;/D&gt;&lt;D xsi:type="xsd:double"&gt;42.8&lt;/D&gt;&lt;D xsi:type="xsd:double"&gt;43.07&lt;/D&gt;&lt;D xsi:type="xsd:double"&gt;42.61&lt;/D&gt;&lt;D xsi:type="xsd:double"&gt;43.42&lt;/D&gt;&lt;D xsi:type="xsd:double"&gt;42.98&lt;/D&gt;&lt;D xsi:type="xsd:double"&gt;42.95&lt;/D&gt;&lt;D xsi:type="xsd:double"&gt;43.26&lt;/D&gt;&lt;D xsi:type="xsd:double"&gt;43.99&lt;/D&gt;&lt;D xsi:type="xsd:double"&gt;43.92&lt;/D&gt;&lt;D xsi:type="xsd:double"&gt;43.53&lt;/D&gt;&lt;D xsi:type="xsd:double"&gt;43.03&lt;/D&gt;&lt;D xsi:type="xsd:double"&gt;41.94&lt;/D&gt;&lt;D xsi:type="xsd:double"&gt;42.5&lt;/D&gt;&lt;D xsi:type="xsd:double"&gt;42.27&lt;/D&gt;&lt;D xsi:type="xsd:double"&gt;42.15&lt;/D&gt;&lt;D xsi:type="xsd:double"&gt;42.85&lt;/D&gt;&lt;D xsi:type="xsd:double"&gt;42.27&lt;/D&gt;&lt;D xsi:type="xsd:double"&gt;42.69&lt;/D&gt;&lt;D xsi:type="xsd:double"&gt;41.28&lt;/D&gt;&lt;D xsi:type="xsd:double"&gt;41.31&lt;/D&gt;&lt;D xsi:type="xsd:double"&gt;40.8&lt;/D&gt;&lt;D xsi:type="xsd:double"&gt;40.61&lt;/D&gt;&lt;D xsi:type="xsd:double"&gt;41.27&lt;/D&gt;&lt;D xsi:type="xsd:double"&gt;41.47&lt;/D&gt;&lt;D xsi:type="xsd:double"&gt;40.79&lt;/D&gt;&lt;D xsi:type="xsd:double"&gt;40.6&lt;/D&gt;&lt;D xsi:type="xsd:double"&gt;40.83&lt;/D&gt;&lt;D xsi:type="xsd:double"&gt;40.57&lt;/D&gt;&lt;D xsi:type="xsd:double"&gt;41.09&lt;/D&gt;&lt;D xsi:type="xsd:double"&gt;40.59&lt;/D&gt;&lt;D xsi:type="xsd:double"&gt;40.22&lt;/D&gt;&lt;D xsi:type="xsd:double"&gt;39.95&lt;/D&gt;&lt;D xsi:type="xsd:double"&gt;39.77&lt;/D&gt;&lt;D xsi:type="xsd:double"&gt;39.2&lt;/D&gt;&lt;D xsi:type="xsd:double"&gt;38.93&lt;/D&gt;&lt;D xsi:type="xsd:double"&gt;39.28&lt;/D&gt;&lt;D xsi:type="xsd:double"&gt;39&lt;/D&gt;&lt;/FQL&gt;&lt;FQL&gt;&lt;Q&gt;EWY^FG_PRICE(0,-200D)&lt;/Q&gt;&lt;R&gt;201&lt;/R&gt;&lt;C&gt;1&lt;/C&gt;&lt;D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xsi:type="xsd:double"&gt;56.1&lt;/D&gt;&lt;D xsi:type="xsd:double"&gt;55.65&lt;/D&gt;&lt;D xsi:type="xsd:double"&gt;55.81&lt;/D&gt;&lt;D xsi:type="xsd:double"&gt;55.95&lt;/D&gt;&lt;D xsi:type="xsd:double"&gt;55.6&lt;/D&gt;&lt;D xsi:type="xsd:double"&gt;54.81&lt;/D&gt;&lt;D xsi:type="xsd:double"&gt;54.39&lt;/D&gt;&lt;D xsi:type="xsd:double"&gt;54.31&lt;/D&gt;&lt;D xsi:type="xsd:double"&gt;54.06&lt;/D&gt;&lt;D xsi:type="xsd:double"&gt;54.38&lt;/D&gt;&lt;D xsi:type="xsd:double"&gt;54.35&lt;/D&gt;&lt;D xsi:type="xsd:double"&gt;54.31&lt;/D&gt;&lt;D xsi:type="xsd:double"&gt;51.82&lt;/D&gt;&lt;D xsi:type="xsd:double"&gt;53.28&lt;/D&gt;&lt;D xsi:type="xsd:double"&gt;48.92&lt;/D&gt;&lt;D xsi:type="xsd:double"&gt;50.78&lt;/D&gt;&lt;D xsi:type="xsd:double"&gt;51.25&lt;/D&gt;&lt;D xsi:type="xsd:double"&gt;53.14&lt;/D&gt;&lt;D xsi:type="xsd:double"&gt;54.63&lt;/D&gt;&lt;D xsi:type="xsd:double"&gt;54.85&lt;/D&gt;&lt;D xsi:type="xsd:double"&gt;54.04&lt;/D&gt;&lt;D xsi:type="xsd:double"&gt;54.79&lt;/D&gt;&lt;D xsi:type="xsd:double"&gt;56.49&lt;/D&gt;&lt;D xsi:type="xsd:double"&gt;56.81&lt;/D&gt;&lt;D xsi:type="xsd:double"&gt;57.07&lt;/D&gt;&lt;D xsi:type="xsd:double"&gt;57.31&lt;/D&gt;&lt;D xsi:type="xsd:double"&gt;56.86&lt;/D&gt;&lt;D xsi:type="xsd:double"&gt;56.73&lt;/D&gt;&lt;D xsi:type="xsd:double"&gt;57.24&lt;/D&gt;&lt;D xsi:type="xsd:double"&gt;56.97&lt;/D&gt;&lt;D xsi:type="xsd:double"&gt;57.86&lt;/D&gt;&lt;D xsi:type="xsd:double"&gt;56.14&lt;/D&gt;&lt;D xsi:type="xsd:double"&gt;55.22&lt;/D&gt;&lt;D xsi:type="xsd:double"&gt;55.95&lt;/D&gt;&lt;D xsi:type="xsd:double"&gt;54.69&lt;/D&gt;&lt;D xsi:type="xsd:double"&gt;54.09&lt;/D&gt;&lt;D xsi:type="xsd:double"&gt;55.68&lt;/D&gt;&lt;D xsi:type="xsd:double"&gt;54.94&lt;/D&gt;&lt;D xsi:type="xsd:double"&gt;56.05&lt;/D&gt;&lt;D xsi:type="xsd:double"&gt;54.57&lt;/D&gt;&lt;D xsi:type="xsd:double"&gt;54.32&lt;/D&gt;&lt;D xsi:type="xsd:double"&gt;54.67&lt;/D&gt;&lt;D xsi:type="xsd:double"&gt;55.95&lt;/D&gt;&lt;D xsi:type="xsd:double"&gt;57.81&lt;/D&gt;&lt;D xsi:type="xsd:double"&gt;57.55&lt;/D&gt;&lt;D xsi:type="xsd:double"&gt;57.47&lt;/D&gt;&lt;D xsi:type="xsd:double"&gt;57.59&lt;/D&gt;&lt;D xsi:type="xsd:double"&gt;58.46&lt;/D&gt;&lt;D xsi:type="xsd:double"&gt;58.28&lt;/D&gt;&lt;D xsi:type="xsd:double"&gt;57.44&lt;/D&gt;&lt;D xsi:type="xsd:double"&gt;56.68&lt;/D&gt;&lt;D xsi:type="xsd:double"&gt;56.35&lt;/D&gt;&lt;D xsi:type="xsd:double"&gt;55.16&lt;/D&gt;&lt;D xsi:type="xsd:double"&gt;55.07&lt;/D&gt;&lt;D xsi:type="xsd:double"&gt;55.14&lt;/D&gt;&lt;D xsi:type="xsd:double"&gt;54.14&lt;/D&gt;&lt;D xsi:type="xsd:double"&gt;55.22&lt;/D&gt;&lt;D xsi:type="xsd:double"&gt;54.96&lt;/D&gt;&lt;/FQL&gt;&lt;FQL&gt;&lt;Q&gt;GREK^FG_TOTAL_RETURNC(-5AY,0,AM)&lt;/Q&gt;&lt;R&gt;61&lt;/R&gt;&lt;C&gt;1&lt;/C&gt;&lt;D xsi:type="xsd:double"&gt;11.026812&lt;/D&gt;&lt;D xsi:type="xsd:double"&gt;18.3599&lt;/D&gt;&lt;D xsi:type="xsd:double"&gt;-0.08689165&lt;/D&gt;&lt;D xsi:type="xsd:double"&gt;-4.679137&lt;/D&gt;&lt;D xsi:type="xsd:double"&gt;7.4669957&lt;/D&gt;&lt;D xsi:type="xsd:double"&gt;4.2610407&lt;/D&gt;&lt;D xsi:type="xsd:double"&gt;5.804491&lt;/D&gt;&lt;D xsi:type="xsd:double"&gt;-1.0317862&lt;/D&gt;&lt;D xsi:type="xsd:double"&gt;-7.735586&lt;/D&gt;&lt;D xsi:type="xsd:double"&gt;5.0686&lt;/D&gt;&lt;D xsi:type="xsd:double"&gt;0.9067774&lt;/D&gt;&lt;D xsi:type="xsd:double"&gt;3.1631947&lt;/D&gt;&lt;D xsi:type="xsd:double"&gt;-3.7979126&lt;/D&gt;&lt;D xsi:type="xsd:double"&gt;-4.5273423&lt;/D&gt;&lt;D xsi:type="xsd:double"&gt;10.481048&lt;/D&gt;&lt;D xsi:type="xsd:double"&gt;2.0350933&lt;/D&gt;&lt;D xsi:type="xsd:double"&gt;-9.456671&lt;/D&gt;&lt;D xsi:type="xsd:double"&gt;7.5579166&lt;/D&gt;&lt;D xsi:type="xsd:double"&gt;-12.076271&lt;/D&gt;&lt;D xsi:type="xsd:double"&gt;-4.41767&lt;/D&gt;&lt;D xsi:type="xsd:double"&gt;-3.8729131&lt;/D&gt;&lt;D xsi:type="xsd:double"&gt;9.027171&lt;/D&gt;&lt;D xsi:type="xsd:double"&gt;-7.1141424&lt;/D&gt;&lt;D xsi:type="xsd:double"&gt;0.5625248&lt;/D&gt;&lt;D xsi:type="xsd:double"&gt;9.853708&lt;/D&gt;&lt;D xsi:type="xsd:double"&gt;5.6795835&lt;/D&gt;&lt;D xsi:type="xsd:double"&gt;10.279727&lt;/D&gt;&lt;D xsi:type="xsd:double"&gt;10.758615&lt;/D&gt;&lt;D xsi:type="xsd:double"&gt;-8.53051&lt;/D&gt;&lt;D xsi:type="xsd:double"&gt;8.134794&lt;/D&gt;&lt;D xsi:type="xsd:double"&gt;0.69247484&lt;/D&gt;&lt;D xsi:type="xsd:double"&gt;13.973117&lt;/D&gt;&lt;D xsi:type="xsd:double"&gt;9.719074&lt;/D&gt;&lt;D xsi:type="xsd:double"&gt;-7.518232&lt;/D&gt;&lt;D xsi:type="xsd:double"&gt;-10.168564&lt;/D&gt;&lt;D xsi:type="xsd:double"&gt;-0.45400262&lt;/D&gt;&lt;D xsi:type="xsd:double"&gt;12.526596&lt;/D&gt;&lt;D xsi:type="xsd:double"&gt;1.7562866&lt;/D&gt;&lt;D xsi:type="xsd:double"&gt;4.1123033&lt;/D&gt;&lt;D xsi:type="xsd:double"&gt;5.4124355&lt;/D&gt;&lt;D xsi:type="xsd:double"&gt;0.54308176&lt;/D&gt;&lt;D xsi:type="xsd:double"&gt;-4.492998&lt;/D&gt;&lt;D xsi:type="xsd:double"&gt;11.285341&lt;/D&gt;&lt;D xsi:type="xsd:double"&gt;-7.6627374&lt;/D&gt;&lt;D xsi:type="xsd:double"&gt;6.097579&lt;/D&gt;&lt;D xsi:type="xsd:double"&gt;-0.5203366&lt;/D&gt;&lt;D xsi:type="xsd:double"&gt;0.047552586&lt;/D&gt;&lt;D xsi:type="xsd:double"&gt;-0.47528744&lt;/D&gt;&lt;D xsi:type="xsd:double"&gt;-7.712513&lt;/D&gt;&lt;D xsi:type="xsd:double"&gt;5.4333687&lt;/D&gt;&lt;D xsi:type="xsd:double"&gt;3.3999443&lt;/D&gt;&lt;D xsi:type="xsd:double"&gt;7.081318&lt;/D&gt;&lt;D xsi:type="xsd:double"&gt;10.644949&lt;/D&gt;&lt;D xsi:type="xsd:double"&gt;-1.0968387&lt;/D&gt;&lt;D xsi:type="xsd:double"&gt;13.836074&lt;/D&gt;&lt;D xsi:type="xsd:double"&gt;1.5216231&lt;/D&gt;&lt;D xsi:type="xsd:double"&gt;13.559675&lt;/D&gt;&lt;D xsi:type="xsd:double"&gt;6.8627477&lt;/D&gt;&lt;D xsi:type="xsd:double"&gt;-1.9266069&lt;/D&gt;&lt;D xsi:type="xsd:double"&gt;-1.7929494&lt;/D&gt;&lt;D xsi:type="xsd:double"&gt;-0.365144&lt;/D&gt;&lt;/FQL&gt;&lt;FQL&gt;&lt;Q&gt;EPOL^FG_TOTAL_RETURNC(-5AY,0,AM)&lt;/Q&gt;&lt;R&gt;61&lt;/R&gt;&lt;C&gt;1&lt;/C&gt;&lt;D xsi:type="xsd:double"&gt;11.259127&lt;/D&gt;&lt;D xsi:type="xsd:double"&gt;9.517837&lt;/D&gt;&lt;D xsi:type="xsd:double"&gt;1.2558818&lt;/D&gt;&lt;D xsi:type="xsd:double"&gt;1.9638181&lt;/D&gt;&lt;D xsi:type="xsd:double"&gt;-6.842375&lt;/D&gt;&lt;D xsi:type="xsd:double"&gt;5.5495143&lt;/D&gt;&lt;D xsi:type="xsd:double"&gt;10.927844&lt;/D&gt;&lt;D xsi:type="xsd:double"&gt;-0.47511458&lt;/D&gt;&lt;D xsi:type="xsd:double"&gt;-1.6853988&lt;/D&gt;&lt;D xsi:type="xsd:double"&gt;2.8571486&lt;/D&gt;&lt;D xsi:type="xsd:double"&gt;1.2500048&lt;/D&gt;&lt;D xsi:type="xsd:double"&gt;8.504796&lt;/D&gt;&lt;D xsi:type="xsd:double"&gt;-12.557941&lt;/D&gt;&lt;D xsi:type="xsd:double"&gt;-1.3124764&lt;/D&gt;&lt;D xsi:type="xsd:double"&gt;6.7127347&lt;/D&gt;&lt;D xsi:type="xsd:double"&gt;-6.382984&lt;/D&gt;&lt;D xsi:type="xsd:double"&gt;-8.00395&lt;/D&gt;&lt;D xsi:type="xsd:double"&gt;-2.7389944&lt;/D&gt;&lt;D xsi:type="xsd:double"&gt;-13.970184&lt;/D&gt;&lt;D xsi:type="xsd:double"&gt;-5.9554935&lt;/D&gt;&lt;D xsi:type="xsd:double"&gt;-4.476589&lt;/D&gt;&lt;D xsi:type="xsd:double"&gt;-1.297766&lt;/D&gt;&lt;D xsi:type="xsd:double"&gt;-10.883856&lt;/D&gt;&lt;D xsi:type="xsd:double"&gt;-7.786882&lt;/D&gt;&lt;D xsi:type="xsd:double"&gt;28.53334&lt;/D&gt;&lt;D xsi:type="xsd:double"&gt;6.5395594&lt;/D&gt;&lt;D xsi:type="xsd:double"&gt;10.171736&lt;/D&gt;&lt;D xsi:type="xsd:double"&gt;-4.556358&lt;/D&gt;&lt;D xsi:type="xsd:double"&gt;-8.54271&lt;/D&gt;&lt;D xsi:type="xsd:double"&gt;18.75&lt;/D&gt;&lt;D xsi:type="xsd:double"&gt;3.7015557&lt;/D&gt;&lt;D xsi:type="xsd:double"&gt;6.832123&lt;/D&gt;&lt;D xsi:type="xsd:double"&gt;8.170187&lt;/D&gt;&lt;D xsi:type="xsd:double"&gt;-6.998062&lt;/D&gt;&lt;D xsi:type="xsd:double"&gt;-7.7322245&lt;/D&gt;&lt;D xsi:type="xsd:double"&gt;5.061865&lt;/D&gt;&lt;D xsi:type="xsd:double"&gt;17.987156&lt;/D&gt;&lt;D xsi:type="xsd:double"&gt;3.9505482&lt;/D&gt;&lt;D xsi:type="xsd:double"&gt;-4.8517523&lt;/D&gt;&lt;D xsi:type="xsd:double"&gt;10.623228&lt;/D&gt;&lt;D xsi:type="xsd:double"&gt;-1.323086&lt;/D&gt;&lt;D xsi:type="xsd:double"&gt;0.8217931&lt;/D&gt;&lt;D xsi:type="xsd:double"&gt;11.668814&lt;/D&gt;&lt;D xsi:type="xsd:double"&gt;-6.8897905&lt;/D&gt;&lt;D xsi:type="xsd:double"&gt;2.5220633&lt;/D&gt;&lt;D xsi:type="xsd:double"&gt;-0.08199215&lt;/D&gt;&lt;D xsi:type="xsd:double"&gt;-2.0517051&lt;/D&gt;&lt;D xsi:type="xsd:double"&gt;-2.5974035&lt;/D&gt;&lt;D xsi:type="xsd:double"&gt;-8.559137&lt;/D&gt;&lt;D xsi:type="xsd:double"&gt;2.9679656&lt;/D&gt;&lt;D xsi:type="xsd:double"&gt;4.7935486&lt;/D&gt;&lt;D xsi:type="xsd:double"&gt;18.614138&lt;/D&gt;&lt;D xsi:type="xsd:double"&gt;8.247423&lt;/D&gt;&lt;D xsi:type="xsd:double"&gt;-0.21163821&lt;/D&gt;&lt;D xsi:type="xsd:double"&gt;8.766341&lt;/D&gt;&lt;D xsi:type="xsd:double"&gt;-1.7270863&lt;/D&gt;&lt;D xsi:type="xsd:double"&gt;10.565281&lt;/D&gt;&lt;D xsi:type="xsd:double"&gt;2.7997494&lt;/D&gt;&lt;D xsi:type="xsd:double"&gt;-5.979866&lt;/D&gt;&lt;D xsi:type="xsd:double"&gt;5.4471135&lt;/D&gt;&lt;D xsi:type="xsd:double"&gt;-2.7769506&lt;/D&gt;&lt;/FQL&gt;&lt;FQL&gt;&lt;Q&gt;QAT^FG_TOTAL_RETURNC(-5AY,0,AM)&lt;/Q&gt;&lt;R&gt;61&lt;/R&gt;&lt;C&gt;1&lt;/C&gt;&lt;D xsi:type="xsd:double"&gt;0.05594492&lt;/D&gt;&lt;D xsi:type="xsd:double"&gt;3.4116387&lt;/D&gt;&lt;D xsi:type="xsd:double"&gt;2.7685285&lt;/D&gt;&lt;D xsi:type="xsd:double"&gt;-3.641218&lt;/D&gt;&lt;D xsi:type="xsd:double"&gt;0.7646203&lt;/D&gt;&lt;D xsi:type="xsd:double"&gt;5.3376555&lt;/D&gt;&lt;D xsi:type="xsd:double"&gt;0.38694143&lt;/D&gt;&lt;D xsi:type="xsd:double"&gt;-1.9181132&lt;/D&gt;&lt;D xsi:type="xsd:double"&gt;0.69128275&lt;/D&gt;&lt;D xsi:type="xsd:double"&gt;3.5648108&lt;/D&gt;&lt;D xsi:type="xsd:double"&gt;0.768435&lt;/D&gt;&lt;D xsi:type="xsd:double"&gt;6.4056993&lt;/D&gt;&lt;D xsi:type="xsd:double"&gt;1.051116&lt;/D&gt;&lt;D xsi:type="xsd:double"&gt;-3.2670736&lt;/D&gt;&lt;D xsi:type="xsd:double"&gt;7.1651936&lt;/D&gt;&lt;D xsi:type="xsd:double"&gt;3.6058426&lt;/D&gt;&lt;D xsi:type="xsd:double"&gt;5.430913&lt;/D&gt;&lt;D xsi:type="xsd:double"&gt;2.0514965&lt;/D&gt;&lt;D xsi:type="xsd:double"&gt;-6.442356&lt;/D&gt;&lt;D xsi:type="xsd:double"&gt;-4.0439787&lt;/D&gt;&lt;D xsi:type="xsd:double"&gt;0.723505&lt;/D&gt;&lt;D xsi:type="xsd:double"&gt;10.610331&lt;/D&gt;&lt;D xsi:type="xsd:double"&gt;-7.8926086&lt;/D&gt;&lt;D xsi:type="xsd:double"&gt;-1.0621905&lt;/D&gt;&lt;D xsi:type="xsd:double"&gt;-2.8518796&lt;/D&gt;&lt;D xsi:type="xsd:double"&gt;-9.339703&lt;/D&gt;&lt;D xsi:type="xsd:double"&gt;0.957942&lt;/D&gt;&lt;D xsi:type="xsd:double"&gt;-3.6900282&lt;/D&gt;&lt;D xsi:type="xsd:double"&gt;-4.7619104&lt;/D&gt;&lt;D xsi:type="xsd:double"&gt;2.9310346&lt;/D&gt;&lt;D xsi:type="xsd:double"&gt;7.7051997&lt;/D&gt;&lt;D xsi:type="xsd:double"&gt;-3.3465207&lt;/D&gt;&lt;D xsi:type="xsd:double"&gt;1.2820482&lt;/D&gt;&lt;D xsi:type="xsd:double"&gt;0.4402876&lt;/D&gt;&lt;D xsi:type="xsd:double"&gt;-3.4520507&lt;/D&gt;&lt;D xsi:type="xsd:double"&gt;-6.5834403&lt;/D&gt;&lt;D xsi:type="xsd:double"&gt;6.865132&lt;/D&gt;&lt;D xsi:type="xsd:double"&gt;-0.9096086&lt;/D&gt;&lt;D xsi:type="xsd:double"&gt;0.8605838&lt;/D&gt;&lt;D xsi:type="xsd:double"&gt;1.2514234&lt;/D&gt;&lt;D xsi:type="xsd:double"&gt;1.4045&lt;/D&gt;&lt;D xsi:type="xsd:double"&gt;-3.490299&lt;/D&gt;&lt;D xsi:type="xsd:double"&gt;-0.5166471&lt;/D&gt;&lt;D xsi:type="xsd:double"&gt;-1.2213111&lt;/D&gt;&lt;D xsi:type="xsd:double"&gt;3.6697268&lt;/D&gt;&lt;D xsi:type="xsd:double"&gt;2.6548624&lt;/D&gt;&lt;D xsi:type="xsd:double"&gt;4.3103456&lt;/D&gt;&lt;D xsi:type="xsd:double"&gt;1.9283772&lt;/D&gt;&lt;D xsi:type="xsd:double"&gt;-1.405406&lt;/D&gt;&lt;D xsi:type="xsd:double"&gt;-0.91175437&lt;/D&gt;&lt;D xsi:type="xsd:double"&gt;0.05620718&lt;/D&gt;&lt;D xsi:type="xsd:double"&gt;1.5730381&lt;/D&gt;&lt;D xsi:type="xsd:double"&gt;-0.8849561&lt;/D&gt;&lt;D xsi:type="xsd:double"&gt;-1.1160731&lt;/D&gt;&lt;D xsi:type="xsd:double"&gt;7.562077&lt;/D&gt;&lt;D xsi:type="xsd:double"&gt;-4.795021&lt;/D&gt;&lt;D xsi:type="xsd:double"&gt;6.715584&lt;/D&gt;&lt;D xsi:type="xsd:double"&gt;6.1872005&lt;/D&gt;&lt;D xsi:type="xsd:double"&gt;-0.69720745&lt;/D&gt;&lt;D xsi:type="xsd:double"&gt;-4.037112&lt;/D&gt;&lt;D xsi:type="xsd:double"&gt;-2.7175367&lt;/D&gt;&lt;/FQL&gt;&lt;FQL&gt;&lt;Q&gt;ECH^JULIAN(FG_TOTAL_RETURNC(-5AY,0,AM).DATES)&lt;/Q&gt;&lt;R&gt;61&lt;/R&gt;&lt;C&gt;1&lt;/C&gt;&lt;D xsi:type="xsd:long"&gt;44155&lt;/D&gt;&lt;D xsi:type="xsd:long"&gt;44183&lt;/D&gt;&lt;D xsi:type="xsd:long"&gt;44216&lt;/D&gt;&lt;D xsi:type="xsd:long"&gt;44246&lt;/D&gt;&lt;D xsi:type="xsd:long"&gt;44274&lt;/D&gt;&lt;D xsi:type="xsd:long"&gt;44306&lt;/D&gt;&lt;D xsi:type="xsd:long"&gt;44336&lt;/D&gt;&lt;D xsi:type="xsd:long"&gt;44365&lt;/D&gt;&lt;D xsi:type="xsd:long"&gt;44397&lt;/D&gt;&lt;D xsi:type="xsd:long"&gt;44428&lt;/D&gt;&lt;D xsi:type="xsd:long"&gt;44459&lt;/D&gt;&lt;D xsi:type="xsd:long"&gt;44489&lt;/D&gt;&lt;D xsi:type="xsd:long"&gt;44519&lt;/D&gt;&lt;D xsi:type="xsd:long"&gt;44550&lt;/D&gt;&lt;D xsi:type="xsd:long"&gt;44581&lt;/D&gt;&lt;D xsi:type="xsd:long"&gt;44610&lt;/D&gt;&lt;D xsi:type="xsd:long"&gt;44638&lt;/D&gt;&lt;D xsi:type="xsd:long"&gt;44671&lt;/D&gt;&lt;D xsi:type="xsd:long"&gt;44701&lt;/D&gt;&lt;D xsi:type="xsd:long"&gt;44729&lt;/D&gt;&lt;D xsi:type="xsd:long"&gt;44762&lt;/D&gt;&lt;D xsi:type="xsd:long"&gt;44792&lt;/D&gt;&lt;D xsi:type="xsd:long"&gt;44824&lt;/D&gt;&lt;D xsi:type="xsd:long"&gt;44854&lt;/D&gt;&lt;D xsi:type="xsd:long"&gt;44883&lt;/D&gt;&lt;D xsi:type="xsd:long"&gt;44915&lt;/D&gt;&lt;D xsi:type="xsd:long"&gt;44946&lt;/D&gt;&lt;D xsi:type="xsd:long"&gt;44974&lt;/D&gt;&lt;D xsi:type="xsd:long"&gt;45005&lt;/D&gt;&lt;D xsi:type="xsd:long"&gt;45036&lt;/D&gt;&lt;D xsi:type="xsd:long"&gt;45065&lt;/D&gt;&lt;D xsi:type="xsd:long"&gt;45097&lt;/D&gt;&lt;D xsi:type="xsd:long"&gt;45127&lt;/D&gt;&lt;D xsi:type="xsd:long"&gt;45156&lt;/D&gt;&lt;D xsi:type="xsd:long"&gt;45189&lt;/D&gt;&lt;D xsi:type="xsd:long"&gt;45219&lt;/D&gt;&lt;D xsi:type="xsd:long"&gt;45250&lt;/D&gt;&lt;D xsi:type="xsd:long"&gt;45280&lt;/D&gt;&lt;D xsi:type="xsd:long"&gt;45310&lt;/D&gt;&lt;D xsi:type="xsd:long"&gt;45342&lt;/D&gt;&lt;D xsi:type="xsd:long"&gt;45371&lt;/D&gt;&lt;D xsi:type="xsd:long"&gt;45401&lt;/D&gt;&lt;D xsi:type="xsd:long"&gt;45432&lt;/D&gt;&lt;D xsi:type="xsd:long"&gt;45463&lt;/D&gt;&lt;D xsi:type="xsd:long"&gt;45492&lt;/D&gt;&lt;D xsi:type="xsd:long"&gt;45524&lt;/D&gt;&lt;D xsi:type="xsd:long"&gt;45555&lt;/D&gt;&lt;D xsi:type="xsd:long"&gt;45583&lt;/D&gt;&lt;D xsi:type="xsd:long"&gt;45616&lt;/D&gt;&lt;D xsi:type="xsd:long"&gt;45646&lt;/D&gt;&lt;D xsi:type="xsd:long"&gt;45674&lt;/D&gt;&lt;D xsi:type="xsd:long"&gt;45708&lt;/D&gt;&lt;D xsi:type="xsd:long"&gt;45736&lt;/D&gt;&lt;D xsi:type="xsd:long"&gt;45764&lt;/D&gt;&lt;D xsi:type="xsd:long"&gt;45797&lt;/D&gt;&lt;D xsi:type="xsd:long"&gt;45828&lt;/D&gt;&lt;D xsi:type="xsd:long"&gt;45856&lt;/D&gt;&lt;D xsi:type="xsd:long"&gt;45889&lt;/D&gt;&lt;D xsi:type="xsd:long"&gt;45919&lt;/D&gt;&lt;D xsi:type="xsd:long"&gt;45950&lt;/D&gt;&lt;D xsi:type="xsd:long"&gt;45981&lt;/D&gt;&lt;/FQL&gt;&lt;FQL&gt;&lt;Q&gt;VNM^FG_PRICE(0,-200D)&lt;/Q&gt;&lt;R&gt;201&lt;/R&gt;&lt;C&gt;1&lt;/C&gt;&lt;D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</t>
        </r>
      </text>
    </comment>
    <comment ref="A3" authorId="0" shapeId="0" xr:uid="{5B967CC9-E2A2-48F8-84DE-07424341B5B0}">
      <text>
        <r>
          <rPr>
            <b/>
            <sz val="9"/>
            <color indexed="81"/>
            <rFont val="Tahoma"/>
            <charset val="1"/>
          </rPr>
          <t>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xsi:type="xsd:double"&gt;12.05&lt;/D&gt;&lt;D xsi:type="xsd:double"&gt;11.95&lt;/D&gt;&lt;D xsi:type="xsd:double"&gt;12.01&lt;/D&gt;&lt;D xsi:type="xsd:double"&gt;12&lt;/D&gt;&lt;D xsi:type="xsd:double"&gt;11.62&lt;/D&gt;&lt;D xsi:type="xsd:double"&gt;11.64&lt;/D&gt;&lt;D xsi:type="xsd:double"&gt;11.51&lt;/D&gt;&lt;D xsi:type="xsd:double"&gt;11.73&lt;/D&gt;&lt;D xsi:type="xsd:double"&gt;11.5&lt;/D&gt;&lt;D xsi:type="xsd:double"&gt;11.74&lt;/D&gt;&lt;D xsi:type="xsd:double"&gt;11.93&lt;/D&gt;&lt;D xsi:type="xsd:double"&gt;11.87&lt;/D&gt;&lt;D xsi:type="xsd:double"&gt;11.31&lt;/D&gt;&lt;D xsi:type="xsd:double"&gt;11.46&lt;/D&gt;&lt;D xsi:type="xsd:double"&gt;10.13&lt;/D&gt;&lt;D xsi:type="xsd:double"&gt;11.16&lt;/D&gt;&lt;D xsi:type="xsd:double"&gt;11.64&lt;/D&gt;&lt;D xsi:type="xsd:double"&gt;11.4&lt;/D&gt;&lt;D xsi:type="xsd:double"&gt;12.7&lt;/D&gt;&lt;D xsi:type="xsd:double"&gt;12.56&lt;/D&gt;&lt;D xsi:type="xsd:double"&gt;12.48&lt;/D&gt;&lt;D xsi:type="xsd:double"&gt;12.38&lt;/D&gt;&lt;D xsi:type="xsd:double"&gt;12.56&lt;/D&gt;&lt;D xsi:type="xsd:double"&gt;12.49&lt;/D&gt;&lt;D xsi:type="xsd:double"&gt;12.69&lt;/D&gt;&lt;D xsi:type="xsd:double"&gt;12.7&lt;/D&gt;&lt;D xsi:type="xsd:double"&gt;12.54&lt;/D&gt;&lt;D xsi:type="xsd:double"&gt;12.4&lt;/D&gt;&lt;D xsi:type="xsd:double"&gt;12.6&lt;/D&gt;&lt;D xsi:type="xsd:double"&gt;12.62&lt;/D&gt;&lt;D xsi:type="xsd:double"&gt;12.76&lt;/D&gt;&lt;D xsi:type="xsd:double"&gt;12.66&lt;/D&gt;&lt;D xsi:type="xsd:double"&gt;12.44&lt;/D&gt;&lt;D xsi:type="xsd:double"&gt;12.58&lt;/D&gt;&lt;D xsi:type="xsd:double"&gt;12.41&lt;/D&gt;&lt;D xsi:type="xsd:double"&gt;12.24&lt;/D&gt;&lt;D xsi:type="xsd:double"&gt;12.4&lt;/D&gt;&lt;D xsi:type="xsd:double"&gt;12.2&lt;/D&gt;&lt;D xsi:type="xsd:double"&gt;11.95&lt;/D&gt;&lt;D xsi:type="xsd:double"&gt;11.97&lt;/D&gt;&lt;D xsi:type="xsd:double"&gt;12.04&lt;/D&gt;&lt;D xsi:type="xsd:double"&gt;12.04&lt;/D&gt;&lt;D xsi:type="xsd:double"&gt;11.965&lt;/D&gt;&lt;D xsi:type="xsd:double"&gt;11.89&lt;/D&gt;&lt;D xsi:type="xsd:double"&gt;11.94&lt;/D&gt;&lt;D xsi:type="xsd:double"&gt;11.945&lt;/D&gt;&lt;D xsi:type="xsd:double"&gt;11.75&lt;/D&gt;&lt;D xsi:type="xsd:double"&gt;11.82&lt;/D&gt;&lt;D xsi:type="xsd:double"&gt;11.77&lt;/D&gt;&lt;D xsi:type="xsd:double"&gt;11.51&lt;/D&gt;&lt;D xsi:type="xsd:double"&gt;11.48&lt;/D&gt;&lt;D xsi:type="xsd:double"&gt;11.49&lt;/D&gt;&lt;D xsi:type="xsd:double"&gt;11.33&lt;/D&gt;&lt;D xsi:type="xsd:double"&gt;11.34&lt;/D&gt;&lt;D xsi:type="xsd:double"&gt;11.4&lt;/D&gt;&lt;D xsi:type="xsd:double"&gt;11.46&lt;/D&gt;&lt;D xsi:type="xsd:double"&gt;11.59&lt;/D&gt;&lt;D xsi:type="xsd:double"&gt;11.68&lt;/D&gt;&lt;/FQL&gt;&lt;FQL&gt;&lt;Q&gt;EWM^FG_TOTAL_RETURNC(-5AY,0,AM)&lt;/Q&gt;&lt;R&gt;61&lt;/R&gt;&lt;C&gt;1&lt;/C&gt;&lt;D xsi:type="xsd:double"&gt;4.427767&lt;/D&gt;&lt;D xsi:type="xsd:double"&gt;4.671216&lt;/D&gt;&lt;D xsi:type="xsd:double"&gt;-3.6388576&lt;/D&gt;&lt;D xsi:type="xsd:double"&gt;-1.6387582&lt;/D&gt;&lt;D xsi:type="xsd:double"&gt;1.8471599&lt;/D&gt;&lt;D xsi:type="xsd:double"&gt;-1.7425358&lt;/D&gt;&lt;D xsi:type="xsd:double"&gt;-1.6286612&lt;/D&gt;&lt;D xsi:type="xsd:double"&gt;-0.03809333&lt;/D&gt;&lt;D xsi:type="xsd:double"&gt;-5.732727&lt;/D&gt;&lt;D xsi:type="xsd:double"&gt;0&lt;/D&gt;&lt;D xsi:type="xsd:double"&gt;1.1276722&lt;/D&gt;&lt;D xsi:type="xsd:double"&gt;7.5667024&lt;/D&gt;&lt;D xsi:type="xsd:double"&gt;-6.8493185&lt;/D&gt;&lt;D xsi:type="xsd:double"&gt;-2.5013924&lt;/D&gt;&lt;D xsi:type="xsd:double"&gt;3.0315757&lt;/D&gt;&lt;D xsi:type="xsd:double"&gt;4.8630953&lt;/D&gt;&lt;D xsi:type="xsd:double"&gt;-0.038969517&lt;/D&gt;&lt;D xsi:type="xsd:double"&gt;-1.1695862&lt;/D&gt;&lt;D xsi:type="xsd:double"&gt;-5.6410255&lt;/D&gt;&lt;D xsi:type="xsd:double"&gt;-6.6154957&lt;/D&gt;&lt;D xsi:type="xsd:double"&gt;-1.2791157&lt;/D&gt;&lt;D xsi:type="xsd:double"&gt;3.9333582&lt;/D&gt;&lt;D xsi:type="xsd:double"&gt;-4.3633103&lt;/D&gt;&lt;D xsi:type="xsd:double"&gt;-4.09683&lt;/D&gt;&lt;D xsi:type="xsd:double"&gt;5.0970793&lt;/D&gt;&lt;D xsi:type="xsd:double"&gt;4.046035&lt;/D&gt;&lt;D xsi:type="xsd:double"&gt;7.39578&lt;/D&gt;&lt;D xsi:type="xsd:double"&gt;-5.8848085&lt;/D&gt;&lt;D xsi:type="xsd:double"&gt;-4.567623&lt;/D&gt;&lt;D xsi:type="xsd:double"&gt;2.3234248&lt;/D&gt;&lt;D xsi:type="xsd:double"&gt;-2.043599&lt;/D&gt;&lt;D xsi:type="xsd:double"&gt;-5.129319&lt;/D&gt;&lt;D xsi:type="xsd:double"&gt;4.079604&lt;/D&gt;&lt;D xsi:type="xsd:double"&gt;0.047802925&lt;/D&gt;&lt;D xsi:type="xsd:double"&gt;1.051116&lt;/D&gt;&lt;D xsi:type="xsd:double"&gt;-2.9787183&lt;/D&gt;&lt;D xsi:type="xsd:double"&gt;4.38596&lt;/D&gt;&lt;D xsi:type="xsd:double"&gt;-0.13291836&lt;/D&gt;&lt;D xsi:type="xsd:double"&gt;-0.047576427&lt;/D&gt;&lt;D xsi:type="xsd:double"&gt;3.0937672&lt;/D&gt;&lt;D xsi:type="xsd:double"&gt;1.0618687&lt;/D&gt;&lt;D xsi:type="xsd:double"&gt;-0.59387684&lt;/D&gt;&lt;D xsi:type="xsd:double"&gt;7.6286793&lt;/D&gt;&lt;D xsi:type="xsd:double"&gt;-2.6497543&lt;/D&gt;&lt;D xsi:type="xsd:double"&gt;3.7433147&lt;/D&gt;&lt;D xsi:type="xsd:double"&gt;7.560134&lt;/D&gt;&lt;D xsi:type="xsd:double"&gt;7.587862&lt;/D&gt;&lt;D xsi:type="xsd:double"&gt;-3.7861943&lt;/D&gt;&lt;D xsi:type="xsd:double"&gt;-6.4814806&lt;/D&gt;&lt;D xsi:type="xsd:double"&gt;-0.22474527&lt;/D&gt;&lt;D xsi:type="xsd:double"&gt;-1.263684&lt;/D&gt;&lt;D xsi:type="xsd:double"&gt;3.583622&lt;/D&gt;&lt;D xsi:type="xsd:double"&gt;-5.518949&lt;/D&gt;&lt;D xsi:type="xsd:double"&gt;-0.74106455&lt;/D&gt;&lt;D xsi:type="xsd:double"&gt;7.5977087&lt;/D&gt;&lt;D xsi:type="xsd:double"&gt;-2.420777&lt;/D&gt;&lt;D xsi:type="xsd:double"&gt;2.2212744&lt;/D&gt;&lt;D xsi:type="xsd:double"&gt;5.265355&lt;/D&gt;&lt;D xsi:type="xsd:double"&gt;1.5879273&lt;/D&gt;&lt;D xsi:type="xsd:double"&gt;0.89879036&lt;/D&gt;&lt;D xsi:type="xsd:double"&gt;0.8907795&lt;/D&gt;&lt;/FQL&gt;&lt;FQL&gt;&lt;Q&gt;UAE^FG_PRICE(0,-200D)&lt;/Q&gt;&lt;R&gt;201&lt;/R&gt;&lt;C&gt;1&lt;/C&gt;&lt;D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xsi:type="xsd:double"&gt;17.99&lt;/D&gt;&lt;D xsi:type="xsd:double"&gt;17.64&lt;/D&gt;&lt;D xsi:type="xsd:double"&gt;17.47&lt;/D&gt;&lt;D xsi:type="xsd:double"&gt;17.57&lt;/D&gt;&lt;D xsi:type="xsd:double"&gt;17.23&lt;/D&gt;&lt;D xsi:type="xsd:double"&gt;17.01&lt;/D&gt;&lt;D xsi:type="xsd:double"&gt;16.76&lt;/D&gt;&lt;D xsi:type="xsd:double"&gt;16.76&lt;/D&gt;&lt;D xsi:type="xsd:double"&gt;16.68&lt;/D&gt;&lt;D xsi:type="xsd:double"&gt;16.79&lt;/D&gt;&lt;D xsi:type="xsd:double"&gt;16.71&lt;/D&gt;&lt;D xsi:type="xsd:double"&gt;16.51&lt;/D&gt;&lt;D xsi:type="xsd:double"&gt;16.17&lt;/D&gt;&lt;D xsi:type="xsd:double"&gt;16.46&lt;/D&gt;&lt;D xsi:type="xsd:double"&gt;15.58&lt;/D&gt;&lt;D xsi:type="xsd:double"&gt;15.88&lt;/D&gt;&lt;D xsi:type="xsd:double"&gt;15.6&lt;/D&gt;&lt;D xsi:type="xsd:double"&gt;16.35&lt;/D&gt;&lt;D xsi:type="xsd:double"&gt;17&lt;/D&gt;&lt;D xsi:type="xsd:double"&gt;16.93&lt;/D&gt;&lt;D xsi:type="xsd:double"&gt;16.97&lt;/D&gt;&lt;D xsi:type="xsd:double"&gt;16.85&lt;/D&gt;&lt;D xsi:type="xsd:double"&gt;17.05&lt;/D&gt;&lt;D xsi:type="xsd:double"&gt;16.91&lt;/D&gt;&lt;D xsi:type="xsd:double"&gt;16.91&lt;/D&gt;&lt;D xsi:type="xsd:double"&gt;17.04&lt;/D&gt;&lt;D xsi:type="xsd:double"&gt;16.83&lt;/D&gt;&lt;D xsi:type="xsd:double"&gt;16.95&lt;/D&gt;&lt;D xsi:type="xsd:double"&gt;17.02&lt;/D&gt;&lt;D xsi:type="xsd:double"&gt;16.94&lt;/D&gt;&lt;D xsi:type="xsd:double"&gt;17.1&lt;/D&gt;&lt;D xsi:type="xsd:double"&gt;16.97&lt;/D&gt;&lt;D xsi:type="xsd:double"&gt;16.78&lt;/D&gt;&lt;D xsi:type="xsd:double"&gt;16.78&lt;/D&gt;&lt;D xsi:type="xsd:double"&gt;16.58&lt;/D&gt;&lt;D xsi:type="xsd:double"&gt;16.61&lt;/D&gt;&lt;D xsi:type="xsd:double"&gt;16.92&lt;/D&gt;&lt;D xsi:type="xsd:double"&gt;17.09&lt;/D&gt;&lt;D xsi:type="xsd:double"&gt;17.3&lt;/D&gt;&lt;D xsi:type="xsd:double"&gt;17.32&lt;/D&gt;&lt;D xsi:type="xsd:double"&gt;17.12&lt;/D&gt;&lt;D xsi:type="xsd:double"&gt;17.45&lt;/D&gt;&lt;D xsi:type="xsd:double"&gt;17.42&lt;/D&gt;&lt;D xsi:type="xsd:double"&gt;17.47&lt;/D&gt;&lt;D xsi:type="xsd:double"&gt;17.36&lt;/D&gt;&lt;D xsi:type="xsd:double"&gt;17.3&lt;/D&gt;&lt;D xsi:type="xsd:double"&gt;17.39&lt;/D&gt;&lt;D xsi:type="xsd:double"&gt;17.69&lt;/D&gt;&lt;D xsi:type="xsd:double"&gt;17.55&lt;/D&gt;&lt;D xsi:type="xsd:double"&gt;17.49&lt;/D&gt;&lt;D xsi:type="xsd:double"&gt;17.56&lt;/D&gt;&lt;D xsi:type="xsd:double"&gt;17.57&lt;/D&gt;&lt;D xsi:type="xsd:double"&gt;17.56&lt;/D&gt;&lt;D xsi:type="xsd:double"&gt;17.66&lt;/D&gt;&lt;D xsi:type="xsd:double"&gt;17.38&lt;/D&gt;&lt;D xsi:type="xsd:double"&gt;17.22&lt;/D&gt;&lt;D xsi:type="xsd:double"&gt;17.06&lt;/D&gt;&lt;D xsi:type="xsd:double"&gt;17.2&lt;/D&gt;&lt;/FQL&gt;&lt;FQL&gt;&lt;Q&gt;ENZL^FG_TOTAL_RETURNC(-5AY,0,AM)&lt;/Q&gt;&lt;R&gt;61&lt;/R&gt;&lt;C&gt;1&lt;/C&gt;&lt;D xsi:type="xsd:double"&gt;5.4771066&lt;/D&gt;&lt;D xsi:type="xsd:double"&gt;2.5325894&lt;/D&gt;&lt;D xsi:type="xsd:double"&gt;2.4431229&lt;/D&gt;&lt;D xsi:type="xsd:double"&gt;-3.13012&lt;/D&gt;&lt;D xsi:type="xsd:double"&gt;-1.3386607&lt;/D&gt;&lt;D xsi:type="xsd:double"&gt;-0.6706238&lt;/D&gt;&lt;D xsi:type="xsd:double"&gt;-1.4915943&lt;/D&gt;&lt;D xsi:type="xsd:double"&gt;-3.646499&lt;/D&gt;&lt;D xsi:type="xsd:double"&gt;1.702559&lt;/D&gt;&lt;D xsi:type="xsd:double"&gt;0.4677534&lt;/D&gt;&lt;D xsi:type="xsd:double"&gt;2.8342724&lt;/D&gt;&lt;D xsi:type="xsd:double"&gt;2.4463773&lt;/D&gt;&lt;D xsi:type="xsd:double"&gt;-6.6987157&lt;/D&gt;&lt;D xsi:type="xsd:double"&gt;-3.4968495&lt;/D&gt;&lt;D xsi:type="xsd:double"&gt;-2.1332383&lt;/D&gt;&lt;D xsi:type="xsd:double"&gt;-4.2880116&lt;/D&gt;&lt;D xsi:type="xsd:double"&gt;5.8241487&lt;/D&gt;&lt;D xsi:type="xsd:double"&gt;-5.6447268&lt;/D&gt;&lt;D xsi:type="xsd:double"&gt;-11.329222&lt;/D&gt;&lt;D xsi:type="xsd:double"&gt;-7.508421&lt;/D&gt;&lt;D xsi:type="xsd:double"&gt;6.0655&lt;/D&gt;&lt;D xsi:type="xsd:double"&gt;4.0878415&lt;/D&gt;&lt;D xsi:type="xsd:double"&gt;-5.9954047&lt;/D&gt;&lt;D xsi:type="xsd:double"&gt;-9.200001&lt;/D&gt;&lt;D xsi:type="xsd:double"&gt;14.023495&lt;/D&gt;&lt;D xsi:type="xsd:double"&gt;3.9573073&lt;/D&gt;&lt;D xsi:type="xsd:double"&gt;7.842326&lt;/D&gt;&lt;D xsi:type="xsd:double"&gt;-1.8853426&lt;/D&gt;&lt;D xsi:type="xsd:double"&gt;-4.960781&lt;/D&gt;&lt;D xsi:type="xsd:double"&gt;0.72209835&lt;/D&gt;&lt;D xsi:type="xsd:double"&gt;4.281032&lt;/D&gt;&lt;D xsi:type="xsd:double"&gt;-4.6332893&lt;/D&gt;&lt;D xsi:type="xsd:double"&gt;2.6835918&lt;/D&gt;&lt;D xsi:type="xsd:double"&gt;-7.941657&lt;/D&gt;&lt;D xsi:type="xsd:double"&gt;-1.8045783&lt;/D&gt;&lt;D xsi:type="xsd:double"&gt;-6.0735106&lt;/D&gt;&lt;D xsi:type="xsd:double"&gt;7.5399637&lt;/D&gt;&lt;D xsi:type="xsd:double"&gt;6.7468047&lt;/D&gt;&lt;D xsi:type="xsd:double"&gt;-2.015704&lt;/D&gt;&lt;D xsi:type="xsd:double"&gt;-3.4430504&lt;/D&gt;&lt;D xsi:type="xsd:double"&gt;2.018392&lt;/D&gt;&lt;D xsi:type="xsd:double"&gt;-3.275448&lt;/D&gt;&lt;D xsi:type="xsd:double"&gt;2.704537&lt;/D&gt;&lt;D xsi:type="xsd:double"&gt;1.7473817&lt;/D&gt;&lt;D xsi:type="xsd:double"&gt;1.205349&lt;/D&gt;&lt;D xsi:type="xsd:double"&gt;5.240357&lt;/D&gt;&lt;D xsi:type="xsd:double"&gt;1.3374567&lt;/D&gt;&lt;D xsi:type="xsd:double"&gt;-0.08121729&lt;/D&gt;&lt;D xsi:type="xsd:double"&gt;-4.2877493&lt;/D&gt;&lt;D xsi:type="xsd:double"&gt;-2.965349&lt;/D&gt;&lt;D xsi:type="xsd:double"&gt;0.7549882&lt;/D&gt;&lt;D xsi:type="xsd:double"&gt;-0.4852414&lt;/D&gt;&lt;D xsi:type="xsd:double"&gt;-7.6735973&lt;/D&gt;&lt;D xsi:type="xsd:double"&gt;4.191613&lt;/D&gt;&lt;D xsi:type="xsd:double"&gt;3.90805&lt;/D&gt;&lt;D xsi:type="xsd:double"&gt;-0.39316416&lt;/D&gt;&lt;D xsi:type="xsd:double"&gt;2.455163&lt;/D&gt;&lt;D xsi:type="xsd:double"&gt;-0.04376769&lt;/D&gt;&lt;D xsi:type="xsd:double"&gt;1.6091943&lt;/D&gt;&lt;D xsi:type="xsd:double"&gt;-1.8314958&lt;/D&gt;&lt;D xsi:type="xsd:double"&gt;-3.9727867&lt;/D&gt;&lt;/FQL&gt;&lt;FQL&gt;&lt;Q&gt;INDA^FG_TOTAL_RETURNC(-5AY,0,AM)&lt;/Q&gt;&lt;R&gt;61&lt;/R&gt;&lt;C&gt;1&lt;/C&gt;&lt;D xsi:type="xsd:double"&gt;4.138124&lt;/D&gt;&lt;D xsi:type="xsd:double"&gt;7.8715563&lt;/D&gt;&lt;D xsi:type="xsd:double"&gt;6.7632794&lt;/D&gt;&lt;D xsi:type="xsd:double"&gt;1.7623186&lt;/D&gt;&lt;D xsi:type="xsd:double"&gt;-0.6318748&lt;/D&gt;&lt;D xsi:type="xsd:double"&gt;-6.9006147&lt;/D&gt;&lt;D xsi:type="xsd:double"&gt;9.284091&lt;/D&gt;&lt;D xsi:type="xsd:double"&gt;1.8995166&lt;/D&gt;&lt;D xsi:type="xsd:double"&gt;0.27284622&lt;/D&gt;&lt;D xsi:type="xsd:double"&gt;4.9659967&lt;/D&gt;&lt;D xsi:type="xsd:double"&gt;5.5951595&lt;/D&gt;&lt;D xsi:type="xsd:double"&gt;2.6391149&lt;/D&gt;&lt;D xsi:type="xsd:double"&gt;-1.2158573&lt;/D&gt;&lt;D xsi:type="xsd:double"&gt;-6.304574&lt;/D&gt;&lt;D xsi:type="xsd:double"&gt;7.0379853&lt;/D&gt;&lt;D xsi:type="xsd:double"&gt;-4.435396&lt;/D&gt;&lt;D xsi:type="xsd:double"&gt;0.33632517&lt;/D&gt;&lt;D xsi:type="xsd:double"&gt;-0.067037344&lt;/D&gt;&lt;D xsi:type="xsd:double"&gt;-8.407873&lt;/D&gt;&lt;D xsi:type="xsd:double"&gt;-5.334467&lt;/D&gt;&lt;D xsi:type="xsd:double"&gt;3.9587379&lt;/D&gt;&lt;D xsi:type="xsd:double"&gt;7.417512&lt;/D&gt;&lt;D xsi:type="xsd:double"&gt;0.27713776&lt;/D&gt;&lt;D xsi:type="xsd:double"&gt;-5.251032&lt;/D&gt;&lt;D xsi:type="xsd:double"&gt;4.350996&lt;/D&gt;&lt;D xsi:type="xsd:double"&gt;-0.9317517&lt;/D&gt;&lt;D xsi:type="xsd:double"&gt;0.3526926&lt;/D&gt;&lt;D xsi:type="xsd:double"&gt;-5.529523&lt;/D&gt;&lt;D xsi:type="xsd:double"&gt;-4.389882&lt;/D&gt;&lt;D xsi:type="xsd:double"&gt;3.398192&lt;/D&gt;&lt;D xsi:type="xsd:double"&gt;2.5589585&lt;/D&gt;&lt;D xsi:type="xsd:double"&gt;5.409372&lt;/D&gt;&lt;D xsi:type="xsd:double"&gt;3.5805702&lt;/D&gt;&lt;D xsi:type="xsd:double"&gt;-2.7384877&lt;/D&gt;&lt;D xsi:type="xsd:double"&gt;3.5771966&lt;/D&gt;&lt;D xsi:type="xsd:double"&gt;-2.0053506&lt;/D&gt;&lt;D xsi:type="xsd:double"&gt;2.4329185&lt;/D&gt;&lt;D xsi:type="xsd:double"&gt;5.2164316&lt;/D&gt;&lt;D xsi:type="xsd:double"&gt;4.620254&lt;/D&gt;&lt;D xsi:type="xsd:double"&gt;3.972578&lt;/D&gt;&lt;D xsi:type="xsd:double"&gt;-2.2110224&lt;/D&gt;&lt;D xsi:type="xsd:double"&gt;1.8048525&lt;/D&gt;&lt;D xsi:type="xsd:double"&gt;3.4872293&lt;/D&gt;&lt;D xsi:type="xsd:double"&gt;3.4450293&lt;/D&gt;&lt;D xsi:type="xsd:double"&gt;2.2383928&lt;/D&gt;&lt;D xsi:type="xsd:double"&gt;0.7297993&lt;/D&gt;&lt;D xsi:type="xsd:double"&gt;3.7992597&lt;/D&gt;&lt;D xsi:type="xsd:double"&gt;-3.7112713&lt;/D&gt;&lt;D xsi:type="xsd:double"&gt;-5.180341&lt;/D&gt;&lt;D xsi:type="xsd:double"&gt;0.33740997&lt;/D&gt;&lt;D xsi:type="xsd:double"&gt;-4.193181&lt;/D&gt;&lt;D xsi:type="xsd:double"&gt;-2.149272&lt;/D&gt;&lt;D xsi:type="xsd:double"&gt;1.3578176&lt;/D&gt;&lt;D xsi:type="xsd:double"&gt;2.955079&lt;/D&gt;&lt;D xsi:type="xsd:double"&gt;3.463459&lt;/D&gt;&lt;D xsi:type="xsd:double"&gt;-0.31440258&lt;/D&gt;&lt;D xsi:type="xsd:double"&gt;1.1131644&lt;/D&gt;&lt;D xsi:type="xsd:double"&gt;-1.2844026&lt;/D&gt;&lt;D xsi:type="xsd:double"&gt;0.26022196&lt;/D&gt;&lt;D xsi:type="xsd:double"&gt;1.4831305&lt;/D&gt;&lt;D xsi:type="xsd:double"&gt;-0.036537647&lt;/D&gt;&lt;/FQL&gt;&lt;FQL&gt;&lt;Q&gt;EPU^FG_TOTAL_RETURNC(-5AY,0,AM)&lt;/Q&gt;&lt;R&gt;61&lt;/R&gt;&lt;C&gt;1&lt;/C&gt;&lt;D xsi:type="xsd:double"&gt;7.0275784&lt;/D&gt;&lt;D xsi:type="xsd:double"&gt;9.992814&lt;/D&gt;&lt;D xsi:type="xsd:double"&gt;2.5272846&lt;/D&gt;&lt;D xsi:type="xsd:double"&gt;6.9467783&lt;/D&gt;&lt;D xsi:type="xsd:double"&gt;-6.4169765&lt;/D&gt;&lt;D xsi:type="xsd:double"&gt;-8.08844&lt;/D&gt;&lt;D xsi:type="xsd:double"&gt;2.4969578&lt;/D&gt;&lt;D xsi:type="xsd:double"&gt;-14.914727&lt;/D&gt;&lt;D xsi:type="xsd:double"&gt;-1.4436603&lt;/D&gt;&lt;D xsi:type="xsd:double"&gt;-13.683456&lt;/D&gt;&lt;D xsi:type="xsd:double"&gt;8.733452&lt;/D&gt;&lt;D xsi:type="xsd:double"&gt;15.911686&lt;/D&gt;&lt;D xsi:type="xsd:double"&gt;-3.390807&lt;/D&gt;&lt;D xsi:type="xsd:double"&gt;-3.5333931&lt;/D&gt;&lt;D xsi:type="xsd:double"&gt;22.11399&lt;/D&gt;&lt;D xsi:type="xsd:double"&gt;1.9793272&lt;/D&gt;&lt;D xsi:type="xsd:double"&gt;6.5179586&lt;/D&gt;&lt;D xsi:type="xsd:double"&gt;-5.167258&lt;/D&gt;&lt;D xsi:type="xsd:double"&gt;-14.625746&lt;/D&gt;&lt;D xsi:type="xsd:double"&gt;-2.9973447&lt;/D&gt;&lt;D xsi:type="xsd:double"&gt;-8.294434&lt;/D&gt;&lt;D xsi:type="xsd:double"&gt;2.270949&lt;/D&gt;&lt;D xsi:type="xsd:double"&gt;-1.6845345&lt;/D&gt;&lt;D xsi:type="xsd:double"&gt;-1.4797568&lt;/D&gt;&lt;D xsi:type="xsd:double"&gt;14.071155&lt;/D&gt;&lt;D xsi:type="xsd:double"&gt;-0.8508444&lt;/D&gt;&lt;D xsi:type="xsd:double"&gt;11.842108&lt;/D&gt;&lt;D xsi:type="xsd:double"&gt;-5.882353&lt;/D&gt;&lt;D xsi:type="xsd:double"&gt;-2.4324358&lt;/D&gt;&lt;D xsi:type="xsd:double"&gt;9.072029&lt;/D&gt;&lt;D xsi:type="xsd:double"&gt;-3.8730145&lt;/D&gt;&lt;D xsi:type="xsd:double"&gt;4.8184037&lt;/D&gt;&lt;D xsi:type="xsd:double"&gt;5.778718&lt;/D&gt;&lt;D xsi:type="xsd:double"&gt;-5.249548&lt;/D&gt;&lt;D xsi:type="xsd:double"&gt;0.4505992&lt;/D&gt;&lt;D xsi:type="xsd:double"&gt;-7.0752916&lt;/D&gt;&lt;D xsi:type="xsd:double"&gt;6.958878&lt;/D&gt;&lt;D xsi:type="xsd:double"&gt;11.351479&lt;/D&gt;&lt;D xsi:type="xsd:double"&gt;-1.6401589&lt;/D&gt;&lt;D xsi:type="xsd:double"&gt;5.1293373&lt;/D&gt;&lt;D xsi:type="xsd:double"&gt;12.911868&lt;/D&gt;&lt;D xsi:type="xsd:double"&gt;1.3640046&lt;/D&gt;&lt;D xsi:type="xsd:double"&gt;12.187803&lt;/D&gt;&lt;D xsi:type="xsd:double"&gt;-6.9850087&lt;/D&gt;&lt;D xsi:type="xsd:double"&gt;0.58852434&lt;/D&gt;&lt;D xsi:type="xsd:double"&gt;-1.0726452&lt;/D&gt;&lt;D xsi:type="xsd:double"&gt;1.8955112&lt;/D&gt;&lt;D xsi:type="xsd:double"&gt;7.740891&lt;/D&gt;&lt;D xsi:type="xsd:double"&gt;-2.5420845&lt;/D&gt;&lt;D xsi:type="xsd:double"&gt;-4.5155525&lt;/D&gt;&lt;D xsi:type="xsd:double"&gt;0.6315589&lt;/D&gt;&lt;D xsi:type="xsd:double"&gt;4.1790366&lt;/D&gt;&lt;D xsi:type="xsd:double"&gt;5.837643&lt;/D&gt;&lt;D xsi:type="xsd:double"&gt;-3.1159878&lt;/D&gt;&lt;D xsi:type="xsd:double"&gt;5.486107&lt;/D&gt;&lt;D xsi:type="xsd:double"&gt;5.253756&lt;/D&gt;&lt;D xsi:type="xsd:double"&gt;2.63381&lt;/D&gt;&lt;D xsi:type="xsd:double"&gt;7.098508&lt;/D&gt;&lt;D xsi:type="xsd:double"&gt;11.712467&lt;/D&gt;&lt;D xsi:type="xsd:double"&gt;10.705196&lt;/D&gt;&lt;D xsi:type="xsd:double"&gt;-7.03125&lt;/D&gt;&lt;/FQL&gt;&lt;FQL&gt;&lt;Q&gt;EWG^FG_PRICE(0,-200D)&lt;/Q&gt;&lt;R&gt;201&lt;/R&gt;&lt;C&gt;1&lt;/C&gt;&lt;D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xsi:type="xsd:double"&gt;39.67&lt;/D&gt;&lt;D xsi:type="xsd:double"&gt;39.47&lt;/D&gt;&lt;D xsi:type="xsd:double"&gt;39.36&lt;/D&gt;&lt;D xsi:type="xsd:double"&gt;39.03&lt;/D&gt;&lt;D xsi:type="xsd:double"&gt;38.44&lt;/D&gt;&lt;D xsi:type="xsd:double"&gt;38.03&lt;/D&gt;&lt;D xsi:type="xsd:double"&gt;37.03&lt;/D&gt;&lt;D xsi:type="xsd:double"&gt;37.4&lt;/D&gt;&lt;D xsi:type="xsd:double"&gt;37.22&lt;/D&gt;&lt;D xsi:type="xsd:double"&gt;37.2&lt;/D&gt;&lt;D xsi:type="xsd:double"&gt;36.82&lt;/D&gt;&lt;D xsi:type="xsd:double"&gt;36.37&lt;/D&gt;&lt;D xsi:type="xsd:double"&gt;35.8&lt;/D&gt;&lt;D xsi:type="xsd:double"&gt;36.22&lt;/D&gt;&lt;D xsi:type="xsd:double"&gt;33.22&lt;/D&gt;&lt;D xsi:type="xsd:double"&gt;33.55&lt;/D&gt;&lt;D xsi:type="xsd:double"&gt;34.32&lt;/D&gt;&lt;D xsi:type="xsd:double"&gt;36.73&lt;/D&gt;&lt;D xsi:type="xsd:double"&gt;37.38&lt;/D&gt;&lt;D xsi:type="xsd:double"&gt;37.29&lt;/D&gt;&lt;D xsi:type="xsd:double"&gt;37.08&lt;/D&gt;&lt;D xsi:type="xsd:double"&gt;37.39&lt;/D&gt;&lt;D xsi:type="xsd:double"&gt;37.59&lt;/D&gt;&lt;D xsi:type="xsd:double"&gt;37.56&lt;/D&gt;&lt;D xsi:type="xsd:double"&gt;38.38&lt;/D&gt;&lt;D xsi:type="xsd:double"&gt;38.03&lt;/D&gt;&lt;D xsi:type="xsd:double"&gt;38.09&lt;/D&gt;&lt;D xsi:type="xsd:double"&gt;38.36&lt;/D&gt;&lt;D xsi:type="xsd:double"&gt;39.04&lt;/D&gt;&lt;D xsi:type="xsd:double"&gt;39.31&lt;/D&gt;&lt;D xsi:type="xsd:double"&gt;39.03&lt;/D&gt;&lt;D xsi:type="xsd:double"&gt;38.62&lt;/D&gt;&lt;D xsi:type="xsd:double"&gt;37.59&lt;/D&gt;&lt;D xsi:type="xsd:double"&gt;37.99&lt;/D&gt;&lt;D xsi:type="xsd:double"&gt;37.74&lt;/D&gt;&lt;D xsi:type="xsd:double"&gt;37.79&lt;/D&gt;&lt;D xsi:type="xsd:double"&gt;38.81&lt;/D&gt;&lt;D xsi:type="xsd:double"&gt;38.59&lt;/D&gt;&lt;D xsi:type="xsd:double"&gt;38.53&lt;/D&gt;&lt;D xsi:type="xsd:double"&gt;37.03&lt;/D&gt;&lt;D xsi:type="xsd:double"&gt;37.16&lt;/D&gt;&lt;D xsi:type="xsd:double"&gt;36.07&lt;/D&gt;&lt;D xsi:type="xsd:double"&gt;36&lt;/D&gt;&lt;D xsi:type="xsd:double"&gt;36.71&lt;/D&gt;&lt;D xsi:type="xsd:double"&gt;36.58&lt;/D&gt;&lt;D xsi:type="xsd:double"&gt;36.07&lt;/D&gt;&lt;D xsi:type="xsd:double"&gt;35.91&lt;/D&gt;&lt;D xsi:type="xsd:double"&gt;36.19&lt;/D&gt;&lt;D xsi:type="xsd:double"&gt;36.06&lt;/D&gt;&lt;D xsi:type="xsd:double"&gt;36.9&lt;/D&gt;&lt;D xsi:type="xsd:double"&gt;36.42&lt;/D&gt;&lt;D xsi:type="xsd:double"&gt;36.41&lt;/D&gt;&lt;D xsi:type="xsd:double"&gt;35.75&lt;/D&gt;&lt;D xsi:type="xsd:double"&gt;35.4&lt;/D&gt;&lt;D xsi:type="xsd:double"&gt;34.9&lt;/D&gt;&lt;D xsi:type="xsd:double"&gt;34.64&lt;/D&gt;&lt;D xsi:type="xsd:double"&gt;35.11&lt;/D&gt;&lt;D xsi:type="xsd:double"&gt;34.71&lt;/D&gt;&lt;/FQL&gt;&lt;FQL&gt;&lt;Q&gt;SET-BKK^FG_PRICE(0,-200D)&lt;/Q&gt;&lt;R&gt;201&lt;/R&gt;&lt;C&gt;1&lt;/C&gt;&lt;D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xsi:type="xsd:double"&gt;1141.28&lt;/D&gt;&lt;D xsi:type="xsd:double"&gt;1138.9&lt;/D&gt;&lt;D xsi:type="xsd:double"&gt;1128.66&lt;/D&gt;&lt;D xsi:type="xsd:double"&gt;1133.95&lt;/D&gt;&lt;D xsi:type="xsd:double"&gt;1088.18&lt;/D&gt;&lt;D xsi:type="xsd:double"&gt;1074.59&lt;/D&gt;&lt;D xsi:type="xsd:double"&gt;1125.21&lt;/D&gt;&lt;D xsi:type="xsd:double"&gt;1161.81&lt;/D&gt;&lt;D xsi:type="xsd:double"&gt;1172.69&lt;/D&gt;&lt;D xsi:type="xsd:double"&gt;1168.02&lt;/D&gt;&lt;D xsi:type="xsd:double"&gt;1158.09&lt;/D&gt;&lt;D xsi:type="xsd:double"&gt;1175.45&lt;/D&gt;&lt;D xsi:type="xsd:double"&gt;1187.9&lt;/D&gt;&lt;D xsi:type="xsd:double"&gt;1190.36&lt;/D&gt;&lt;D xsi:type="xsd:double"&gt;1184.93&lt;/D&gt;&lt;D xsi:type="xsd:double"&gt;1190.06&lt;/D&gt;&lt;D xsi</t>
        </r>
      </text>
    </comment>
    <comment ref="A4" authorId="0" shapeId="0" xr:uid="{41532751-309C-4946-B6D0-BF8D0B567A4B}">
      <text>
        <r>
          <rPr>
            <b/>
            <sz val="9"/>
            <color indexed="81"/>
            <rFont val="Tahoma"/>
            <charset val="1"/>
          </rPr>
          <t>:type="xsd:double"&gt;1186.61&lt;/D&gt;&lt;D xsi:type="xsd:double"&gt;1181.71&lt;/D&gt;&lt;D xsi:type="xsd:double"&gt;1189.66&lt;/D&gt;&lt;D xsi:type="xsd:double"&gt;1176.17&lt;/D&gt;&lt;D xsi:type="xsd:double"&gt;1170.2&lt;/D&gt;&lt;D xsi:type="xsd:double"&gt;1173.76&lt;/D&gt;&lt;D xsi:type="xsd:double"&gt;1159.64&lt;/D&gt;&lt;D xsi:type="xsd:double"&gt;1160.06&lt;/D&gt;&lt;D xsi:type="xsd:double"&gt;1187.63&lt;/D&gt;&lt;D xsi:type="xsd:double"&gt;1177.44&lt;/D&gt;&lt;D xsi:type="xsd:double"&gt;1202.03&lt;/D&gt;&lt;D xsi:type="xsd:double"&gt;1189.55&lt;/D&gt;&lt;D xsi:type="xsd:double"&gt;1206.96&lt;/D&gt;&lt;D xsi:type="xsd:double"&gt;1177.64&lt;/D&gt;&lt;D xsi:type="xsd:double"&gt;1188.41&lt;/D&gt;&lt;D xsi:type="xsd:double"&gt;1203.72&lt;/D&gt;&lt;D xsi:type="xsd:double"&gt;1215.73&lt;/D&gt;&lt;D xsi:type="xsd:double"&gt;1231.14&lt;/D&gt;&lt;D xsi:type="xsd:double"&gt;1206.39&lt;/D&gt;&lt;D xsi:type="xsd:double"&gt;1235.85&lt;/D&gt;&lt;D xsi:type="xsd:double"&gt;1246.21&lt;/D&gt;&lt;D xsi:type="xsd:double"&gt;1245.61&lt;/D&gt;&lt;D xsi:type="xsd:double"&gt;1262.27&lt;/D&gt;&lt;D xsi:type="xsd:double"&gt;1257.48&lt;/D&gt;&lt;D xsi:type="xsd:double"&gt;1256.48&lt;/D&gt;&lt;D xsi:type="xsd:double"&gt;1272.1&lt;/D&gt;&lt;D xsi:type="xsd:double"&gt;1284.11&lt;/D&gt;&lt;D xsi:type="xsd:double"&gt;1283.97&lt;/D&gt;&lt;D xsi:type="xsd:double"&gt;1270.49&lt;/D&gt;&lt;D xsi:type="xsd:double"&gt;1282.09&lt;/D&gt;&lt;D xsi:type="xsd:double"&gt;1262.07&lt;/D&gt;&lt;D xsi:type="xsd:double"&gt;1286.74&lt;/D&gt;&lt;D xsi:type="xsd:double"&gt;1301.02&lt;/D&gt;&lt;D xsi:type="xsd:double"&gt;1304.39&lt;/D&gt;&lt;D xsi:type="xsd:double"&gt;1314.5&lt;/D&gt;&lt;D xsi:type="xsd:double"&gt;1335.64&lt;/D&gt;&lt;D xsi:type="xsd:double"&gt;1343.19&lt;/D&gt;&lt;D xsi:type="xsd:double"&gt;1345.77&lt;/D&gt;&lt;D xsi:type="xsd:double"&gt;1340.94&lt;/D&gt;&lt;D xsi:type="xsd:double"&gt;1354.07&lt;/D&gt;&lt;D xsi:type="xsd:double"&gt;1344.17&lt;/D&gt;&lt;/FQL&gt;&lt;FQL&gt;&lt;Q&gt;EWW^FG_PRICE(0,-200D)&lt;/Q&gt;&lt;R&gt;201&lt;/R&gt;&lt;C&gt;1&lt;/C&gt;&lt;D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xsi:type="xsd:double"&gt;56.42&lt;/D&gt;&lt;D xsi:type="xsd:double"&gt;58.12&lt;/D&gt;&lt;D xsi:type="xsd:double"&gt;57.94&lt;/D&gt;&lt;D xsi:type="xsd:double"&gt;57.34&lt;/D&gt;&lt;D xsi:type="xsd:double"&gt;56.51&lt;/D&gt;&lt;D xsi:type="xsd:double"&gt;55.51&lt;/D&gt;&lt;D xsi:type="xsd:double"&gt;54.34&lt;/D&gt;&lt;D xsi:type="xsd:double"&gt;54.93&lt;/D&gt;&lt;D xsi:type="xsd:double"&gt;53.02&lt;/D&gt;&lt;D xsi:type="xsd:double"&gt;52.19&lt;/D&gt;&lt;D xsi:type="xsd:double"&gt;51.91&lt;/D&gt;&lt;D xsi:type="xsd:double"&gt;50.68&lt;/D&gt;&lt;D xsi:type="xsd:double"&gt;50.3&lt;/D&gt;&lt;D xsi:type="xsd:double"&gt;51.86&lt;/D&gt;&lt;D xsi:type="xsd:double"&gt;48.06&lt;/D&gt;&lt;D xsi:type="xsd:double"&gt;48.52&lt;/D&gt;&lt;D xsi:type="xsd:double"&gt;49.92&lt;/D&gt;&lt;D xsi:type="xsd:double"&gt;54.26&lt;/D&gt;&lt;D xsi:type="xsd:double"&gt;52.16&lt;/D&gt;&lt;D xsi:type="xsd:double"&gt;52.05&lt;/D&gt;&lt;D xsi:type="xsd:double"&gt;50.96&lt;/D&gt;&lt;D xsi:type="xsd:double"&gt;51.62&lt;/D&gt;&lt;D xsi:type="xsd:double"&gt;52.15&lt;/D&gt;&lt;D xsi:type="xsd:double"&gt;52.01&lt;/D&gt;&lt;D xsi:type="xsd:double"&gt;52.59&lt;/D&gt;&lt;D xsi:type="xsd:double"&gt;52.04&lt;/D&gt;&lt;D xsi:type="xsd:double"&gt;51.7&lt;/D&gt;&lt;D xsi:type="xsd:double"&gt;52.26&lt;/D&gt;&lt;D xsi:type="xsd:double"&gt;52.42&lt;/D&gt;&lt;D xsi:type="xsd:double"&gt;52.41&lt;/D&gt;&lt;D xsi:type="xsd:double"&gt;53.28&lt;/D&gt;&lt;D xsi:type="xsd:double"&gt;52.36&lt;/D&gt;&lt;D xsi:type="xsd:double"&gt;51.19&lt;/D&gt;&lt;D xsi:type="xsd:double"&gt;50.98&lt;/D&gt;&lt;D xsi:type="xsd:double"&gt;50.25&lt;/D&gt;&lt;D xsi:type="xsd:double"&gt;50.16&lt;/D&gt;&lt;D xsi:type="xsd:double"&gt;51.53&lt;/D&gt;&lt;D xsi:type="xsd:double"&gt;51.45&lt;/D&gt;&lt;D xsi:type="xsd:double"&gt;51.03&lt;/D&gt;&lt;D xsi:type="xsd:double"&gt;50.02&lt;/D&gt;&lt;D xsi:type="xsd:double"&gt;49.85&lt;/D&gt;&lt;D xsi:type="xsd:double"&gt;50.52&lt;/D&gt;&lt;D xsi:type="xsd:double"&gt;50.59&lt;/D&gt;&lt;D xsi:type="xsd:double"&gt;51.49&lt;/D&gt;&lt;D xsi:type="xsd:double"&gt;51.05&lt;/D&gt;&lt;D xsi:type="xsd:double"&gt;51.67&lt;/D&gt;&lt;D xsi:type="xsd:double"&gt;51.99&lt;/D&gt;&lt;D xsi:type="xsd:double"&gt;52.86&lt;/D&gt;&lt;D xsi:type="xsd:double"&gt;52.25&lt;/D&gt;&lt;D xsi:type="xsd:double"&gt;53.22&lt;/D&gt;&lt;D xsi:type="xsd:double"&gt;52.67&lt;/D&gt;&lt;D xsi:type="xsd:double"&gt;52.38&lt;/D&gt;&lt;D xsi:type="xsd:double"&gt;51.91&lt;/D&gt;&lt;D xsi:type="xsd:double"&gt;51.28&lt;/D&gt;&lt;D xsi:type="xsd:double"&gt;50.76&lt;/D&gt;&lt;D xsi:type="xsd:double"&gt;50.68&lt;/D&gt;&lt;D xsi:type="xsd:double"&gt;50.71&lt;/D&gt;&lt;D xsi:type="xsd:double"&gt;49.57&lt;/D&gt;&lt;/FQL&gt;&lt;FQL&gt;&lt;Q&gt;CNYA^FG_PRICE(0,-200D)&lt;/Q&gt;&lt;R&gt;201&lt;/R&gt;&lt;C&gt;1&lt;/C&gt;&lt;D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xsi:type="xsd:double"&gt;27.14&lt;/D&gt;&lt;D xsi:type="xsd:double"&gt;27.14&lt;/D&gt;&lt;D xsi:type="xsd:double"&gt;27.25&lt;/D&gt;&lt;D xsi:type="xsd:double"&gt;27.29&lt;/D&gt;&lt;D xsi:type="xsd:double"&gt;27.2&lt;/D&gt;&lt;D xsi:type="xsd:double"&gt;27.16&lt;/D&gt;&lt;D xsi:type="xsd:double"&gt;27.04&lt;/D&gt;&lt;D xsi:type="xsd:double"&gt;26.82&lt;/D&gt;&lt;D xsi:type="xsd:double"&gt;26.92&lt;/D&gt;&lt;D xsi:type="xsd:double"&gt;26.7&lt;/D&gt;&lt;D xsi:type="xsd:double"&gt;26.96&lt;/D&gt;&lt;D xsi:type="xsd:double"&gt;27.09&lt;/D&gt;&lt;D xsi:type="xsd:double"&gt;26.64&lt;/D&gt;&lt;D xsi:type="xsd:double"&gt;26.4&lt;/D&gt;&lt;D xsi:type="xsd:double"&gt;24.95&lt;/D&gt;&lt;D xsi:type="xsd:double"&gt;24.71&lt;/D&gt;&lt;D xsi:type="xsd:double"&gt;26.56&lt;/D&gt;&lt;D xsi:type="xsd:double"&gt;27.65&lt;/D&gt;&lt;D xsi:type="xsd:double"&gt;27.91&lt;/D&gt;&lt;D xsi:type="xsd:double"&gt;27.92&lt;/D&gt;&lt;D xsi:type="xsd:double"&gt;28.03&lt;/D&gt;&lt;D xsi:type="xsd:double"&gt;28.08&lt;/D&gt;&lt;D xsi:type="xsd:double"&gt;28.34&lt;/D&gt;&lt;D xsi:type="xsd:double"&gt;28.16&lt;/D&gt;&lt;D xsi:type="xsd:double"&gt;28.33&lt;/D&gt;&lt;D xsi:type="xsd:double"&gt;28.3&lt;/D&gt;&lt;D xsi:type="xsd:double"&gt;28.17&lt;/D&gt;&lt;D xsi:type="xsd:double"&gt;28.46&lt;/D&gt;&lt;D xsi:type="xsd:double"&gt;28.96&lt;/D&gt;&lt;D xsi:type="xsd:double"&gt;29.02&lt;/D&gt;&lt;D xsi:type="xsd:double"&gt;29.2&lt;/D&gt;&lt;D xsi:type="xsd:double"&gt;29.34&lt;/D&gt;&lt;D xsi:type="xsd:double"&gt;28.34&lt;/D&gt;&lt;D xsi:type="xsd:double"&gt;28.435&lt;/D&gt;&lt;D xsi:type="xsd:double"&gt;28.51&lt;/D&gt;&lt;D xsi:type="xsd:double"&gt;28.09&lt;/D&gt;&lt;D xsi:type="xsd:double"&gt;28.45&lt;/D&gt;&lt;D xsi:type="xsd:double"&gt;28.625&lt;/D&gt;&lt;D xsi:type="xsd:double"&gt;28.38&lt;/D&gt;&lt;D xsi:type="xsd:double"&gt;27.97&lt;/D&gt;&lt;D xsi:type="xsd:double"&gt;27.77&lt;/D&gt;&lt;D xsi:type="xsd:double"&gt;27.96&lt;/D&gt;&lt;D xsi:type="xsd:double"&gt;28.41&lt;/D&gt;&lt;D xsi:type="xsd:double"&gt;28.5&lt;/D&gt;&lt;D xsi:type="xsd:double"&gt;28.38&lt;/D&gt;&lt;D xsi:type="xsd:double"&gt;28.45&lt;/D&gt;&lt;D xsi:type="xsd:double"&gt;28.73&lt;/D&gt;&lt;D xsi:type="xsd:double"&gt;28.63&lt;/D&gt;&lt;D xsi:type="xsd:double"&gt;28.23&lt;/D&gt;&lt;D xsi:type="xsd:double"&gt;28.12&lt;/D&gt;&lt;D xsi:type="xsd:double"&gt;28.55&lt;/D&gt;&lt;D xsi:type="xsd:double"&gt;28.1&lt;/D&gt;&lt;D xsi:type="xsd:double"&gt;28.118&lt;/D&gt;&lt;D xsi:type="xsd:double"&gt;27.8&lt;/D&gt;&lt;D xsi:type="xsd:double"&gt;28&lt;/D&gt;&lt;D xsi:type="xsd:double"&gt;27.865&lt;/D&gt;&lt;D xsi:type="xsd:double"&gt;27.48&lt;/D&gt;&lt;D xsi:type="xsd:double"&gt;27.21&lt;/D&gt;&lt;/FQL&gt;&lt;FQL&gt;&lt;Q&gt;EWU^FG_TOTAL_RETURNC(-5AY,0,AM)&lt;/Q&gt;&lt;R&gt;61&lt;/R&gt;&lt;C&gt;1&lt;/C&gt;&lt;D xsi:type="xsd:double"&gt;11.771607&lt;/D&gt;&lt;D xsi:type="xsd:double"&gt;3.9769769&lt;/D&gt;&lt;D xsi:type="xsd:double"&gt;5.173588&lt;/D&gt;&lt;D xsi:type="xsd:double"&gt;0.22653341&lt;/D&gt;&lt;D xsi:type="xsd:double"&gt;1.3561487&lt;/D&gt;&lt;D xsi:type="xsd:double"&gt;3.2175899&lt;/D&gt;&lt;D xsi:type="xsd:double"&gt;4.7222137&lt;/D&gt;&lt;D xsi:type="xsd:double"&gt;-2.9257715&lt;/D&gt;&lt;D xsi:type="xsd:double"&gt;-2.4081469&lt;/D&gt;&lt;D xsi:type="xsd:double"&gt;3.4482718&lt;/D&gt;&lt;D xsi:type="xsd:double"&gt;-2.5993884&lt;/D&gt;&lt;D xsi:type="xsd:double"&gt;6.3108325&lt;/D&gt;&lt;D xsi:type="xsd:double"&gt;-2.5398731&lt;/D&gt;&lt;D xsi:type="xsd:double"&gt;-0.9524286&lt;/D&gt;&lt;D xsi:type="xsd:double"&gt;7.576239&lt;/D&gt;&lt;D xsi:type="xsd:double"&gt;0.14611483&lt;/D&gt;&lt;D xsi:type="xsd:double"&gt;-2.7137458&lt;/D&gt;&lt;D xsi:type="xsd:double"&gt;2.4894953&lt;/D&gt;&lt;D xsi:type="xsd:double"&gt;-6.1164675&lt;/D&gt;&lt;D xsi:type="xsd:double"&gt;-7.369918&lt;/D&gt;&lt;D xsi:type="xsd:double"&gt;1.4050722&lt;/D&gt;&lt;D xsi:type="xsd:double"&gt;3.2443404&lt;/D&gt;&lt;D xsi:type="xsd:double"&gt;-8.052373&lt;/D&gt;&lt;D xsi:type="xsd:double"&gt;-4.663581&lt;/D&gt;&lt;D xsi:type="xsd:double"&gt;13.032114&lt;/D&gt;&lt;D xsi:type="xsd:double"&gt;2.3680806&lt;/D&gt;&lt;D xsi:type="xsd:double"&gt;7.304287&lt;/D&gt;&lt;D xsi:type="xsd:double"&gt;0.15263557&lt;/D&gt;&lt;D xsi:type="xsd:double"&gt;-5.272788&lt;/D&gt;&lt;D xsi:type="xsd:double"&gt;8.49421&lt;/D&gt;&lt;D xsi:type="xsd:double"&gt;-1.1862457&lt;/D&gt;&lt;D xsi:type="xsd:double"&gt;-0.44386387&lt;/D&gt;&lt;D xsi:type="xsd:double"&gt;2.0589948&lt;/D&gt;&lt;D xsi:type="xsd:double"&gt;-5.2393856&lt;/D&gt;&lt;D xsi:type="xsd:double"&gt;2.9869676&lt;/D&gt;&lt;D xsi:type="xsd:double"&gt;-4.9367485&lt;/D&gt;&lt;D xsi:type="xsd:double"&gt;4.316783&lt;/D&gt;&lt;D xsi:type="xsd:double"&gt;3.2889009&lt;/D&gt;&lt;D xsi:type="xsd:double"&gt;-1.5100181&lt;/D&gt;&lt;D xsi:type="xsd:double"&gt;2.8160214&lt;/D&gt;&lt;D xsi:type="xsd:double"&gt;2.6475906&lt;/D&gt;&lt;D xsi:type="xsd:double"&gt;-0.7115245&lt;/D&gt;&lt;D xsi:type="xsd:double"&gt;9.346067&lt;/D&gt;&lt;D xsi:type="xsd:double"&gt;-1.5776277&lt;/D&gt;&lt;D xsi:type="xsd:double"&gt;0.45261383&lt;/D&gt;&lt;D xsi:type="xsd:double"&gt;2.7316332&lt;/D&gt;&lt;D xsi:type="xsd:double"&gt;1.5350938&lt;/D&gt;&lt;D xsi:type="xsd:double"&gt;-0.08100271&lt;/D&gt;&lt;D xsi:type="xsd:double"&gt;-6.106454&lt;/D&gt;&lt;D xsi:type="xsd:double"&gt;-1.0153055&lt;/D&gt;&lt;D xsi:type="xsd:double"&gt;2.0480871&lt;/D&gt;&lt;D xsi:type="xsd:double"&gt;6.311798&lt;/D&gt;&lt;D xsi:type="xsd:double"&gt;3.6388516&lt;/D&gt;&lt;D xsi:type="xsd:double"&gt;-2.4023235&lt;/D&gt;&lt;D xsi:type="xsd:double"&gt;7.1409225&lt;/D&gt;&lt;D xsi:type="xsd:double"&gt;0.2178669&lt;/D&gt;&lt;D xsi:type="xsd:double"&gt;2.313614&lt;/D&gt;&lt;D xsi:type="xsd:double"&gt;4.824126&lt;/D&gt;&lt;D xsi:type="xsd:double"&gt;-0.86289644&lt;/D&gt;&lt;D xsi:type="xsd:double"&gt;1.9342303&lt;/D&gt;&lt;D xsi:type="xsd:double"&gt;-1.9449711&lt;/D&gt;&lt;/FQL&gt;&lt;FQL&gt;&lt;Q&gt;EZA^FG_TOTAL_RETURNC(-5AY,0,AM)&lt;/Q&gt;&lt;R&gt;61&lt;/R&gt;&lt;C&gt;1&lt;/C&gt;&lt;D xsi:type="xsd:double"&gt;9.62137&lt;/D&gt;&lt;D xsi:type="xsd:double"&gt;11.288309&lt;/D&gt;&lt;D xsi:type="xsd:double"&gt;1.6829014&lt;/D&gt;&lt;D xsi:type="xsd:double"&gt;6.402445&lt;/D&gt;&lt;D xsi:type="xsd:double"&gt;-0.12280345&lt;/D&gt;&lt;D xsi:type="xsd:double"&gt;3.5040975&lt;/D&gt;&lt;D xsi:type="xsd:double"&gt;1.8610239&lt;/D&gt;&lt;D xsi:type="xsd:double"&gt;-4.6500263&lt;/D&gt;&lt;D xsi:type="xsd:double"&gt;-3.2503664&lt;/D&gt;&lt;D xsi:type="xsd:double"&gt;-4.2100787&lt;/D&gt;&lt;D xsi:type="xsd:double"&gt;0.33296347&lt;/D&gt;&lt;D xsi:type="xsd:double"&gt;12.079644&lt;/D&gt;&lt;D xsi:type="xsd:double"&gt;-8.626133&lt;/D&gt;&lt;D xsi:type="xsd:double"&gt;-1.4555573&lt;/D&gt;&lt;D xsi:type="xsd:double"&gt;10.476184&lt;/D&gt;&lt;D xsi:type="xsd:double"&gt;4.791498&lt;/D&gt;&lt;D xsi:type="xsd:double"&gt;4.495883&lt;/D&gt;&lt;D xsi:type="xsd:double"&gt;-6.005126&lt;/D&gt;&lt;D xsi:type="xsd:double"&gt;-11.102456&lt;/D&gt;&lt;D xsi:type="xsd:double"&gt;-5.332434&lt;/D&gt;&lt;D xsi:type="xsd:double"&gt;-3.786081&lt;/D&gt;&lt;D xsi:type="xsd:double"&gt;3.148055&lt;/D&gt;&lt;D xsi:type="xsd:double"&gt;-8.106815&lt;/D&gt;&lt;D xsi:type="xsd:double"&gt;-4.462898&lt;/D&gt;&lt;D xsi:type="xsd:double"&gt;18.006516&lt;/D&gt;&lt;D xsi:type="xsd:double"&gt;-1.5798867&lt;/D&gt;&lt;D xsi:type="xsd:double"&gt;9.615385&lt;/D&gt;&lt;D xsi:type="xsd:double"&gt;-7.472378&lt;/D&gt;&lt;D xsi:type="xsd:double"&gt;-8.356738&lt;/D&gt;&lt;D xsi:type="xsd:double"&gt;10.804594&lt;/D&gt;&lt;D xsi:type="xsd:double"&gt;-10.765332&lt;/D&gt;&lt;D xsi:type="xsd:double"&gt;8.305597&lt;/D&gt;&lt;D xsi:type="xsd:double"&gt;3.7127018&lt;/D&gt;&lt;D xsi:type="xsd:double"&gt;-9.663081&lt;/D&gt;&lt;D xsi:type="xsd:double"&gt;1.502192&lt;/D&gt;&lt;D xsi:type="xsd:double"&gt;-5.2309275&lt;/D&gt;&lt;D xsi:type="xsd:double"&gt;9.423804&lt;/D&gt;&lt;D xsi:type="xsd:double"&gt;1.0238767&lt;/D&gt;&lt;D xsi:type="xsd:double"&gt;-6.0172615&lt;/D&gt;&lt;D xsi:type="xsd:double"&gt;0.41983128&lt;/D&gt;&lt;D xsi:type="xsd:double"&gt;1.3848901&lt;/D&gt;&lt;D xsi:type="xsd:double"&gt;-1.0309219&lt;/D&gt;&lt;D xsi:type="xsd:double"&gt;14.947915&lt;/D&gt;&lt;D xsi:type="xsd:double"&gt;1.6389489&lt;/D&gt;&lt;D xsi:type="xsd:double"&gt;-2.0375788&lt;/D&gt;&lt;D xsi:type="xsd:double"&gt;9.267389&lt;/D&gt;&lt;D xsi:type="xsd:double"&gt;2.474618&lt;/D&gt;&lt;D xsi:type="xsd:double"&gt;4.313731&lt;/D&gt;&lt;D xsi:type="xsd:double"&gt;-6.1139703&lt;/D&gt;&lt;D xsi:type="xsd:double"&gt;-2.9680908&lt;/D&gt;&lt;D xsi:type="xsd:double"&gt;-2.379322&lt;/D&gt;&lt;D xsi:type="xsd:double"&gt;9.749246&lt;/D&gt;&lt;D xsi:type="xsd:double"&gt;2.5624514&lt;/D&gt;&lt;D xsi:type="xsd:double"&gt;-0.27065873&lt;/D&gt;&lt;D xsi:type="xsd:double"&gt;7.7453017&lt;/D&gt;&lt;D xsi:type="xsd:double"&gt;1.4149666&lt;/D&gt;&lt;D xsi:type="xsd:double"&gt;5.9539914&lt;/D&gt;&lt;D xsi:type="xsd:double"&gt;4.19631&lt;/D&gt;&lt;D xsi:type="xsd:double"&gt;9.507966&lt;/D&gt;&lt;D xsi:type="xsd:double"&gt;5.868244&lt;/D&gt;&lt;D xsi:type="xsd:double"&gt;-1.9332409&lt;/D&gt;&lt;/FQL&gt;&lt;FQL&gt;&lt;Q&gt;EPHE^FG_TOTAL_RETURNC(-5AY,0,AM)&lt;/Q&gt;&lt;R&gt;61&lt;/R&gt;&lt;C&gt;1&lt;/C&gt;&lt;D xsi:type="xsd:double"&gt;18.293571&lt;/D&gt;&lt;D xsi:type="xsd:double"&gt;1.1986136&lt;/D&gt;&lt;D xsi:type="xsd:double"&gt;-2.6634395&lt;/D&gt;&lt;D xsi:type="xsd:double"&gt;-3.8246274&lt;/D&gt;&lt;D xsi:type="xsd:double"&gt;-4.397029&lt;/D&gt;&lt;D xsi:type="xsd:double"&gt;-0.67635775&lt;/D&gt;&lt;D xsi:type="xsd:double"&gt;-1.4640808&lt;/D&gt;&lt;D xsi:type="xsd:double"&gt;7.2203755&lt;/D&gt;&lt;D xsi:type="xsd:double"&gt;-7.5924754&lt;/D&gt;&lt;D xsi:type="xsd:double"&gt;3.1952262&lt;/D&gt;&lt;D xsi:type="xsd:double"&gt;2.279687&lt;/D&gt;&lt;D xsi:type="xsd:double"&gt;8.416498&lt;/D&gt;&lt;D xsi:type="xsd:double"&gt;-0.9512186&lt;/D&gt;&lt;D xsi:type="xsd:double"&gt;1.4248967&lt;/D&gt;&lt;D xsi:type="xsd:double"&gt;-4.414463&lt;/D&gt;&lt;D xsi:type="xsd:double"&gt;4.746628&lt;/D&gt;&lt;D xsi:type="xsd:double"&gt;-7.8383327&lt;/D&gt;&lt;D xsi:type="xsd:double"&gt;1.461792&lt;/D&gt;&lt;D xsi:type="xsd:double"&gt;-4.9115896&lt;/D&gt;&lt;D xsi:type="xsd:double"&gt;-8.542812&lt;/D&gt;&lt;D xsi:type="xsd:double"&gt;-4.838097&lt;/D&gt;&lt;D xsi:type="xsd:double"&gt;10.848677&lt;/D&gt;&lt;D xsi:type="xsd:double"&gt;-9.443844&lt;/D&gt;&lt;D xsi:type="xsd:double"&gt;-7.437694&lt;/D&gt;&lt;D xsi:type="xsd:double"&gt;9.478676&lt;/D&gt;&lt;D xsi:type="xsd:double"&gt;3.0349493&lt;/D&gt;&lt;D xsi:type="xsd:double"&gt;12.125862&lt;/D&gt;&lt;D xsi:type="xsd:double"&gt;-5.236137&lt;/D&gt;&lt;D xsi:type="xsd:double"&gt;-3.791988&lt;/D&gt;&lt;D xsi:type="xsd:double"&gt;-1.9519448&lt;/D&gt;&lt;D xsi:type="xsd:double"&gt;2.4502277&lt;/D&gt;&lt;D xsi:type="xsd:double"&gt;-3.2160342&lt;/D&gt;&lt;D xsi:type="xsd:double"&gt;4.88472&lt;/D&gt;&lt;D xsi:type="xsd:double"&gt;-7.488823&lt;/D&gt;&lt;D xsi:type="xsd:double"&gt;-4.0273848&lt;/D&gt;&lt;D xsi:type="xsd:double"&gt;1.3008833&lt;/D&gt;&lt;D xsi:type="xsd:double"&gt;3.8939595&lt;/D&gt;&lt;D xsi:type="xsd:double"&gt;3.635168&lt;/D&gt;&lt;D xsi:type="xsd:double"&gt;1.9627571&lt;/D&gt;&lt;D xsi:type="xsd:double"&gt;4.085827&lt;/D&gt;&lt;D xsi:type="xsd:double"&gt;0.36549568&lt;/D&gt;&lt;D xsi:type="xsd:double"&gt;-9.905314&lt;/D&gt;&lt;D xsi:type="xsd:double"&gt;4.931283&lt;/D&gt;&lt;D xsi:type="xsd:double"&gt;-7.795465&lt;/D&gt;&lt;D xsi:type="xsd:double"&gt;8.43935&lt;/D&gt;&lt;D xsi:type="xsd:double"&gt;7.5870156&lt;/D&gt;&lt;D xsi:type="xsd:double"&gt;6.543076&lt;/D&gt;&lt;D xsi:type="xsd:double"&gt;-1.5694261&lt;/D&gt;&lt;D xsi:type="xsd:double"&gt;-9.358751&lt;/D&gt;&lt;D xsi:type="xsd:double"&gt;-4.4529796&lt;/D&gt;&lt;D xsi:type="xsd:double"&gt;-0.08074641&lt;/D&gt;&lt;D xsi:type="xsd:double"&gt;-1.5757561&lt;/D&gt;&lt;D xsi:type="xsd:double"&gt;6.362891&lt;/D&gt;&lt;D xsi:type="xsd:double"&gt;-2.3469687&lt;/D&gt;&lt;D xsi:type="xsd:double"&gt;8.134174&lt;/D&gt;&lt;D xsi:type="xsd:double"&gt;-1.9889057&lt;/D&gt;&lt;D xsi:type="xsd:double"&gt;-1.4716983&lt;/D&gt;&lt;D xsi:type="xsd:double"&gt;0.91918707&lt;/D&gt;&lt;D xsi:type="xsd:double"&gt;1.7077804&lt;/D&gt;&lt;D xsi:type="xsd:double"&gt;-5.4850698&lt;/D&gt;&lt;D xsi:type="xsd:double"&gt;-3.7899673&lt;/D&gt;&lt;/FQL&gt;&lt;FQL&gt;&lt;Q&gt;CNYA^JULIAN(FG_PRICE(0,-200D).DATES)&lt;/Q&gt;&lt;R&gt;201&lt;/R&gt;&lt;C&gt;1&lt;/C&gt;&lt;D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xsi:type="xsd:long"&gt;45693&lt;/D&gt;&lt;/FQL&gt;&lt;FQL&gt;&lt;Q&gt;EWZ^FG_TOTAL_RETURNC(-5AY,0,AM)&lt;/Q&gt;&lt;R&gt;61&lt;/R&gt;&lt;C&gt;1&lt;/C&gt;&lt;D xsi:type="xsd:double"&gt;9.496248&lt;/D&gt;&lt;D xsi:type="xsd:double"&gt;18.08355&lt;/D&gt;&lt;D xsi:type="xsd:double"&gt;-2.7586222&lt;/D&gt;&lt;D xsi:type="xsd:double"&gt;-2.6732147&lt;/D&gt;&lt;D xsi:type="xsd:double"&gt;-4.007846&lt;/D&gt;&lt;D xsi:type="xsd:double"&gt;2.24818&lt;/D&gt;&lt;D xsi:type="xsd:double"&gt;7.624209&lt;/D&gt;&lt;D xsi:type="xsd:double"&gt;8.104097&lt;/D&gt;&lt;D xsi:type="xsd:double"&gt;-4.8841357&lt;/D&gt;&lt;D xsi:type="xsd:double"&gt;-8.671724&lt;/D&gt;&lt;D xsi:type="xsd:double"&gt;-7.286292&lt;/D&gt;&lt;D xsi:type="xsd:double"&gt;-2.165836&lt;/D&gt;&lt;D xsi:type="xsd:double"&gt;-7.7482643&lt;/D&gt;&lt;D xsi:type="xsd:double"&gt;0.82303286&lt;/D&gt;&lt;D xsi:type="xsd:double"&gt;10.234404&lt;/D&gt;&lt;D xsi:type="xsd:double"&gt;9.259868&lt;/D&gt;&lt;D xsi:type="xsd:double"&gt;5.2551746&lt;/D&gt;&lt;D xsi:type="xsd:double"&gt;7.647896&lt;/D&gt;&lt;D xsi:type="xsd:double"&gt;-9.865952&lt;/D&gt;&lt;D xsi:type="xsd:double"&gt;-12.999439&lt;/D&gt;&lt;D xsi:type="xsd:double"&gt;-6.912607&lt;/D&gt;&lt;D xsi:type="xsd:double"&gt;19.930744&lt;/D&gt;&lt;D xsi:type="xsd:double"&gt;1.0907888&lt;/D&gt;&lt;D xsi:type="xsd:double"&gt;4.284358&lt;/D&gt;&lt;D xsi:type="xsd:double"&gt;-10.316497&lt;/D&gt;&lt;D xsi:type="xsd:double"&gt;1.5300274&lt;/D&gt;&lt;D xsi:type="xsd:double"&gt;4.96403&lt;/D&gt;&lt;D xsi:type="xsd:double"&gt;-1.6792297&lt;/D&gt;&lt;D xsi:type="xsd:double"&gt;-8.713836&lt;/D&gt;&lt;D xsi:type="xsd:double"&gt;6.8728447&lt;/D&gt;&lt;D xsi:type="xsd:double"&gt;6.7881346&lt;/D&gt;&lt;D xsi:type="xsd:double"&gt;12.1549015&lt;/D&gt;&lt;D xsi:type="xsd:double"&gt;-1.2224972&lt;/D&gt;&lt;D xsi:type="xsd:double"&gt;-5.5074215&lt;/D&gt;&lt;D xsi:type="xsd:double"&gt;5.730188&lt;/D&gt;&lt;D xsi:type="xsd:double"&gt;-7.2777987&lt;/D&gt;&lt;D xsi:type="xsd:double"&gt;14.094853&lt;/D&gt;&lt;D xsi:type="xsd:double"&gt;2.4618506&lt;/D&gt;&lt;D xsi:type="xsd:double"&gt;-2.4274707&lt;/D&gt;&lt;D xsi:type="xsd:double"&gt;2.2148013&lt;/D&gt;&lt;D xsi:type="xsd:double"&gt;-2.5823653&lt;/D&gt;&lt;D xsi:type="xsd:double"&gt;-6.3376007&lt;/D&gt;&lt;D xsi:type="xsd:double"&gt;2.9928446&lt;/D&gt;&lt;D xsi:type="xsd:double"&gt;-11.462259&lt;/D&gt;&lt;D xsi:type="xsd:double"&gt;3.1687617&lt;/D&gt;&lt;D xsi:type="xsd:double"&gt;9.107137&lt;/D&gt;&lt;D xsi:type="xsd:double"&gt;-4.451716&lt;/D&gt;&lt;D xsi:type="xsd:double"&gt;-3.3915699&lt;/D&gt;&lt;D xsi:type="xsd:double"&gt;-3.687948&lt;/D&gt;&lt;D xsi:type="xsd:double"&gt;-11.1172085&lt;/D&gt;&lt;D xsi:type="xsd:double"&gt;1.9922018&lt;/D&gt;&lt;D xsi:type="xsd:double"&gt;11.2526655&lt;/D&gt;&lt;D xsi:type="xsd:double"&gt;1.4503837&lt;/D&gt;&lt;D xsi:type="xsd:double"&gt;-5.1166296&lt;/D&gt;&lt;D xsi:type="xsd:double"&gt;11.657417&lt;/D&gt;&lt;D xsi:type="xsd:double"&gt;0.048089027&lt;/D&gt;&lt;D xsi:type="xsd:double"&gt;-2.9634953&lt;/D&gt;&lt;D xsi:type="xsd:double"&gt;3.1284928&lt;/D&gt;&lt;D xsi:type="xsd:double"&gt;11.700975&lt;/D&gt;&lt;D xsi:type="xsd:double"&gt;-2.295512&lt;/D&gt;&lt;D xsi:type="xsd:double"&gt;5.55923&lt;/D&gt;&lt;/FQL&gt;&lt;FQL&gt;&lt;Q&gt;EWQ^FG_PRICE(0,-200D)&lt;/Q&gt;&lt;R&gt;201&lt;/R&gt;&lt;C&gt;1&lt;/C&gt;&lt;D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</t>
        </r>
      </text>
    </comment>
    <comment ref="A5" authorId="0" shapeId="0" xr:uid="{1E6CFB0A-CD2C-4819-ABF2-D9D7E6999D02}">
      <text>
        <r>
          <rPr>
            <b/>
            <sz val="9"/>
            <color indexed="81"/>
            <rFont val="Tahoma"/>
            <charset val="1"/>
          </rPr>
          <t>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xsi:type="xsd:double"&gt;40.94&lt;/D&gt;&lt;D xsi:type="xsd:double"&gt;41.04&lt;/D&gt;&lt;D xsi:type="xsd:double"&gt;40.95&lt;/D&gt;&lt;D xsi:type="xsd:double"&gt;40.72&lt;/D&gt;&lt;D xsi:type="xsd:double"&gt;40.12&lt;/D&gt;&lt;D xsi:type="xsd:double"&gt;39.84&lt;/D&gt;&lt;D xsi:type="xsd:double"&gt;38.97&lt;/D&gt;&lt;D xsi:type="xsd:double"&gt;39.22&lt;/D&gt;&lt;D xsi:type="xsd:double"&gt;38.96&lt;/D&gt;&lt;D xsi:type="xsd:double"&gt;39&lt;/D&gt;&lt;D xsi:type="xsd:double"&gt;38.85&lt;/D&gt;&lt;D xsi:type="xsd:double"&gt;38.97&lt;/D&gt;&lt;D xsi:type="xsd:double"&gt;37.99&lt;/D&gt;&lt;D xsi:type="xsd:double"&gt;38.61&lt;/D&gt;&lt;D xsi:type="xsd:double"&gt;35.65&lt;/D&gt;&lt;D xsi:type="xsd:double"&gt;35.97&lt;/D&gt;&lt;D xsi:type="xsd:double"&gt;37.21&lt;/D&gt;&lt;D xsi:type="xsd:double"&gt;39.48&lt;/D&gt;&lt;D xsi:type="xsd:double"&gt;40.18&lt;/D&gt;&lt;D xsi:type="xsd:double"&gt;40.05&lt;/D&gt;&lt;D xsi:type="xsd:double"&gt;39.8&lt;/D&gt;&lt;D xsi:type="xsd:double"&gt;40.35&lt;/D&gt;&lt;D xsi:type="xsd:double"&gt;40.55&lt;/D&gt;&lt;D xsi:type="xsd:double"&gt;40.48&lt;/D&gt;&lt;D xsi:type="xsd:double"&gt;41.23&lt;/D&gt;&lt;D xsi:type="xsd:double"&gt;40.91&lt;/D&gt;&lt;D xsi:type="xsd:double"&gt;40.91&lt;/D&gt;&lt;D xsi:type="xsd:double"&gt;41.28&lt;/D&gt;&lt;D xsi:type="xsd:double"&gt;41.97&lt;/D&gt;&lt;D xsi:type="xsd:double"&gt;41.81&lt;/D&gt;&lt;D xsi:type="xsd:double"&gt;41.68&lt;/D&gt;&lt;D xsi:type="xsd:double"&gt;41.29&lt;/D&gt;&lt;D xsi:type="xsd:double"&gt;40.47&lt;/D&gt;&lt;D xsi:type="xsd:double"&gt;40.97&lt;/D&gt;&lt;D xsi:type="xsd:double"&gt;41.09&lt;/D&gt;&lt;D xsi:type="xsd:double"&gt;41&lt;/D&gt;&lt;D xsi:type="xsd:double"&gt;41.87&lt;/D&gt;&lt;D xsi:type="xsd:double"&gt;41.43&lt;/D&gt;&lt;D xsi:type="xsd:double"&gt;42.02&lt;/D&gt;&lt;D xsi:type="xsd:double"&gt;40.78&lt;/D&gt;&lt;D xsi:type="xsd:double"&gt;40.36&lt;/D&gt;&lt;D xsi:type="xsd:double"&gt;39.54&lt;/D&gt;&lt;D xsi:type="xsd:double"&gt;39.44&lt;/D&gt;&lt;D xsi:type="xsd:double"&gt;39.89&lt;/D&gt;&lt;D xsi:type="xsd:double"&gt;39.89&lt;/D&gt;&lt;D xsi:type="xsd:double"&gt;39.58&lt;/D&gt;&lt;D xsi:type="xsd:double"&gt;39.78&lt;/D&gt;&lt;D xsi:type="xsd:double"&gt;40.09&lt;/D&gt;&lt;D xsi:type="xsd:double"&gt;39.72&lt;/D&gt;&lt;D xsi:type="xsd:double"&gt;40.29&lt;/D&gt;&lt;D xsi:type="xsd:double"&gt;40.29&lt;/D&gt;&lt;D xsi:type="xsd:double"&gt;39.88&lt;/D&gt;&lt;D xsi:type="xsd:double"&gt;39.61&lt;/D&gt;&lt;D xsi:type="xsd:double"&gt;39.19&lt;/D&gt;&lt;D xsi:type="xsd:double"&gt;38.79&lt;/D&gt;&lt;D xsi:type="xsd:double"&gt;38.63&lt;/D&gt;&lt;D xsi:type="xsd:double"&gt;39.05&lt;/D&gt;&lt;D xsi:type="xsd:double"&gt;38.66&lt;/D&gt;&lt;/FQL&gt;&lt;FQL&gt;&lt;Q&gt;MCHI^FG_PRICE(0,-200D)&lt;/Q&gt;&lt;R&gt;201&lt;/R&gt;&lt;C&gt;1&lt;/C&gt;&lt;D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xsi:type="xsd:double"&gt;51.68&lt;/D&gt;&lt;D xsi:type="xsd:double"&gt;51.85&lt;/D&gt;&lt;D xsi:type="xsd:double"&gt;51.91&lt;/D&gt;&lt;D xsi:type="xsd:double"&gt;51.97&lt;/D&gt;&lt;D xsi:type="xsd:double"&gt;51.66&lt;/D&gt;&lt;D xsi:type="xsd:double"&gt;50.9&lt;/D&gt;&lt;D xsi:type="xsd:double"&gt;49.39&lt;/D&gt;&lt;D xsi:type="xsd:double"&gt;49.29&lt;/D&gt;&lt;D xsi:type="xsd:double"&gt;49.16&lt;/D&gt;&lt;D xsi:type="xsd:double"&gt;50.17&lt;/D&gt;&lt;D xsi:type="xsd:double"&gt;50.56&lt;/D&gt;&lt;D xsi:type="xsd:double"&gt;49.68&lt;/D&gt;&lt;D xsi:type="xsd:double"&gt;47.98&lt;/D&gt;&lt;D xsi:type="xsd:double"&gt;48.06&lt;/D&gt;&lt;D xsi:type="xsd:double"&gt;45.22&lt;/D&gt;&lt;D xsi:type="xsd:double"&gt;46&lt;/D&gt;&lt;D xsi:type="xsd:double"&gt;50&lt;/D&gt;&lt;D xsi:type="xsd:double"&gt;53.67&lt;/D&gt;&lt;D xsi:type="xsd:double"&gt;54.16&lt;/D&gt;&lt;D xsi:type="xsd:double"&gt;54.55&lt;/D&gt;&lt;D xsi:type="xsd:double"&gt;54.4&lt;/D&gt;&lt;D xsi:type="xsd:double"&gt;54.57&lt;/D&gt;&lt;D xsi:type="xsd:double"&gt;55.81&lt;/D&gt;&lt;D xsi:type="xsd:double"&gt;55&lt;/D&gt;&lt;D xsi:type="xsd:double"&gt;55&lt;/D&gt;&lt;D xsi:type="xsd:double"&gt;55.61&lt;/D&gt;&lt;D xsi:type="xsd:double"&gt;55.65&lt;/D&gt;&lt;D xsi:type="xsd:double"&gt;56.69&lt;/D&gt;&lt;D xsi:type="xsd:double"&gt;58.31&lt;/D&gt;&lt;D xsi:type="xsd:double"&gt;58.36&lt;/D&gt;&lt;D xsi:type="xsd:double"&gt;58.65&lt;/D&gt;&lt;D xsi:type="xsd:double"&gt;57.37&lt;/D&gt;&lt;D xsi:type="xsd:double"&gt;55.77&lt;/D&gt;&lt;D xsi:type="xsd:double"&gt;55.63&lt;/D&gt;&lt;D xsi:type="xsd:double"&gt;55.83&lt;/D&gt;&lt;D xsi:type="xsd:double"&gt;54.79&lt;/D&gt;&lt;D xsi:type="xsd:double"&gt;56.5&lt;/D&gt;&lt;D xsi:type="xsd:double"&gt;56.53&lt;/D&gt;&lt;D xsi:type="xsd:double"&gt;56.22&lt;/D&gt;&lt;D xsi:type="xsd:double"&gt;53.6&lt;/D&gt;&lt;D xsi:type="xsd:double"&gt;52.81&lt;/D&gt;&lt;D xsi:type="xsd:double"&gt;53.58&lt;/D&gt;&lt;D xsi:type="xsd:double"&gt;54.91&lt;/D&gt;&lt;D xsi:type="xsd:double"&gt;55.4&lt;/D&gt;&lt;D xsi:type="xsd:double"&gt;54.06&lt;/D&gt;&lt;D xsi:type="xsd:double"&gt;53.59&lt;/D&gt;&lt;D xsi:type="xsd:double"&gt;55.77&lt;/D&gt;&lt;D xsi:type="xsd:double"&gt;54.73&lt;/D&gt;&lt;D xsi:type="xsd:double"&gt;53.73&lt;/D&gt;&lt;D xsi:type="xsd:double"&gt;53.99&lt;/D&gt;&lt;D xsi:type="xsd:double"&gt;53.46&lt;/D&gt;&lt;D xsi:type="xsd:double"&gt;51.85&lt;/D&gt;&lt;D xsi:type="xsd:double"&gt;51.87&lt;/D&gt;&lt;D xsi:type="xsd:double"&gt;50.54&lt;/D&gt;&lt;D xsi:type="xsd:double"&gt;51.01&lt;/D&gt;&lt;D xsi:type="xsd:double"&gt;49.73&lt;/D&gt;&lt;D xsi:type="xsd:double"&gt;49.12&lt;/D&gt;&lt;D xsi:type="xsd:double"&gt;48.46&lt;/D&gt;&lt;/FQL&gt;&lt;FQL&gt;&lt;Q&gt;EWJ^FG_TOTAL_RETURNC(-5AY,0,AM)&lt;/Q&gt;&lt;R&gt;61&lt;/R&gt;&lt;C&gt;1&lt;/C&gt;&lt;D xsi:type="xsd:double"&gt;9.766018&lt;/D&gt;&lt;D xsi:type="xsd:double"&gt;3.229618&lt;/D&gt;&lt;D xsi:type="xsd:double"&gt;4.3563247&lt;/D&gt;&lt;D xsi:type="xsd:double"&gt;2.6918054&lt;/D&gt;&lt;D xsi:type="xsd:double"&gt;-0.91112256&lt;/D&gt;&lt;D xsi:type="xsd:double"&gt;-4.102421&lt;/D&gt;&lt;D xsi:type="xsd:double"&gt;-0.33928752&lt;/D&gt;&lt;D xsi:type="xsd:double"&gt;0.27179718&lt;/D&gt;&lt;D xsi:type="xsd:double"&gt;-0.2973914&lt;/D&gt;&lt;D xsi:type="xsd:double"&gt;-0.5816519&lt;/D&gt;&lt;D xsi:type="xsd:double"&gt;8.565855&lt;/D&gt;&lt;D xsi:type="xsd:double"&gt;-4.5737267&lt;/D&gt;&lt;D xsi:type="xsd:double"&gt;1.230824&lt;/D&gt;&lt;D xsi:type="xsd:double"&gt;-3.4118056&lt;/D&gt;&lt;D xsi:type="xsd:double"&gt;-2.3709536&lt;/D&gt;&lt;D xsi:type="xsd:double"&gt;-2.197963&lt;/D&gt;&lt;D xsi:type="xsd:double"&gt;-2.137357&lt;/D&gt;&lt;D xsi:type="xsd:double"&gt;-6.455755&lt;/D&gt;&lt;D xsi:type="xsd:double"&gt;-1.991415&lt;/D&gt;&lt;D xsi:type="xsd:double"&gt;-7.9185305&lt;/D&gt;&lt;D xsi:type="xsd:double"&gt;3.4383297&lt;/D&gt;&lt;D xsi:type="xsd:double"&gt;3.3054829&lt;/D&gt;&lt;D xsi:type="xsd:double"&gt;-7.855481&lt;/D&gt;&lt;D xsi:type="xsd:double"&gt;-5.5013657&lt;/D&gt;&lt;D xsi:type="xsd:double"&gt;11.973583&lt;/D&gt;&lt;D xsi:type="xsd:double"&gt;1.5711069&lt;/D&gt;&lt;D xsi:type="xsd:double"&gt;5.2392125&lt;/D&gt;&lt;D xsi:type="xsd:double"&gt;-1.4347434&lt;/D&gt;&lt;D xsi:type="xsd:double"&gt;-0.87688565&lt;/D&gt;&lt;D xsi:type="xsd:double"&gt;3.821659&lt;/D&gt;&lt;D xsi:type="xsd:double"&gt;3.8854837&lt;/D&gt;&lt;D xsi:type="xsd:double"&gt;2.8040051&lt;/D&gt;&lt;D xsi:type="xsd:double"&gt;0.4017353&lt;/D&gt;&lt;D xsi:type="xsd:double"&gt;-5.057621&lt;/D&gt;&lt;D xsi:type="xsd:double"&gt;5.529332&lt;/D&gt;&lt;D xsi:type="xsd:double"&gt;-7.1405706&lt;/D&gt;&lt;D xsi:type="xsd:double"&gt;7.2767973&lt;/D&gt;&lt;D xsi:type="xsd:double"&gt;0.9053707&lt;/D&gt;&lt;D xsi:type="xsd:double"&gt;6.2046766&lt;/D&gt;&lt;D xsi:type="xsd:double"&gt;3.0804276&lt;/D&gt;&lt;D xsi:type="xsd:double"&gt;5.211246&lt;/D&gt;&lt;D xsi:type="xsd:double"&gt;-6.967962&lt;/D&gt;&lt;D xsi:type="xsd:double"&gt;4.10589&lt;/D&gt;&lt;D xsi:type="xsd:double"&gt;-3.2406151&lt;/D&gt;&lt;D xsi:type="xsd:double"&gt;5.234647&lt;/D&gt;&lt;D xsi:type="xsd:double"&gt;0.08575916&lt;/D&gt;&lt;D xsi:type="xsd:double"&gt;1.7852068&lt;/D&gt;&lt;D xsi:type="xsd:double"&gt;-1.5995502&lt;/D&gt;&lt;D xsi:type="xsd:double"&gt;-4.0638804&lt;/D&gt;&lt;D xsi:type="xsd:double"&gt;-0.047171116&lt;/D&gt;&lt;D xsi:type="xsd:double"&gt;-0.04531145&lt;/D&gt;&lt;D xsi:type="xsd:double"&gt;5.333936&lt;/D&gt;&lt;D xsi:type="xsd:double"&gt;2.3095727&lt;/D&gt;&lt;D xsi:type="xsd:double"&gt;-4.556924&lt;/D&gt;&lt;D xsi:type="xsd:double"&gt;7.22785&lt;/D&gt;&lt;D xsi:type="xsd:double"&gt;-0.89060664&lt;/D&gt;&lt;D xsi:type="xsd:double"&gt;0.06966591&lt;/D&gt;&lt;D xsi:type="xsd:double"&gt;10.903776&lt;/D&gt;&lt;D xsi:type="xsd:double"&gt;1.443994&lt;/D&gt;&lt;D xsi:type="xsd:double"&gt;3.4038901&lt;/D&gt;&lt;D xsi:type="xsd:double"&gt;-4.8479795&lt;/D&gt;&lt;/FQL&gt;&lt;FQL&gt;&lt;Q&gt;ENZL^FG_PRICE(0,-200D)&lt;/Q&gt;&lt;R&gt;201&lt;/R&gt;&lt;C&gt;1&lt;/C&gt;&lt;D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xsi:type="xsd:double"&gt;43.35&lt;/D&gt;&lt;D xsi:type="xsd:double"&gt;43.6&lt;/D&gt;&lt;D xsi:type="xsd:double"&gt;43.76&lt;/D&gt;&lt;D xsi:type="xsd:double"&gt;43.805&lt;/D&gt;&lt;D xsi:type="xsd:double"&gt;42.8238&lt;/D&gt;&lt;D xsi:type="xsd:double"&gt;43.095&lt;/D&gt;&lt;D xsi:type="xsd:double"&gt;43.38&lt;/D&gt;&lt;D xsi:type="xsd:double"&gt;43.5&lt;/D&gt;&lt;D xsi:type="xsd:double"&gt;43.03&lt;/D&gt;&lt;D xsi:type="xsd:double"&gt;42.68&lt;/D&gt;&lt;D xsi:type="xsd:double"&gt;43.1&lt;/D&gt;&lt;D xsi:type="xsd:double"&gt;42.39&lt;/D&gt;&lt;D xsi:type="xsd:double"&gt;41.79&lt;/D&gt;&lt;D xsi:type="xsd:double"&gt;41.36&lt;/D&gt;&lt;D xsi:type="xsd:double"&gt;39.48&lt;/D&gt;&lt;D xsi:type="xsd:double"&gt;39.39&lt;/D&gt;&lt;D xsi:type="xsd:double"&gt;40.13&lt;/D&gt;&lt;D xsi:type="xsd:double"&gt;42.72&lt;/D&gt;&lt;D xsi:type="xsd:double"&gt;42.67&lt;/D&gt;&lt;D xsi:type="xsd:double"&gt;42.39&lt;/D&gt;&lt;D xsi:type="xsd:double"&gt;42.08&lt;/D&gt;&lt;D xsi:type="xsd:double"&gt;42.05&lt;/D&gt;&lt;D xsi:type="xsd:double"&gt;42.6&lt;/D&gt;&lt;D xsi:type="xsd:double"&gt;42.48&lt;/D&gt;&lt;D xsi:type="xsd:double"&gt;42.41&lt;/D&gt;&lt;D xsi:type="xsd:double"&gt;41.83&lt;/D&gt;&lt;D xsi:type="xsd:double"&gt;41.82&lt;/D&gt;&lt;D xsi:type="xsd:double"&gt;41.75&lt;/D&gt;&lt;D xsi:type="xsd:double"&gt;42.29&lt;/D&gt;&lt;D xsi:type="xsd:double"&gt;41.95&lt;/D&gt;&lt;D xsi:type="xsd:double"&gt;42.77&lt;/D&gt;&lt;D xsi:type="xsd:double"&gt;42.45&lt;/D&gt;&lt;D xsi:type="xsd:double"&gt;41.91&lt;/D&gt;&lt;D xsi:type="xsd:double"&gt;42.34&lt;/D&gt;&lt;D xsi:type="xsd:double"&gt;42.39&lt;/D&gt;&lt;D xsi:type="xsd:double"&gt;42.75&lt;/D&gt;&lt;D xsi:type="xsd:double"&gt;42.985&lt;/D&gt;&lt;D xsi:type="xsd:double"&gt;42.72&lt;/D&gt;&lt;D xsi:type="xsd:double"&gt;42.94&lt;/D&gt;&lt;D xsi:type="xsd:double"&gt;42.25&lt;/D&gt;&lt;D xsi:type="xsd:double"&gt;42.18&lt;/D&gt;&lt;D xsi:type="xsd:double"&gt;42.37&lt;/D&gt;&lt;D xsi:type="xsd:double"&gt;42.37&lt;/D&gt;&lt;D xsi:type="xsd:double"&gt;42.96&lt;/D&gt;&lt;D xsi:type="xsd:double"&gt;42.49&lt;/D&gt;&lt;D xsi:type="xsd:double"&gt;43.55&lt;/D&gt;&lt;D xsi:type="xsd:double"&gt;44.2&lt;/D&gt;&lt;D xsi:type="xsd:double"&gt;45.22&lt;/D&gt;&lt;D xsi:type="xsd:double"&gt;45.2&lt;/D&gt;&lt;D xsi:type="xsd:double"&gt;45.17&lt;/D&gt;&lt;D xsi:type="xsd:double"&gt;45.67&lt;/D&gt;&lt;D xsi:type="xsd:double"&gt;45.15&lt;/D&gt;&lt;D xsi:type="xsd:double"&gt;44.83&lt;/D&gt;&lt;D xsi:type="xsd:double"&gt;44.9497&lt;/D&gt;&lt;D xsi:type="xsd:double"&gt;44.8837&lt;/D&gt;&lt;D xsi:type="xsd:double"&gt;44.82&lt;/D&gt;&lt;D xsi:type="xsd:double"&gt;44.92&lt;/D&gt;&lt;D xsi:type="xsd:double"&gt;45.01&lt;/D&gt;&lt;/FQL&gt;&lt;FQL&gt;&lt;Q&gt;SET-BKK^FG_TOTAL_RETURNC(-5AY,0,AM)&lt;/Q&gt;&lt;R&gt;61&lt;/R&gt;&lt;C&gt;1&lt;/C&gt;&lt;D xsi:type="xsd:double"&gt;14.757931&lt;/D&gt;&lt;D xsi:type="xsd:double"&gt;6.696713&lt;/D&gt;&lt;D xsi:type="xsd:double"&gt;2.249086&lt;/D&gt;&lt;D xsi:type="xsd:double"&gt;-1.00348&lt;/D&gt;&lt;D xsi:type="xsd:double"&gt;4.228556&lt;/D&gt;&lt;D xsi:type="xsd:double"&gt;1.0281682&lt;/D&gt;&lt;D xsi:type="xsd:double"&gt;-1.6138852&lt;/D&gt;&lt;D xsi:type="xsd:double"&gt;3.7593126&lt;/D&gt;&lt;D xsi:type="xsd:double"&gt;-4.59522&lt;/D&gt;&lt;D xsi:type="xsd:double"&gt;0.93055964&lt;/D&gt;&lt;D xsi:type="xsd:double"&gt;3.2114744&lt;/D&gt;&lt;D xsi:type="xsd:double"&gt;2.151513&lt;/D&gt;&lt;D xsi:type="xsd:double"&gt;0.45861006&lt;/D&gt;&lt;D xsi:type="xsd:double"&gt;-1.7786562&lt;/D&gt;&lt;D xsi:type="xsd:double"&gt;2.5473356&lt;/D&gt;&lt;D xsi:type="xsd:double"&gt;3.3941627&lt;/D&gt;&lt;D xsi:type="xsd:double"&gt;-2.0248652&lt;/D&gt;&lt;D xsi:type="xsd:double"&gt;0.10962486&lt;/D&gt;&lt;D xsi:type="xsd:double"&gt;-3.415954&lt;/D&gt;&lt;D xsi:type="xsd:double"&gt;-3.9274156&lt;/D&gt;&lt;D xsi:type="xsd:double"&gt;-1.2756467&lt;/D&gt;&lt;D xsi:type="xsd:double"&gt;5.625868&lt;/D&gt;&lt;D xsi:type="xsd:double"&gt;0.7792473&lt;/D&gt;&lt;D xsi:type="xsd:double"&gt;-2.798748&lt;/D&gt;&lt;D xsi:type="xsd:double"&gt;1.5476584&lt;/D&gt;&lt;D xsi:type="xsd:double"&gt;-0.8000612&lt;/D&gt;&lt;D xsi:type="xsd:double"&gt;4.5380354&lt;/D&gt;&lt;D xsi:type="xsd:double"&gt;-1.1662006&lt;/D&gt;&lt;D xsi:type="xsd:double"&gt;-6.1676207&lt;/D&gt;&lt;D xsi:type="xsd:double"&gt;0.6204009&lt;/D&gt;&lt;D xsi:type="xsd:double"&gt;-3.2081008&lt;/D&gt;&lt;D xsi:type="xsd:double"&gt;1.4984608&lt;/D&gt;&lt;D xsi:type="xsd:double"&gt;-1.067251&lt;/D&gt;&lt;D xsi:type="xsd:double"&gt;-0.13542771&lt;/D&gt;&lt;D xsi:type="xsd:double"&gt;-0.738585&lt;/D&gt;&lt;D xsi:type="xsd:double"&gt;-7.198757&lt;/D&gt;&lt;D xsi:type="xsd:double"&gt;1.4356613&lt;/D&gt;&lt;D xsi:type="xsd:double"&gt;-1.3434827&lt;/D&gt;&lt;D xsi:type="xsd:double"&gt;-1.2753785&lt;/D&gt;&lt;D xsi:type="xsd:double"&gt;-0.10416508&lt;/D&gt;&lt;D xsi:type="xsd:double"&gt;-0.5712867&lt;/D&gt;&lt;D xsi:type="xsd:double"&gt;-2.9930592&lt;/D&gt;&lt;D xsi:type="xsd:double"&gt;3.499794&lt;/D&gt;&lt;D xsi:type="xsd:double"&gt;-5.8323026&lt;/D&gt;&lt;D xsi:type="xsd:double"&gt;1.4519095&lt;/D&gt;&lt;D xsi:type="xsd:double"&gt;0.83361864&lt;/D&gt;&lt;D xsi:type="xsd:double"&gt;9.304131&lt;/D&gt;&lt;D xsi:type="xsd:double"&gt;2.626598&lt;/D&gt;&lt;D xsi:type="xsd:double"&gt;-1.8351197&lt;/D&gt;&lt;D xsi:type="xsd:double"&gt;-6.6606045&lt;/D&gt;&lt;D xsi:type="xsd:double"&gt;-1.7999053&lt;/D&gt;&lt;D xsi:type="xsd:double"&gt;-7.078701&lt;/D&gt;&lt;D xsi:type="xsd:double"&gt;-5.130017&lt;/D&gt;&lt;D xsi:type="xsd:double"&gt;-2.6030064&lt;/D&gt;&lt;D xsi:type="xsd:double"&gt;3.318131&lt;/D&gt;&lt;D xsi:type="xsd:double"&gt;-10.21831&lt;/D&gt;&lt;D xsi:type="xsd:double"&gt;13.014805&lt;/D&gt;&lt;D xsi:type="xsd:double"&gt;3.4436226&lt;/D&gt;&lt;D xsi:type="xsd:double"&gt;3.5725474&lt;/D&gt;&lt;D xsi:type="xsd:double"&gt;-0.63818693&lt;/D&gt;&lt;D xsi:type="xsd:double"&gt;-0.20708442&lt;/D&gt;&lt;/FQL&gt;&lt;FQL&gt;&lt;Q&gt;CNYA^FG_TOTAL_RETURNC(-5AY,0,AM)&lt;/Q&gt;&lt;R&gt;61&lt;/R&gt;&lt;C&gt;1&lt;/C&gt;&lt;D xsi:type="xsd:double"&gt;4.210806&lt;/D&gt;&lt;D xsi:type="xsd:double"&gt;2.453661&lt;/D&gt;&lt;D xsi:type="xsd:double"&gt;10.08054&lt;/D&gt;&lt;D xsi:type="xsd:double"&gt;6.348121&lt;/D&gt;&lt;D xsi:type="xsd:double"&gt;-14.308953&lt;/D&gt;&lt;D xsi:type="xsd:double"&gt;0.97323656&lt;/D&gt;&lt;D xsi:type="xsd:double"&gt;4.7710776&lt;/D&gt;&lt;D xsi:type="xsd:double"&gt;-1.5180469&lt;/D&gt;&lt;D xsi:type="xsd:double"&gt;2.1754384&lt;/D&gt;&lt;D xsi:type="xsd:double"&gt;-5.3800344&lt;/D&gt;&lt;D xsi:type="xsd:double"&gt;-0.58069825&lt;/D&gt;&lt;D xsi:type="xsd:double"&gt;5.962527&lt;/D&gt;&lt;D xsi:type="xsd:double"&gt;-0.55122375&lt;/D&gt;&lt;D xsi:type="xsd:double"&gt;0.22184849&lt;/D&gt;&lt;D xsi:type="xsd:double"&gt;-1.5813947&lt;/D&gt;&lt;D xsi:type="xsd:double"&gt;-3.7098289&lt;/D&gt;&lt;D xsi:type="xsd:double"&gt;-6.7239285&lt;/D&gt;&lt;D xsi:type="xsd:double"&gt;-7.9452696&lt;/D&gt;&lt;D xsi:type="xsd:double"&gt;-2.4578452&lt;/D&gt;&lt;D xsi:type="xsd:double"&gt;6.9095373&lt;/D&gt;&lt;D xsi:type="xsd:double"&gt;-1.0982931&lt;/D&gt;&lt;D xsi:type="xsd:double"&gt;-3.4425378&lt;/D&gt;&lt;D xsi:type="xsd:double"&gt;-7.93559&lt;/D&gt;&lt;D xsi:type="xsd:double"&gt;-6.3397884&lt;/D&gt;&lt;D xsi:type="xsd:double"&gt;3.1240463&lt;/D&gt;&lt;D xsi:type="xsd:double"&gt;2.0188212&lt;/D&gt;&lt;D xsi:type="xsd:double"&gt;12.305201&lt;/D&gt;&lt;D xsi:type="xsd:double"&gt;-5.4640055&lt;/D&gt;&lt;D xsi:type="xsd:double"&gt;-2.4770677&lt;/D&gt;&lt;D xsi:type="xsd:double"&gt;3.1984925&lt;/D&gt;&lt;D xsi:type="xsd:double"&gt;-5.4998455&lt;/D&gt;&lt;D xsi:type="xsd:double"&gt;-3.6916673&lt;/D&gt;&lt;D xsi:type="xsd:double"&gt;-1.4546633&lt;/D&gt;&lt;D xsi:type="xsd:double"&gt;-3.2089412&lt;/D&gt;&lt;D xsi:type="xsd:double"&gt;-1.6485393&lt;/D&gt;&lt;D xsi:type="xsd:double"&gt;-5.8220444&lt;/D&gt;&lt;D xsi:type="xsd:double"&gt;5.765414&lt;/D&gt;&lt;D xsi:type="xsd:double"&gt;-7.730043&lt;/D&gt;&lt;D xsi:type="xsd:double"&gt;-1.4551342&lt;/D&gt;&lt;D xsi:type="xsd:double"&gt;3.691554&lt;/D&gt;&lt;D xsi:type="xsd:double"&gt;5.854428&lt;/D&gt;&lt;D xsi:type="xsd:double"&gt;-2.1300435&lt;/D&gt;&lt;D xsi:type="xsd:double"&gt;4.047346&lt;/D&gt;&lt;D xsi:type="xsd:double"&gt;-5.334073&lt;/D&gt;&lt;D xsi:type="xsd:double"&gt;0.62208176&lt;/D&gt;&lt;D xsi:type="xsd:double"&gt;-3.3029318&lt;/D&gt;&lt;D xsi:type="xsd:double"&gt;-2.5782049&lt;/D&gt;&lt;D xsi:type="xsd:double"&gt;20.71371&lt;/D&gt;&lt;D xsi:type="xsd:double"&gt;-0.3737688&lt;/D&gt;&lt;D xsi:type="xsd:double"&gt;-1.3915479&lt;/D&gt;&lt;D xsi:type="xsd:double"&gt;-3.5701692&lt;/D&gt;&lt;D xsi:type="xsd:double"&gt;4.9486756&lt;/D&gt;&lt;D xsi:type="xsd:double"&gt;-0.5937815&lt;/D&gt;&lt;D xsi:type="xsd:double"&gt;-5.76247&lt;/D&gt;&lt;D xsi:type="xsd:double"&gt;5.443704&lt;/D&gt;&lt;D xsi:type="xsd:double"&gt;-0.86173415&lt;/D&gt;&lt;D xsi:type="xsd:double"&gt;6.4637423&lt;/D&gt;&lt;D xsi:type="xsd:double"&gt;6.7608476&lt;/D&gt;&lt;D xsi:type="xsd:double"&gt;5.3875327&lt;/D&gt;&lt;D xsi:type="xsd:double"&gt;0.5680084&lt;/D&gt;&lt;D xsi:type="xsd:double"&gt;-0.53507686&lt;/D&gt;&lt;/FQL&gt;&lt;FQL&gt;&lt;Q&gt;KSA^FG_PRICE(0,-200D)&lt;/Q&gt;&lt;R&gt;201&lt;/R&gt;&lt;C&gt;1&lt;/C&gt;&lt;D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xsi:type="xsd:double"&gt;40.74&lt;/D&gt;&lt;D xsi:type="xsd:double"&gt;40.85&lt;/D&gt;&lt;D xsi:type="xsd:double"&gt;41.16&lt;/D&gt;&lt;D xsi:type="xsd:double"&gt;41.05&lt;/D&gt;&lt;D xsi:type="xsd:double"&gt;40.37&lt;/D&gt;&lt;D xsi:type="xsd:double"&gt;40.41&lt;/D&gt;&lt;D xsi:type="xsd:double"&gt;39.9&lt;/D&gt;&lt;D xsi:type="xsd:double"&gt;40.19&lt;/D&gt;&lt;D xsi:type="xsd:double"&gt;40.04&lt;/D&gt;&lt;D xsi:type="xsd:double"&gt;40.24&lt;/D&gt;&lt;D xsi:type="xsd:double"&gt;40.01&lt;/D&gt;&lt;D xsi:type="xsd:double"&gt;39.58&lt;/D&gt;&lt;D xsi:type="xsd:double"&gt;39.34&lt;/D&gt;&lt;D xsi:type="xsd:double"&gt;40.2&lt;/D&gt;&lt;D xsi:type="xsd:double"&gt;38.17&lt;/D&gt;&lt;D xsi:type="xsd:double"&gt;38.75&lt;/D&gt;&lt;D xsi:type="xsd:double"&gt;38.98&lt;/D&gt;&lt;D xsi:type="xsd:double"&gt;40.61&lt;/D&gt;&lt;D xsi:type="xsd:double"&gt;41.52&lt;/D&gt;&lt;D xsi:type="xsd:double"&gt;41.34&lt;/D&gt;&lt;D xsi:type="xsd:double"&gt;41.37&lt;/D&gt;&lt;D xsi:type="xsd:double"&gt;41.07&lt;/D&gt;&lt;D xsi:type="xsd:double"&gt;41.39&lt;/D&gt;&lt;D xsi:type="xsd:double"&gt;40.87&lt;/D&gt;&lt;D xsi:type="xsd:double"&gt;40.28&lt;/D&gt;&lt;D xsi:type="xsd:double"&gt;40.49&lt;/D&gt;&lt;D xsi:type="xsd:double"&gt;40.34&lt;/D&gt;&lt;D xsi:type="xsd:double"&gt;40.35&lt;/D&gt;&lt;D xsi:type="xsd:double"&gt;40.38&lt;/D&gt;&lt;D xsi:type="xsd:double"&gt;40.59&lt;/D&gt;&lt;D xsi:type="xsd:double"&gt;41.13&lt;/D&gt;&lt;D xsi:type="xsd:double"&gt;40.48&lt;/D&gt;&lt;D xsi:type="xsd:double"&gt;40.02&lt;/D&gt;&lt;D xsi:type="xsd:double"&gt;40.06&lt;/D&gt;&lt;D xsi:type="xsd:double"&gt;39.95&lt;/D&gt;&lt;D xsi:type="xsd:double"&gt;40.04&lt;/D&gt;&lt;D xsi:type="xsd:double"&gt;40.39&lt;/D&gt;&lt;D xsi:type="xsd:double"&gt;40.27&lt;/D&gt;&lt;D xsi:type="xsd:double"&gt;40.75&lt;/D&gt;&lt;D xsi:type="xsd:double"&gt;40.64&lt;/D&gt;&lt;D xsi:type="xsd:double"&gt;41.07&lt;/D&gt;&lt;D xsi:type="xsd:double"&gt;41.13&lt;</t>
        </r>
      </text>
    </comment>
    <comment ref="A6" authorId="0" shapeId="0" xr:uid="{6A751278-BE6C-4E60-8731-B5F067BA1D7C}">
      <text>
        <r>
          <rPr>
            <b/>
            <sz val="9"/>
            <color indexed="81"/>
            <rFont val="Tahoma"/>
            <charset val="1"/>
          </rPr>
          <t>/D&gt;&lt;D xsi:type="xsd:double"&gt;41.17&lt;/D&gt;&lt;D xsi:type="xsd:double"&gt;41.63&lt;/D&gt;&lt;D xsi:type="xsd:double"&gt;41.95&lt;/D&gt;&lt;D xsi:type="xsd:double"&gt;41.96&lt;/D&gt;&lt;D xsi:type="xsd:double"&gt;42.03&lt;/D&gt;&lt;D xsi:type="xsd:double"&gt;42.43&lt;/D&gt;&lt;D xsi:type="xsd:double"&gt;42.11&lt;/D&gt;&lt;D xsi:type="xsd:double"&gt;42.14&lt;/D&gt;&lt;D xsi:type="xsd:double"&gt;42.5&lt;/D&gt;&lt;D xsi:type="xsd:double"&gt;42.5&lt;/D&gt;&lt;D xsi:type="xsd:double"&gt;42.18&lt;/D&gt;&lt;D xsi:type="xsd:double"&gt;42.32&lt;/D&gt;&lt;D xsi:type="xsd:double"&gt;42.4&lt;/D&gt;&lt;D xsi:type="xsd:double"&gt;42.07&lt;/D&gt;&lt;D xsi:type="xsd:double"&gt;42.23&lt;/D&gt;&lt;D xsi:type="xsd:double"&gt;42.25&lt;/D&gt;&lt;/FQL&gt;&lt;FQL&gt;&lt;Q&gt;EWN^FG_TOTAL_RETURNC(-5AY,0,AM)&lt;/Q&gt;&lt;R&gt;61&lt;/R&gt;&lt;C&gt;1&lt;/C&gt;&lt;D xsi:type="xsd:double"&gt;5.7370305&lt;/D&gt;&lt;D xsi:type="xsd:double"&gt;7.281053&lt;/D&gt;&lt;D xsi:type="xsd:double"&gt;6.2636614&lt;/D&gt;&lt;D xsi:type="xsd:double"&gt;4.8663497&lt;/D&gt;&lt;D xsi:type="xsd:double"&gt;-2.1132946&lt;/D&gt;&lt;D xsi:type="xsd:double"&gt;5.809033&lt;/D&gt;&lt;D xsi:type="xsd:double"&gt;2.3769379&lt;/D&gt;&lt;D xsi:type="xsd:double"&gt;-1.3439536&lt;/D&gt;&lt;D xsi:type="xsd:double"&gt;-0.9224355&lt;/D&gt;&lt;D xsi:type="xsd:double"&gt;7.4693203&lt;/D&gt;&lt;D xsi:type="xsd:double"&gt;1.3191581&lt;/D&gt;&lt;D xsi:type="xsd:double"&gt;0.5441189&lt;/D&gt;&lt;D xsi:type="xsd:double"&gt;0.81174374&lt;/D&gt;&lt;D xsi:type="xsd:double"&gt;-8.344871&lt;/D&gt;&lt;D xsi:type="xsd:double"&gt;0.2099514&lt;/D&gt;&lt;D xsi:type="xsd:double"&gt;-5.7406187&lt;/D&gt;&lt;D xsi:type="xsd:double"&gt;-4.4898868&lt;/D&gt;&lt;D xsi:type="xsd:double"&gt;-3.979528&lt;/D&gt;&lt;D xsi:type="xsd:double"&gt;-10.009688&lt;/D&gt;&lt;D xsi:type="xsd:double"&gt;-6.8217754&lt;/D&gt;&lt;D xsi:type="xsd:double"&gt;5.5051208&lt;/D&gt;&lt;D xsi:type="xsd:double"&gt;1.8318057&lt;/D&gt;&lt;D xsi:type="xsd:double"&gt;-10.411554&lt;/D&gt;&lt;D xsi:type="xsd:double"&gt;-4.776388&lt;/D&gt;&lt;D xsi:type="xsd:double"&gt;20.958471&lt;/D&gt;&lt;D xsi:type="xsd:double"&gt;-0.38893223&lt;/D&gt;&lt;D xsi:type="xsd:double"&gt;11.499464&lt;/D&gt;&lt;D xsi:type="xsd:double"&gt;1.0768175&lt;/D&gt;&lt;D xsi:type="xsd:double"&gt;-5.0662937&lt;/D&gt;&lt;D xsi:type="xsd:double"&gt;5.0623536&lt;/D&gt;&lt;D xsi:type="xsd:double"&gt;1.7089844&lt;/D&gt;&lt;D xsi:type="xsd:double"&gt;0.3180027&lt;/D&gt;&lt;D xsi:type="xsd:double"&gt;3.2227755&lt;/D&gt;&lt;D xsi:type="xsd:double"&gt;-6.608939&lt;/D&gt;&lt;D xsi:type="xsd:double"&gt;-4.9292326&lt;/D&gt;&lt;D xsi:type="xsd:double"&gt;-6.134498&lt;/D&gt;&lt;D xsi:type="xsd:double"&gt;15.395141&lt;/D&gt;&lt;D xsi:type="xsd:double"&gt;4.6939135&lt;/D&gt;&lt;D xsi:type="xsd:double"&gt;-0.022798777&lt;/D&gt;&lt;D xsi:type="xsd:double"&gt;7.0141435&lt;/D&gt;&lt;D xsi:type="xsd:double"&gt;4.6786785&lt;/D&gt;&lt;D xsi:type="xsd:double"&gt;-4.6833634&lt;/D&gt;&lt;D xsi:type="xsd:double"&gt;10.596025&lt;/D&gt;&lt;D xsi:type="xsd:double"&gt;-0.043934584&lt;/D&gt;&lt;D xsi:type="xsd:double"&gt;-3.1463683&lt;/D&gt;&lt;D xsi:type="xsd:double"&gt;1.2106538&lt;/D&gt;&lt;D xsi:type="xsd:double"&gt;-1.5550196&lt;/D&gt;&lt;D xsi:type="xsd:double"&gt;-1.680845&lt;/D&gt;&lt;D xsi:type="xsd:double"&gt;-8.178579&lt;/D&gt;&lt;D xsi:type="xsd:double"&gt;1.2084961&lt;/D&gt;&lt;D xsi:type="xsd:double"&gt;3.1298995&lt;/D&gt;&lt;D xsi:type="xsd:double"&gt;5.202687&lt;/D&gt;&lt;D xsi:type="xsd:double"&gt;0.700593&lt;/D&gt;&lt;D xsi:type="xsd:double"&gt;-4.7472897&lt;/D&gt;&lt;D xsi:type="xsd:double"&gt;13.426423&lt;/D&gt;&lt;D xsi:type="xsd:double"&gt;-0.40637255&lt;/D&gt;&lt;D xsi:type="xsd:double"&gt;3.0202627&lt;/D&gt;&lt;D xsi:type="xsd:double"&gt;0.22447109&lt;/D&gt;&lt;D xsi:type="xsd:double"&gt;6.0843587&lt;/D&gt;&lt;D xsi:type="xsd:double"&gt;3.5362363&lt;/D&gt;&lt;D xsi:type="xsd:double"&gt;-5.6584477&lt;/D&gt;&lt;/FQL&gt;&lt;FQL&gt;&lt;Q&gt;EWT^FG_TOTAL_RETURNC(-5AY,0,AM)&lt;/Q&gt;&lt;R&gt;61&lt;/R&gt;&lt;C&gt;1&lt;/C&gt;&lt;D xsi:type="xsd:double"&gt;7.940984&lt;/D&gt;&lt;D xsi:type="xsd:double"&gt;5.6245923&lt;/D&gt;&lt;D xsi:type="xsd:double"&gt;11.886764&lt;/D&gt;&lt;D xsi:type="xsd:double"&gt;4.0727854&lt;/D&gt;&lt;D xsi:type="xsd:double"&gt;-3.1473756&lt;/D&gt;&lt;D xsi:type="xsd:double"&gt;8.2702875&lt;/D&gt;&lt;D xsi:type="xsd:double"&gt;-4.795933&lt;/D&gt;&lt;D xsi:type="xsd:double"&gt;4.3369412&lt;/D&gt;&lt;D xsi:type="xsd:double"&gt;1.8225431&lt;/D&gt;&lt;D xsi:type="xsd:double"&gt;-4.788822&lt;/D&gt;&lt;D xsi:type="xsd:double"&gt;2.6879907&lt;/D&gt;&lt;D xsi:type="xsd:double"&gt;0.40147305&lt;/D&gt;&lt;D xsi:type="xsd:double"&gt;5.8861136&lt;/D&gt;&lt;D xsi:type="xsd:double"&gt;-0.73937774&lt;/D&gt;&lt;D xsi:type="xsd:double"&gt;3.252542&lt;/D&gt;&lt;D xsi:type="xsd:double"&gt;-0.86324215&lt;/D&gt;&lt;D xsi:type="xsd:double"&gt;-4.491287&lt;/D&gt;&lt;D xsi:type="xsd:double"&gt;-6.5738974&lt;/D&gt;&lt;D xsi:type="xsd:double"&gt;-6.9679856&lt;/D&gt;&lt;D xsi:type="xsd:double"&gt;-3.6805272&lt;/D&gt;&lt;D xsi:type="xsd:double"&gt;-4.145974&lt;/D&gt;&lt;D xsi:type="xsd:double"&gt;4.0462494&lt;/D&gt;&lt;D xsi:type="xsd:double"&gt;-9.099615&lt;/D&gt;&lt;D xsi:type="xsd:double"&gt;-11.949426&lt;/D&gt;&lt;D xsi:type="xsd:double"&gt;16.34754&lt;/D&gt;&lt;D xsi:type="xsd:double"&gt;-1.4030814&lt;/D&gt;&lt;D xsi:type="xsd:double"&gt;8.815563&lt;/D&gt;&lt;D xsi:type="xsd:double"&gt;0.45259&lt;/D&gt;&lt;D xsi:type="xsd:double"&gt;-0.9236336&lt;/D&gt;&lt;D xsi:type="xsd:double"&gt;0.8412838&lt;/D&gt;&lt;D xsi:type="xsd:double"&gt;2.818489&lt;/D&gt;&lt;D xsi:type="xsd:double"&gt;4.912281&lt;/D&gt;&lt;D xsi:type="xsd:double"&gt;-0.56438446&lt;/D&gt;&lt;D xsi:type="xsd:double"&gt;-5.150306&lt;/D&gt;&lt;D xsi:type="xsd:double"&gt;0.28812885&lt;/D&gt;&lt;D xsi:type="xsd:double"&gt;-2.2983432&lt;/D&gt;&lt;D xsi:type="xsd:double"&gt;9.273922&lt;/D&gt;&lt;D xsi:type="xsd:double"&gt;1.3391972&lt;/D&gt;&lt;D xsi:type="xsd:double"&gt;1.7499328&lt;/D&gt;&lt;D xsi:type="xsd:double"&gt;5.0690293&lt;/D&gt;&lt;D xsi:type="xsd:double"&gt;4.3721676&lt;/D&gt;&lt;D xsi:type="xsd:double"&gt;-5.6747856&lt;/D&gt;&lt;D xsi:type="xsd:double"&gt;11.201059&lt;/D&gt;&lt;D xsi:type="xsd:double"&gt;7.948053&lt;/D&gt;&lt;D xsi:type="xsd:double"&gt;-3.152907&lt;/D&gt;&lt;D xsi:type="xsd:double"&gt;1.8818259&lt;/D&gt;&lt;D xsi:type="xsd:double"&gt;-1.8101215&lt;/D&gt;&lt;D xsi:type="xsd:double"&gt;6.5838933&lt;/D&gt;&lt;D xsi:type="xsd:double"&gt;-5.3123894&lt;/D&gt;&lt;D xsi:type="xsd:double"&gt;0.515759&lt;/D&gt;&lt;D xsi:type="xsd:double"&gt;-0.3638506&lt;/D&gt;&lt;D xsi:type="xsd:double"&gt;2.191043&lt;/D&gt;&lt;D xsi:type="xsd:double"&gt;-5.4353952&lt;/D&gt;&lt;D xsi:type="xsd:double"&gt;-10.739851&lt;/D&gt;&lt;D xsi:type="xsd:double"&gt;19.1622&lt;/D&gt;&lt;D xsi:type="xsd:double"&gt;2.5430083&lt;/D&gt;&lt;D xsi:type="xsd:double"&gt;8.023346&lt;/D&gt;&lt;D xsi:type="xsd:double"&gt;-0.7765055&lt;/D&gt;&lt;D xsi:type="xsd:double"&gt;7.825792&lt;/D&gt;&lt;D xsi:type="xsd:double"&gt;4.4020176&lt;/D&gt;&lt;D xsi:type="xsd:double"&gt;-6.7855477&lt;/D&gt;&lt;/FQL&gt;&lt;FQL&gt;&lt;Q&gt;EWU^FG_PRICE(0,-200D)&lt;/Q&gt;&lt;R&gt;201&lt;/R&gt;&lt;C&gt;1&lt;/C&gt;&lt;D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xsi:type="xsd:double"&gt;38.35&lt;/D&gt;&lt;D xsi:type="xsd:double"&gt;38.19&lt;/D&gt;&lt;D xsi:type="xsd:double"&gt;37.94&lt;/D&gt;&lt;D xsi:type="xsd:double"&gt;37.89&lt;/D&gt;&lt;D xsi:type="xsd:double"&gt;37.55&lt;/D&gt;&lt;D xsi:type="xsd:double"&gt;37.58&lt;/D&gt;&lt;D xsi:type="xsd:double"&gt;36.82&lt;/D&gt;&lt;D xsi:type="xsd:double"&gt;36.97&lt;/D&gt;&lt;D xsi:type="xsd:double"&gt;36.55&lt;/D&gt;&lt;D xsi:type="xsd:double"&gt;36.65&lt;/D&gt;&lt;D xsi:type="xsd:double"&gt;36.15&lt;/D&gt;&lt;D xsi:type="xsd:double"&gt;35.57&lt;/D&gt;&lt;D xsi:type="xsd:double"&gt;34.67&lt;/D&gt;&lt;D xsi:type="xsd:double"&gt;35.11&lt;/D&gt;&lt;D xsi:type="xsd:double"&gt;33.19&lt;/D&gt;&lt;D xsi:type="xsd:double"&gt;33.29&lt;/D&gt;&lt;D xsi:type="xsd:double"&gt;34.62&lt;/D&gt;&lt;D xsi:type="xsd:double"&gt;37.28&lt;/D&gt;&lt;D xsi:type="xsd:double"&gt;37.61&lt;/D&gt;&lt;D xsi:type="xsd:double"&gt;37.44&lt;/D&gt;&lt;D xsi:type="xsd:double"&gt;37.47&lt;/D&gt;&lt;D xsi:type="xsd:double"&gt;37.59&lt;/D&gt;&lt;D xsi:type="xsd:double"&gt;37.66&lt;/D&gt;&lt;D xsi:type="xsd:double"&gt;37.51&lt;/D&gt;&lt;D xsi:type="xsd:double"&gt;37.64&lt;/D&gt;&lt;D xsi:type="xsd:double"&gt;37.53&lt;/D&gt;&lt;D xsi:type="xsd:double"&gt;37.53&lt;/D&gt;&lt;D xsi:type="xsd:double"&gt;37.88&lt;/D&gt;&lt;D xsi:type="xsd:double"&gt;37.99&lt;/D&gt;&lt;D xsi:type="xsd:double"&gt;37.95&lt;/D&gt;&lt;D xsi:type="xsd:double"&gt;37.97&lt;/D&gt;&lt;D xsi:type="xsd:double"&gt;37.71&lt;/D&gt;&lt;D xsi:type="xsd:double"&gt;37.13&lt;/D&gt;&lt;D xsi:type="xsd:double"&gt;37.12&lt;/D&gt;&lt;D xsi:type="xsd:double"&gt;36.96&lt;/D&gt;&lt;D xsi:type="xsd:double"&gt;37.05&lt;/D&gt;&lt;D xsi:type="xsd:double"&gt;37.83&lt;/D&gt;&lt;D xsi:type="xsd:double"&gt;37.25&lt;/D&gt;&lt;D xsi:type="xsd:double"&gt;37.92&lt;/D&gt;&lt;D xsi:type="xsd:double"&gt;37.55&lt;/D&gt;&lt;D xsi:type="xsd:double"&gt;37.42&lt;/D&gt;&lt;D xsi:type="xsd:double"&gt;37.04&lt;/D&gt;&lt;D xsi:type="xsd:double"&gt;36.7&lt;/D&gt;&lt;D xsi:type="xsd:double"&gt;36.75&lt;/D&gt;&lt;D xsi:type="xsd:double"&gt;36.72&lt;/D&gt;&lt;D xsi:type="xsd:double"&gt;36.39&lt;/D&gt;&lt;D xsi:type="xsd:double"&gt;36.36&lt;/D&gt;&lt;D xsi:type="xsd:double"&gt;36.55&lt;/D&gt;&lt;D xsi:type="xsd:double"&gt;36.64&lt;/D&gt;&lt;D xsi:type="xsd:double"&gt;36.85&lt;/D&gt;&lt;D xsi:type="xsd:double"&gt;36.55&lt;/D&gt;&lt;D xsi:type="xsd:double"&gt;36.65&lt;/D&gt;&lt;D xsi:type="xsd:double"&gt;36.57&lt;/D&gt;&lt;D xsi:type="xsd:double"&gt;36.46&lt;/D&gt;&lt;D xsi:type="xsd:double"&gt;36.17&lt;/D&gt;&lt;D xsi:type="xsd:double"&gt;35.89&lt;/D&gt;&lt;D xsi:type="xsd:double"&gt;36.06&lt;/D&gt;&lt;D xsi:type="xsd:double"&gt;36.04&lt;/D&gt;&lt;/FQL&gt;&lt;FQL&gt;&lt;Q&gt;EWQ^FG_TOTAL_RETURNC(-5AY,0,AM)&lt;/Q&gt;&lt;R&gt;61&lt;/R&gt;&lt;C&gt;1&lt;/C&gt;&lt;D xsi:type="xsd:double"&gt;11.486721&lt;/D&gt;&lt;D xsi:type="xsd:double"&gt;3.5732865&lt;/D&gt;&lt;D xsi:type="xsd:double"&gt;1.5010476&lt;/D&gt;&lt;D xsi:type="xsd:double"&gt;1.6563058&lt;/D&gt;&lt;D xsi:type="xsd:double"&gt;1.8620849&lt;/D&gt;&lt;D xsi:type="xsd:double"&gt;4.0845513&lt;/D&gt;&lt;D xsi:type="xsd:double"&gt;5.2689433&lt;/D&gt;&lt;D xsi:type="xsd:double"&gt;0.29987097&lt;/D&gt;&lt;D xsi:type="xsd:double"&gt;-3.5742462&lt;/D&gt;&lt;D xsi:type="xsd:double"&gt;3.4886956&lt;/D&gt;&lt;D xsi:type="xsd:double"&gt;-1.948911&lt;/D&gt;&lt;D xsi:type="xsd:double"&gt;4.0827274&lt;/D&gt;&lt;D xsi:type="xsd:double"&gt;2.0645142&lt;/D&gt;&lt;D xsi:type="xsd:double"&gt;-2.8461635&lt;/D&gt;&lt;D xsi:type="xsd:double"&gt;3.1826735&lt;/D&gt;&lt;D xsi:type="xsd:double"&gt;-2.7734697&lt;/D&gt;&lt;D xsi:type="xsd:double"&gt;-6.158352&lt;/D&gt;&lt;D xsi:type="xsd:double"&gt;-1.1931896&lt;/D&gt;&lt;D xsi:type="xsd:double"&gt;-6.0379505&lt;/D&gt;&lt;D xsi:type="xsd:double"&gt;-6.4380527&lt;/D&gt;&lt;D xsi:type="xsd:double"&gt;1.7845035&lt;/D&gt;&lt;D xsi:type="xsd:double"&gt;4.1680455&lt;/D&gt;&lt;D xsi:type="xsd:double"&gt;-8.9869795&lt;/D&gt;&lt;D xsi:type="xsd:double"&gt;-0.9769738&lt;/D&gt;&lt;D xsi:type="xsd:double"&gt;15.750527&lt;/D&gt;&lt;D xsi:type="xsd:double"&gt;0.2384901&lt;/D&gt;&lt;D xsi:type="xsd:double"&gt;11.216092&lt;/D&gt;&lt;D xsi:type="xsd:double"&gt;2.904904&lt;/D&gt;&lt;D xsi:type="xsd:double"&gt;-4.4474006&lt;/D&gt;&lt;D xsi:type="xsd:double"&gt;9.643257&lt;/D&gt;&lt;D xsi:type="xsd:double"&gt;-0.71173906&lt;/D&gt;&lt;D xsi:type="xsd:double"&gt;-0.93141794&lt;/D&gt;&lt;D xsi:type="xsd:double"&gt;3.5402894&lt;/D&gt;&lt;D xsi:type="xsd:double"&gt;-5.4860888&lt;/D&gt;&lt;D xsi:type="xsd:double"&gt;-0.701952&lt;/D&gt;&lt;D xsi:type="xsd:double"&gt;-7.395315&lt;/D&gt;&lt;D xsi:type="xsd:double"&gt;9.982371&lt;/D&gt;&lt;D xsi:type="xsd:double"&gt;3.7546873&lt;/D&gt;&lt;D xsi:type="xsd:double"&gt;-1.7998278&lt;/D&gt;&lt;D xsi:type="xsd:double"&gt;4.1139245&lt;/D&gt;&lt;D xsi:type="xsd:double"&gt;5.977714&lt;/D&gt;&lt;D xsi:type="xsd:double"&gt;-4.612809&lt;/D&gt;&lt;D xsi:type="xsd:double"&gt;5.8631897&lt;/D&gt;&lt;D xsi:type="xsd:double"&gt;-6.3471375&lt;/D&gt;&lt;D xsi:type="xsd:double"&gt;-0.15515089&lt;/D&gt;&lt;D xsi:type="xsd:double"&gt;1.7352939&lt;/D&gt;&lt;D xsi:type="xsd:double"&gt;1.0692477&lt;/D&gt;&lt;D xsi:type="xsd:double"&gt;-1.1335015&lt;/D&gt;&lt;D xsi:type="xsd:double"&gt;-8.152866&lt;/D&gt;&lt;D xsi:type="xsd:double"&gt;-0.39779544&lt;/D&gt;&lt;D xsi:type="xsd:double"&gt;4.629636&lt;/D&gt;&lt;D xsi:type="xsd:double"&gt;7.508719&lt;/D&gt;&lt;D xsi:type="xsd:double"&gt;2.9683232&lt;/D&gt;&lt;D xsi:type="xsd:double"&gt;-4.9903035&lt;/D&gt;&lt;D xsi:type="xsd:double"&gt;9.892904&lt;/D&gt;&lt;D xsi:type="xsd:double"&gt;-2.0335376&lt;/D&gt;&lt;D xsi:type="xsd:double"&gt;3.9476752&lt;/D&gt;&lt;D xsi:type="xsd:double"&gt;2.446425&lt;/D&gt;&lt;D xsi:type="xsd:double"&gt;-0.6595433&lt;/D&gt;&lt;D xsi:type="xsd:double"&gt;3.4798503&lt;/D&gt;&lt;D xsi:type="xsd:double"&gt;-4.889381&lt;/D&gt;&lt;/FQL&gt;&lt;FQL&gt;&lt;Q&gt;MCHI^FG_TOTAL_RETURNC(-5AY,0,AM)&lt;/Q&gt;&lt;R&gt;61&lt;/R&gt;&lt;C&gt;1&lt;/C&gt;&lt;D xsi:type="xsd:double"&gt;4.1267395&lt;/D&gt;&lt;D xsi:type="xsd:double"&gt;-0.66547394&lt;/D&gt;&lt;D xsi:type="xsd:double"&gt;13.766503&lt;/D&gt;&lt;D xsi:type="xsd:double"&gt;4.6498895&lt;/D&gt;&lt;D xsi:type="xsd:double"&gt;-11.238891&lt;/D&gt;&lt;D xsi:type="xsd:double"&gt;-4.028267&lt;/D&gt;&lt;D xsi:type="xsd:double"&gt;-1.116842&lt;/D&gt;&lt;D xsi:type="xsd:double"&gt;-0.093990564&lt;/D&gt;&lt;D xsi:type="xsd:double"&gt;-4.3326735&lt;/D&gt;&lt;D xsi:type="xsd:double"&gt;-13.938051&lt;/D&gt;&lt;D xsi:type="xsd:double"&gt;0.045371056&lt;/D&gt;&lt;D xsi:type="xsd:double"&gt;9.74909&lt;/D&gt;&lt;D xsi:type="xsd:double"&gt;-5.4124775&lt;/D&gt;&lt;D xsi:type="xsd:double"&gt;-10.963315&lt;/D&gt;&lt;D xsi:type="xsd:double"&gt;6.8039536&lt;/D&gt;&lt;D xsi:type="xsd:double"&gt;-5.0285397&lt;/D&gt;&lt;D xsi:type="xsd:double"&gt;-10.573328&lt;/D&gt;&lt;D xsi:type="xsd:double"&gt;-9.371596&lt;/D&gt;&lt;D xsi:type="xsd:double"&gt;-0.3206432&lt;/D&gt;&lt;D xsi:type="xsd:double"&gt;6.7326665&lt;/D&gt;&lt;D xsi:type="xsd:double"&gt;-1.0799527&lt;/D&gt;&lt;D xsi:type="xsd:double"&gt;-7.163376&lt;/D&gt;&lt;D xsi:type="xsd:double"&gt;-5.0546765&lt;/D&gt;&lt;D xsi:type="xsd:double"&gt;-14.080834&lt;/D&gt;&lt;D xsi:type="xsd:double"&gt;11.431467&lt;/D&gt;&lt;D xsi:type="xsd:double"&gt;6.802237&lt;/D&gt;&lt;D xsi:type="xsd:double"&gt;17.921078&lt;/D&gt;&lt;D xsi:type="xsd:double"&gt;-8.11997&lt;/D&gt;&lt;D xsi:type="xsd:double"&gt;-6.7277074&lt;/D&gt;&lt;D xsi:type="xsd:double"&gt;4.0759683&lt;/D&gt;&lt;D xsi:type="xsd:double"&gt;-5.1466107&lt;/D&gt;&lt;D xsi:type="xsd:double"&gt;-0.26875734&lt;/D&gt;&lt;D xsi:type="xsd:double"&gt;-0.6783426&lt;/D&gt;&lt;D xsi:type="xsd:double"&gt;-4.5604763&lt;/D&gt;&lt;D xsi:type="xsd:double"&gt;0.48476458&lt;/D&gt;&lt;D xsi:type="xsd:double"&gt;-5.995864&lt;/D&gt;&lt;D xsi:type="xsd:double"&gt;8.06452&lt;/D&gt;&lt;D xsi:type="xsd:double"&gt;-8.923274&lt;/D&gt;&lt;D xsi:type="xsd:double"&gt;-5.7026443&lt;/D&gt;&lt;D xsi:type="xsd:double"&gt;3.8606882&lt;/D&gt;&lt;D xsi:type="xsd:double"&gt;5.146861&lt;/D&gt;&lt;D xsi:type="xsd:double"&gt;-2.5710762&lt;/D&gt;&lt;D xsi:type="xsd:double"&gt;19.360565&lt;/D&gt;&lt;D xsi:type="xsd:double"&gt;-6.8409863&lt;/D&gt;&lt;D xsi:type="xsd:double"&gt;-3.6901236&lt;/D&gt;&lt;D xsi:type="xsd:double"&gt;-0.2617836&lt;/D&gt;&lt;D xsi:type="xsd:double"&gt;1.789546&lt;/D&gt;&lt;D xsi:type="xsd:double"&gt;18.354439&lt;/D&gt;&lt;D xsi:type="xsd:double"&gt;-4.971284&lt;/D&gt;&lt;D xsi:type="xsd:double"&gt;0.01835823&lt;/D&gt;&lt;D xsi:type="xsd:double"&gt;-1.8895924&lt;/D&gt;&lt;D xsi:type="xsd:double"&gt;18.437565&lt;/D&gt;&lt;D xsi:type="xsd:double"&gt;3.581214&lt;/D&gt;&lt;D xsi:type="xsd:double"&gt;-13.053447&lt;/D&gt;&lt;D xsi:type="xsd:double"&gt;11.990261&lt;/D&gt;&lt;D xsi:type="xsd:double"&gt;-2.1361232&lt;/D&gt;&lt;D xsi:type="xsd:double"&gt;7.3831797&lt;/D&gt;&lt;D xsi:type="xsd:double"&gt;4.2993903&lt;/D&gt;&lt;D xsi:type="xsd:double"&gt;7.543397&lt;/D&gt;&lt;D xsi:type="xsd:double"&gt;-0.49658418&lt;/D&gt;&lt;D xsi:type="xsd:double"&gt;-5.0530252&lt;/D&gt;&lt;/FQL&gt;&lt;FQL&gt;&lt;Q&gt;EWZ^FG_PRICE(0,-200D)&lt;/Q&gt;&lt;R&gt;201&lt;/R&gt;&lt;C&gt;1&lt;/C&gt;&lt;D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xsi:type="xsd:double"&gt;27.36&lt;/D&gt;&lt;D xsi:type="xsd:double"&gt;27.21&lt;/D&gt;&lt;D xsi:type="xsd:double"&gt;26.94&lt;/D&gt;&lt;D xsi:type="xsd:double"&gt;26.74&lt;/D&gt;&lt;D xsi:type="xsd:double"&gt;26.31&lt;/D&gt;&lt;D xsi:type="xsd:double"&gt;25.86&lt;/D&gt;&lt;D xsi:type="xsd:double"&gt;25.2&lt;/D&gt;&lt;D xsi:type="xsd:double"&gt;25.22&lt;/D&gt;&lt;D xsi:type="xsd:double"&gt;24.79&lt;/D&gt;&lt;D xsi:type="xsd:double"&gt;24.86&lt;/D&gt;&lt;D xsi:type="xsd:double"&gt;25.01&lt;/D&gt;&lt;D xsi:type="xsd:double"&gt;24.69&lt;/D&gt;&lt;D xsi:type="xsd:double"&gt;24.19&lt;/D&gt;&lt;D xsi:type="xsd:double"&gt;24.71&lt;/D&gt;&lt;D xsi:type="xsd:double"&gt;23.44&lt;/D&gt;&lt;D xsi:type="xsd:double"&gt;23.95&lt;/D&gt;&lt;D xsi:type="xsd:double"&gt;24.5&lt;/D&gt;&lt;D xsi:type="xsd:double"&gt;26.33&lt;/D&gt;&lt;D xsi:type="xsd:double"&gt;26.14&lt;/D&gt;&lt;D xsi:type="xsd:double"&gt;26.14&lt;/D&gt;&lt;D xsi:type="xsd:double"&gt;25.85&lt;/D&gt;&lt;D xsi:type="xsd:double"&gt;25.96&lt;/D&gt;&lt;D xsi:type="xsd:double"&gt;26.33&lt;/D&gt;&lt;D xsi:type="xsd:double"&gt;26.3&lt;/D&gt;&lt;D xsi:type="xsd:double"&gt;26.42&lt;/D&gt;&lt;D xsi:type="xsd:double"&gt;26.19&lt;/D&gt;&lt;D xsi:type="xsd:double"&gt;26.57&lt;/D&gt;&lt;D xsi:type="xsd:double"&gt;26.58&lt;/D&gt;&lt;D xsi:type="xsd:double"&gt;26.94&lt;/D&gt;&lt;D xsi:type="xsd:double"&gt;26.57&lt;/D&gt;&lt;D xsi:type="xsd:double"&gt;26.45&lt;/D&gt;&lt;D xsi:type="xsd:double"&gt;25.84&lt;/D&gt;&lt;D xsi:type="xsd:double"&gt;24.8&lt;/D&gt;&lt;D xsi:type="xsd:double"&gt;24.48&lt;/D&gt;&lt;D xsi:type="xsd:double"&gt;24.38&lt;/D&gt;&lt;D xsi:type="xsd:double"&gt;24.3&lt;/D&gt;&lt;D xsi:type="xsd:double"&gt;24.82&lt;/D&gt;&lt;D xsi:type="xsd:double"&gt;24.57&lt;/D&gt;&lt;D xsi:type="xsd:double"&gt;24.58&lt;/D&gt;&lt;D xsi:type="xsd:double"&gt;23.91&lt;/D&gt;&lt;D xsi:type="xsd:double"&gt;24.14&lt;/D&gt;&lt;D xsi:type="xsd:double"&gt;24.11&lt;/D&gt;&lt;D xsi:type="xsd:double"&gt;24.71&lt;/D&gt;&lt;D xsi:type="xsd:double"&gt;24.88&lt;/D&gt;&lt;D xsi:type="xsd:double"&gt;25.28&lt;/D&gt;&lt;D xsi:type="xsd:double"&gt;25.06&lt;/D&gt;&lt;D xsi:type="xsd:double"&gt;25.47&lt;/D&gt;&lt;D xsi:type="xsd:double"&gt;26.2&lt;/D&gt;&lt;D xsi:type="xsd:double"&gt;26.09&lt;/D&gt;&lt;D xsi:type="xsd:double"&gt;26.39&lt;/D&gt;&lt;D xsi:type="xsd:double"&gt;26.37&lt;/D&gt;&lt;D xsi:type="xsd:double"&gt;25.46&lt;/D&gt;&lt;D xsi:type="xsd:double"&gt;25.34&lt;/D&gt;&lt;D xsi:type="xsd:double"&gt;25.79&lt;/D&gt;&lt;D xsi:type="xsd:double"&gt;25.58&lt;/D&gt;&lt;D xsi:type="xsd:double"&gt;25.22&lt;/D&gt;&lt;D xsi:type="xsd:double"&gt;25.77&lt;/D&gt;&lt;D xsi:type="xsd:double"&gt;25.43&lt;/D&gt;&lt;/FQL&gt;&lt;FQL&gt;&lt;Q&gt;SPY^FG_TOTAL_RETURNC(-5AY,0,AM)&lt;/Q&gt;&lt;R&gt;61&lt;/R&gt;&lt;C&gt;1&lt;/C&gt;&lt;D xsi:type="xsd:double"&gt;3.4801006&lt;/D&gt;&lt;D xsi:type="xsd:double"&gt;4.3424487&lt;/D&gt;&lt;D xsi:type="xsd:double"&gt;3.984511&lt;/D&gt;&lt;D xsi:type="xsd:double"&gt;1.5994072&lt;/D&gt;&lt;D xsi:type="xsd:double"&gt;0.1865983&lt;/D&gt;&lt;D xsi:type="xsd:double"&gt;5.825722&lt;/D&gt;&lt;D xsi:type="xsd:double"&gt;0.7545352&lt;/D&gt;&lt;D xsi:type="xsd:double"&gt;0.24462938&lt;/D&gt;&lt;D xsi:type="xsd:double"&gt;3.8899064&lt;/D&gt;&lt;D xsi:type="xsd:double"&gt;2.8534293&lt;/D&gt;&lt;D xsi:type="xsd:double"&gt;-1.7853796&lt;/D&gt;&lt;D xsi:type="xsd:double"&gt;4.232323&lt;/D&gt;&lt;D xsi:type="xsd:double"&gt;3.642714&lt;/D&gt;&lt;D xsi:type="xsd:double"&gt;-2.621293&lt;/D&gt;&lt;D xsi:type="xsd:double"&gt;-1.8088758&lt;/D&gt;&lt;D xsi:type="xsd:double"&gt;-2.8024614&lt;/D&gt;&lt;D xsi:type="xsd:double"&gt;2.6842833&lt;/D&gt;&lt;D xsi:type="xsd:double"&gt;0.04274845&lt;/D&gt;&lt;D xsi:type="xsd:double"&gt;-12.385595&lt;/D&gt;&lt;D xsi:type="xsd:double"&gt;-5.695957&lt;/D&gt;&lt;D xsi:type="xsd:double"&gt;7.901931&lt;/D&gt;&lt;D xsi:type="xsd:double"&gt;6.9331527&lt;/D&gt;&lt;D xsi:type="xsd:double"&gt;-8.636874&lt;/D&gt;&lt;D xsi:type="xsd:double"&gt;-4.863441&lt;/D&gt;&lt;D xsi:type="xsd:double"&gt;8.379626&lt;/D&gt;&lt;D xsi:type="xsd:double"&gt;-3.4647107&lt;/D&gt;&lt;D xsi:type="xsd:double"&gt;4.03111&lt;/D&gt;&lt;D xsi:type="xsd:double"&gt;2.8746128&lt;/D&gt;&lt;D xsi:type="xsd:double"&gt;-2.946353&lt;/D&gt;&lt;D xsi:type="xsd:double"&gt;4.6071053&lt;/D&gt;&lt;D xsi:type="xsd:double"&gt;1.6363978&lt;/D&gt;&lt;D xsi:type="xsd:double"&gt;4.8229575&lt;/D&gt;&lt;D xsi:type="xsd:double"&gt;3.4310818&lt;/D&gt;&lt;D xsi:type="xsd:double"&gt;-3.4676433&lt;/D&gt;&lt;D xsi:type="xsd:double"&gt;0.8491039&lt;/D&gt;&lt;D xsi:type="xsd:double"&gt;-3.9782107&lt;/D&gt;&lt;D xsi:type="xsd:double"&gt;7.851565&lt;/D&gt;&lt;D xsi:type="xsd:double"&gt;3.5005689&lt;/D&gt;&lt;D xsi:type="xsd:double"&gt;3.026092&lt;/D&gt;&lt;D xsi:type="xsd:double"&gt;2.9703856&lt;/D&gt;&lt;D xsi:type="xsd:double"&gt;5.102706&lt;/D&gt;&lt;D xsi:type="xsd:double"&gt;-4.8647346&lt;/D&gt;&lt;D xsi:type="xsd:double"&gt;7.0482254&lt;/D&gt;&lt;D xsi:type="xsd:double"&gt;3.19587&lt;/D&gt;&lt;D xsi:type="xsd:double"&gt;0.68802834&lt;/D&gt;&lt;D xsi:type="xsd:double"&gt;1.7687082&lt;/D&gt;&lt;D xsi:type="xsd:double"&gt;2.0217419&lt;/D&gt;&lt;D xsi:type="xsd:double"&gt;2.875495&lt;/D&gt;&lt;D xsi:type="xsd:double"&gt;1.0109544&lt;/D&gt;&lt;D xsi:type="xsd:double"&gt;0.44293404&lt;/D&gt;&lt;D xsi:type="xsd:double"&gt;1.0877132&lt;/D&gt;&lt;D xsi:type="xsd:double"&gt;2.1419764&lt;/D&gt;&lt;D xsi:type="xsd:double"&gt;-7.3544383&lt;/D&gt;&lt;D xsi:type="xsd:double"&gt;-6.630969&lt;/D&gt;&lt;D xsi:type="xsd:double"&gt;12.621344&lt;/D&gt;&lt;D xsi:type="xsd:double"&gt;0.5382776&lt;/D&gt;&lt;D xsi:type="xsd:double"&gt;5.6034207&lt;/D&gt;&lt;D xsi:type="xsd:double"&gt;1.6778708&lt;/D&gt;&lt;D xsi:type="xsd:double"&gt;4.2972445&lt;/D&gt;&lt;D xsi:type="xsd:double"&gt;1.1450887&lt;/D&gt;&lt;D xsi:type="xsd:double"&gt;-2.7960598&lt;/D&gt;&lt;/FQL&gt;&lt;FQL&gt;&lt;Q&gt;EWD^FG_PRICE(0,-200D)&lt;/Q&gt;&lt;R&gt;201&lt;/R&gt;&lt;C&gt;1&lt;/C&gt;&lt;D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xsi:type="xsd:double"&gt;43&lt;/D&gt;&lt;D xsi:type="xsd:double"&gt;43.61&lt;/D&gt;&lt;D xsi:type="xsd:double"&gt;43.62&lt;/D&gt;&lt;D xsi:type="xsd:double"&gt;43.32&lt;/D&gt;&lt;D xsi:type="xsd:double"&gt;42.43&lt;/D&gt;&lt;D xsi:type="xsd:double"&gt;42.68&lt;/D&gt;&lt;D xsi:type="xsd:double"&gt;41.77&lt;/D&gt;&lt;D xsi:type="xsd:double"&gt;41.9&lt;/D&gt;&lt;D xsi:type="xsd:double"&gt;41.07&lt;/D&gt;&lt;D xsi:type="xsd:double"&gt;41.39&lt;/D&gt;&lt;D xsi:type="xsd:double"&gt;40.72&lt;/D&gt;&lt;D xsi:type="xsd:double"&gt;40.31&lt;/D&gt;&lt;D xsi:type="xsd:double"&gt;39.65&lt;/D&gt;&lt;D xsi:type="xsd:double"&gt;39.92&lt;/D&gt;&lt;D xsi:type="xsd:double"&gt;37.07&lt;/D&gt;&lt;D xsi:type="xsd:double"&gt;37.34&lt;/D&gt;&lt;D xsi:type="xsd:double"&gt;38.17&lt;/D&gt;&lt;D xsi:type="xsd:double"&gt;41.47&lt;/D&gt;&lt;D xsi:type="xsd:double"&gt;42.61&lt;/D&gt;&lt;D xsi:type="xsd:double"&gt;42.25&lt;/D&gt;&lt;D xsi:type="xsd:double"&gt;42.08&lt;/D&gt;&lt;D xsi:type="xsd:double"&gt;42.94&lt;/D&gt;&lt;D xsi:type="xsd:double"&gt;43.53&lt;/D&gt;&lt;D xsi:type="xsd:double"&gt;43.58&lt;/D&gt;&lt;D xsi:type="xsd:double"&gt;44.67&lt;/D&gt;&lt;D xsi:type="xsd:double"&gt;44.24&lt;/D&gt;&lt;D xsi:type="xsd:double"&gt;44.03&lt;/D&gt;&lt;D xsi:type="xsd:double"&gt;44.41&lt;/D&gt;&lt;D xsi:type="xsd:double"&gt;44.73&lt;/D&gt;&lt;D xsi:type="xsd:double"&gt;44.67&lt;/D&gt;&lt;D xsi:type="xsd:double"&gt;44.97&lt;/D&gt;&lt;D xsi:type="xsd:double"&gt;44.55&lt;/D&gt;&lt;D xsi:type="xsd:double"&gt;43.07&lt;/D&gt;&lt;D xsi:type="xsd:double"&gt;43.77&lt;/D&gt;&lt;D xsi:type="xsd:double"&gt;43.88&lt;/D&gt;&lt;D xsi:type="xsd:double"&gt;43.82&lt;/D&gt;&lt;D xsi:type="xsd:double"&gt;45.12&lt;/D&gt;&lt;D xsi:type="xsd:double"&gt;44.31&lt;/D&gt;&lt;D xsi:type="xsd:double"&gt;45.1&lt;/D&gt;&lt;D xsi:type="xsd:double"&gt;43.32&lt;/D&gt;&lt;D xsi:type="xsd:double"&gt;43.9&lt;/D&gt;&lt;D xsi:type="xsd:double"&gt;43.14&lt;/D&gt;&lt;D xsi:type="xsd:double"&gt;43.07&lt;/D&gt;&lt;D xsi:type="xsd:double"&gt;43.85&lt;/D&gt;&lt;D xsi:type="xsd:double"&gt;43.85&lt;/D&gt;&lt;D xsi:type="xsd:double"&gt;43.38&lt;/D&gt;&lt;D xsi:type="xsd:double"</t>
        </r>
      </text>
    </comment>
    <comment ref="A7" authorId="0" shapeId="0" xr:uid="{138CD056-7C5B-4B04-A089-E9FFF061C97C}">
      <text>
        <r>
          <rPr>
            <b/>
            <sz val="9"/>
            <color indexed="81"/>
            <rFont val="Tahoma"/>
            <charset val="1"/>
          </rPr>
          <t>&gt;43.66&lt;/D&gt;&lt;D xsi:type="xsd:double"&gt;44.15&lt;/D&gt;&lt;D xsi:type="xsd:double"&gt;43.57&lt;/D&gt;&lt;D xsi:type="xsd:double"&gt;44.29&lt;/D&gt;&lt;D xsi:type="xsd:double"&gt;43.91&lt;/D&gt;&lt;D xsi:type="xsd:double"&gt;43.83&lt;/D&gt;&lt;D xsi:type="xsd:double"&gt;42.98&lt;/D&gt;&lt;D xsi:type="xsd:double"&gt;42.52&lt;/D&gt;&lt;D xsi:type="xsd:double"&gt;42.45&lt;/D&gt;&lt;D xsi:type="xsd:double"&gt;41.81&lt;/D&gt;&lt;D xsi:type="xsd:double"&gt;42.23&lt;/D&gt;&lt;D xsi:type="xsd:double"&gt;41.92&lt;/D&gt;&lt;/FQL&gt;&lt;FQL&gt;&lt;Q&gt;VNM^FG_TOTAL_RETURNC(-5AY,0,AM)&lt;/Q&gt;&lt;R&gt;61&lt;/R&gt;&lt;C&gt;1&lt;/C&gt;&lt;D xsi:type="xsd:double"&gt;5.9247017&lt;/D&gt;&lt;D xsi:type="xsd:double"&gt;5.1318765&lt;/D&gt;&lt;D xsi:type="xsd:double"&gt;7.860756&lt;/D&gt;&lt;D xsi:type="xsd:double"&gt;1.5460968&lt;/D&gt;&lt;D xsi:type="xsd:double"&gt;-2.7188718&lt;/D&gt;&lt;D xsi:type="xsd:double"&gt;9.558415&lt;/D&gt;&lt;D xsi:type="xsd:double"&gt;-2.3979664&lt;/D&gt;&lt;D xsi:type="xsd:double"&gt;4.6001077&lt;/D&gt;&lt;D xsi:type="xsd:double"&gt;-4.2978525&lt;/D&gt;&lt;D xsi:type="xsd:double"&gt;0.05222559&lt;/D&gt;&lt;D xsi:type="xsd:double"&gt;1.1482239&lt;/D&gt;&lt;D xsi:type="xsd:double"&gt;1.7027855&lt;/D&gt;&lt;D xsi:type="xsd:double"&gt;4.211068&lt;/D&gt;&lt;D xsi:type="xsd:double"&gt;0.7940531&lt;/D&gt;&lt;D xsi:type="xsd:double"&gt;-3.3495188&lt;/D&gt;&lt;D xsi:type="xsd:double"&gt;-0.6027043&lt;/D&gt;&lt;D xsi:type="xsd:double"&gt;-4.749876&lt;/D&gt;&lt;D xsi:type="xsd:double"&gt;-7.108754&lt;/D&gt;&lt;D xsi:type="xsd:double"&gt;-11.593378&lt;/D&gt;&lt;D xsi:type="xsd:double"&gt;-4.263568&lt;/D&gt;&lt;D xsi:type="xsd:double"&gt;-1.4170051&lt;/D&gt;&lt;D xsi:type="xsd:double"&gt;5.749488&lt;/D&gt;&lt;D xsi:type="xsd:double"&gt;-6.796116&lt;/D&gt;&lt;D xsi:type="xsd:double"&gt;-15.763885&lt;/D&gt;&lt;D xsi:type="xsd:double"&gt;-6.1830163&lt;/D&gt;&lt;D xsi:type="xsd:double"&gt;6.230676&lt;/D&gt;&lt;D xsi:type="xsd:double"&gt;8.795822&lt;/D&gt;&lt;D xsi:type="xsd:double"&gt;-8.825785&lt;/D&gt;&lt;D xsi:type="xsd:double"&gt;-3.3670068&lt;/D&gt;&lt;D xsi:type="xsd:double"&gt;4.3554068&lt;/D&gt;&lt;D xsi:type="xsd:double"&gt;3.255427&lt;/D&gt;&lt;D xsi:type="xsd:double"&gt;5.9822083&lt;/D&gt;&lt;D xsi:type="xsd:double"&gt;6.7887187&lt;/D&gt;&lt;D xsi:type="xsd:double"&gt;1.2857199&lt;/D&gt;&lt;D xsi:type="xsd:double"&gt;5.218613&lt;/D&gt;&lt;D xsi:type="xsd:double"&gt;-14.477211&lt;/D&gt;&lt;D xsi:type="xsd:double"&gt;4.075229&lt;/D&gt;&lt;D xsi:type="xsd:double"&gt;-0.8959532&lt;/D&gt;&lt;D xsi:type="xsd:double"&gt;3.5892725&lt;/D&gt;&lt;D xsi:type="xsd:double"&gt;4.7177076&lt;/D&gt;&lt;D xsi:type="xsd:double"&gt;0.22156239&lt;/D&gt;&lt;D xsi:type="xsd:double"&gt;-12.675011&lt;/D&gt;&lt;D xsi:type="xsd:double"&gt;9.451473&lt;/D&gt;&lt;D xsi:type="xsd:double"&gt;-4.163456&lt;/D&gt;&lt;D xsi:type="xsd:double"&gt;-3.0571222&lt;/D&gt;&lt;D xsi:type="xsd:double"&gt;3.485477&lt;/D&gt;&lt;D xsi:type="xsd:double"&gt;0.5613446&lt;/D&gt;&lt;D xsi:type="xsd:double"&gt;-2.3126006&lt;/D&gt;&lt;D xsi:type="xsd:double"&gt;-6.122446&lt;/D&gt;&lt;D xsi:type="xsd:double"&gt;1.3043404&lt;/D&gt;&lt;D xsi:type="xsd:double"&gt;-2.3175895&lt;/D&gt;&lt;D xsi:type="xsd:double"&gt;3.866434&lt;/D&gt;&lt;D xsi:type="xsd:double"&gt;4.9069405&lt;/D&gt;&lt;D xsi:type="xsd:double"&gt;-5.403227&lt;/D&gt;&lt;D xsi:type="xsd:double"&gt;11.594212&lt;/D&gt;&lt;D xsi:type="xsd:double"&gt;1.9480586&lt;/D&gt;&lt;D xsi:type="xsd:double"&gt;16.710377&lt;/D&gt;&lt;D xsi:type="xsd:double"&gt;13.579464&lt;/D&gt;&lt;D xsi:type="xsd:double"&gt;-0.056529045&lt;/D&gt;&lt;D xsi:type="xsd:double"&gt;2.9411793&lt;/D&gt;&lt;D xsi:type="xsd:double"&gt;-4.12088&lt;/D&gt;&lt;/FQL&gt;&lt;FQL&gt;&lt;Q&gt;EWY^FG_TOTAL_RETURNC(-5AY,0,AM)&lt;/Q&gt;&lt;R&gt;61&lt;/R&gt;&lt;C&gt;1&lt;/C&gt;&lt;D xsi:type="xsd:double"&gt;10.96909&lt;/D&gt;&lt;D xsi:type="xsd:double"&gt;9.6293335&lt;/D&gt;&lt;D xsi:type="xsd:double"&gt;15.624237&lt;/D&gt;&lt;D xsi:type="xsd:double"&gt;-0.86253285&lt;/D&gt;&lt;D xsi:type="xsd:double"&gt;-4.5327606&lt;/D&gt;&lt;D xsi:type="xsd:double"&gt;4.8604846&lt;/D&gt;&lt;D xsi:type="xsd:double"&gt;-2.7897&lt;/D&gt;&lt;D xsi:type="xsd:double"&gt;0.5518794&lt;/D&gt;&lt;D xsi:type="xsd:double"&gt;-1.2733221&lt;/D&gt;&lt;D xsi:type="xsd:double"&gt;-8.138758&lt;/D&gt;&lt;D xsi:type="xsd:double"&gt;-1.9002676&lt;/D&gt;&lt;D xsi:type="xsd:double"&gt;-0.49352646&lt;/D&gt;&lt;D xsi:type="xsd:double"&gt;-2.7526379&lt;/D&gt;&lt;D xsi:type="xsd:double"&gt;0.31466484&lt;/D&gt;&lt;D xsi:type="xsd:double"&gt;-2.0124555&lt;/D&gt;&lt;D xsi:type="xsd:double"&gt;-3.2993197&lt;/D&gt;&lt;D xsi:type="xsd:double"&gt;-2.0279586&lt;/D&gt;&lt;D xsi:type="xsd:double"&gt;-2.6993036&lt;/D&gt;&lt;D xsi:type="xsd:double"&gt;-4.959029&lt;/D&gt;&lt;D xsi:type="xsd:double"&gt;-9.70962&lt;/D&gt;&lt;D xsi:type="xsd:double"&gt;-2.412063&lt;/D&gt;&lt;D xsi:type="xsd:double"&gt;1.1328578&lt;/D&gt;&lt;D xsi:type="xsd:double"&gt;-9.080106&lt;/D&gt;&lt;D xsi:type="xsd:double"&gt;-7.5228634&lt;/D&gt;&lt;D xsi:type="xsd:double"&gt;17.178036&lt;/D&gt;&lt;D xsi:type="xsd:double"&gt;0.13387203&lt;/D&gt;&lt;D xsi:type="xsd:double"&gt;10.097504&lt;/D&gt;&lt;D xsi:type="xsd:double"&gt;-3.716004&lt;/D&gt;&lt;D xsi:type="xsd:double"&gt;-3.4159899&lt;/D&gt;&lt;D xsi:type="xsd:double"&gt;5.6963086&lt;/D&gt;&lt;D xsi:type="xsd:double"&gt;-0.17696619&lt;/D&gt;&lt;D xsi:type="xsd:double"&gt;5.0443172&lt;/D&gt;&lt;D xsi:type="xsd:double"&gt;1.2580514&lt;/D&gt;&lt;D xsi:type="xsd:double"&gt;-8.075762&lt;/D&gt;&lt;D xsi:type="xsd:double"&gt;2.4229407&lt;/D&gt;&lt;D xsi:type="xsd:double"&gt;-8.464754&lt;/D&gt;&lt;D xsi:type="xsd:double"&gt;11.656117&lt;/D&gt;&lt;D xsi:type="xsd:double"&gt;1.9855499&lt;/D&gt;&lt;D xsi:type="xsd:double"&gt;-6.1153355&lt;/D&gt;&lt;D xsi:type="xsd:double"&gt;8.504904&lt;/D&gt;&lt;D xsi:type="xsd:double"&gt;3.9346814&lt;/D&gt;&lt;D xsi:type="xsd:double"&gt;-8.244801&lt;/D&gt;&lt;D xsi:type="xsd:double"&gt;6.3926935&lt;/D&gt;&lt;D xsi:type="xsd:double"&gt;0.18393993&lt;/D&gt;&lt;D xsi:type="xsd:double"&gt;-0.19889474&lt;/D&gt;&lt;D xsi:type="xsd:double"&gt;1.6710043&lt;/D&gt;&lt;D xsi:type="xsd:double"&gt;-4.5235214&lt;/D&gt;&lt;D xsi:type="xsd:double"&gt;-1.9740999&lt;/D&gt;&lt;D xsi:type="xsd:double"&gt;-7.539874&lt;/D&gt;&lt;D xsi:type="xsd:double"&gt;-6.5894246&lt;/D&gt;&lt;D xsi:type="xsd:double"&gt;4.7573566&lt;/D&gt;&lt;D xsi:type="xsd:double"&gt;6.620455&lt;/D&gt;&lt;D xsi:type="xsd:double"&gt;-2.9592872&lt;/D&gt;&lt;D xsi:type="xsd:double"&gt;-4.265815&lt;/D&gt;&lt;D xsi:type="xsd:double"&gt;7.530844&lt;/D&gt;&lt;D xsi:type="xsd:double"&gt;17.345882&lt;/D&gt;&lt;D xsi:type="xsd:double"&gt;5.6325674&lt;/D&gt;&lt;D xsi:type="xsd:double"&gt;-1.4228463&lt;/D&gt;&lt;D xsi:type="xsd:double"&gt;12.177694&lt;/D&gt;&lt;D xsi:type="xsd:double"&gt;12.966895&lt;/D&gt;&lt;D xsi:type="xsd:double"&gt;-2.1010756&lt;/D&gt;&lt;/FQL&gt;&lt;FQL&gt;&lt;Q&gt;INDA^FG_PRICE(0,-200D)&lt;/Q&gt;&lt;R&gt;201&lt;/R&gt;&lt;C&gt;1&lt;/C&gt;&lt;D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xsi:type="xsd:double"&gt;53.54&lt;/D&gt;&lt;D xsi:type="xsd:double"&gt;53.29&lt;/D&gt;&lt;D xsi:type="xsd:double"&gt;52.85&lt;/D&gt;&lt;D xsi:type="xsd:double"&gt;53.74&lt;/D&gt;&lt;D xsi:type="xsd:double"&gt;53.18&lt;/D&gt;&lt;D xsi:type="xsd:double"&gt;53.5&lt;/D&gt;&lt;D xsi:type="xsd:double"&gt;53&lt;/D&gt;&lt;D xsi:type="xsd:double"&gt;52.26&lt;/D&gt;&lt;D xsi:type="xsd:double"&gt;51.13&lt;/D&gt;&lt;D xsi:type="xsd:double"&gt;51.13&lt;/D&gt;&lt;D xsi:type="xsd:double"&gt;51.03&lt;/D&gt;&lt;D xsi:type="xsd:double"&gt;50.76&lt;/D&gt;&lt;D xsi:type="xsd:double"&gt;50.52&lt;/D&gt;&lt;D xsi:type="xsd:double"&gt;51.22&lt;/D&gt;&lt;D xsi:type="xsd:double"&gt;49.16&lt;/D&gt;&lt;D xsi:type="xsd:double"&gt;49.13&lt;/D&gt;&lt;D xsi:type="xsd:double"&gt;49.19&lt;/D&gt;&lt;D xsi:type="xsd:double"&gt;51.18&lt;/D&gt;&lt;D xsi:type="xsd:double"&gt;51.56&lt;/D&gt;&lt;D xsi:type="xsd:double"&gt;51.05&lt;/D&gt;&lt;D xsi:type="xsd:double"&gt;51.48&lt;/D&gt;&lt;D xsi:type="xsd:double"&gt;51.28&lt;/D&gt;&lt;D xsi:type="xsd:double"&gt;51.79&lt;/D&gt;&lt;D xsi:type="xsd:double"&gt;51.4&lt;/D&gt;&lt;D xsi:type="xsd:double"&gt;52.04&lt;/D&gt;&lt;D xsi:type="xsd:double"&gt;52.12&lt;/D&gt;&lt;D xsi:type="xsd:double"&gt;51.47&lt;/D&gt;&lt;D xsi:type="xsd:double"&gt;50.76&lt;/D&gt;&lt;D xsi:type="xsd:double"&gt;50.61&lt;/D&gt;&lt;D xsi:type="xsd:double"&gt;49.88&lt;/D&gt;&lt;D xsi:type="xsd:double"&gt;49.44&lt;/D&gt;&lt;D xsi:type="xsd:double"&gt;48.91&lt;/D&gt;&lt;D xsi:type="xsd:double"&gt;48.51&lt;/D&gt;&lt;D xsi:type="xsd:double"&gt;48.73&lt;/D&gt;&lt;D xsi:type="xsd:double"&gt;48.66&lt;/D&gt;&lt;D xsi:type="xsd:double"&gt;48.36&lt;/D&gt;&lt;D xsi:type="xsd:double"&gt;49.08&lt;/D&gt;&lt;D xsi:type="xsd:double"&gt;48.94&lt;/D&gt;&lt;D xsi:type="xsd:double"&gt;48.93&lt;/D&gt;&lt;D xsi:type="xsd:double"&gt;47.85&lt;/D&gt;&lt;D xsi:type="xsd:double"&gt;47.8&lt;/D&gt;&lt;D xsi:type="xsd:double"&gt;48.1&lt;/D&gt;&lt;D xsi:type="xsd:double"&gt;48.55&lt;/D&gt;&lt;D xsi:type="xsd:double"&gt;49.02&lt;/D&gt;&lt;D xsi:type="xsd:double"&gt;49.25&lt;/D&gt;&lt;D xsi:type="xsd:double"&gt;49.26&lt;/D&gt;&lt;D xsi:type="xsd:double"&gt;49.3&lt;/D&gt;&lt;D xsi:type="xsd:double"&gt;50.08&lt;/D&gt;&lt;D xsi:type="xsd:double"&gt;49.76&lt;/D&gt;&lt;D xsi:type="xsd:double"&gt;49.58&lt;/D&gt;&lt;D xsi:type="xsd:double"&gt;49.59&lt;/D&gt;&lt;D xsi:type="xsd:double"&gt;50.39&lt;/D&gt;&lt;D xsi:type="xsd:double"&gt;49.8&lt;/D&gt;&lt;D xsi:type="xsd:double"&gt;50.14&lt;/D&gt;&lt;D xsi:type="xsd:double"&gt;50.58&lt;/D&gt;&lt;D xsi:type="xsd:double"&gt;50.5&lt;/D&gt;&lt;D xsi:type="xsd:double"&gt;50.85&lt;/D&gt;&lt;D xsi:type="xsd:double"&gt;51.28&lt;/D&gt;&lt;/FQL&gt;&lt;FQL&gt;&lt;Q&gt;GREK^FG_PRICE(0,-200D)&lt;/Q&gt;&lt;R&gt;201&lt;/R&gt;&lt;C&gt;1&lt;/C&gt;&lt;D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xsi:type="xsd:double"&gt;49.99&lt;/D&gt;&lt;D xsi:type="xsd:double"&gt;49.71&lt;/D&gt;&lt;D xsi:type="xsd:double"&gt;49.52&lt;/D&gt;&lt;D xsi:type="xsd:double"&gt;49.95&lt;/D&gt;&lt;D xsi:type="xsd:double"&gt;49.35&lt;/D&gt;&lt;D xsi:type="xsd:double"&gt;49.05&lt;/D&gt;&lt;D xsi:type="xsd:double"&gt;47.02&lt;/D&gt;&lt;D xsi:type="xsd:double"&gt;47.34&lt;/D&gt;&lt;D xsi:type="xsd:double"&gt;47.35&lt;/D&gt;&lt;D xsi:type="xsd:double"&gt;47.415&lt;/D&gt;&lt;D xsi:type="xsd:double"&gt;46.92&lt;/D&gt;&lt;D xsi:type="xsd:double"&gt;45.92&lt;/D&gt;&lt;D xsi:type="xsd:double"&gt;44.76&lt;/D&gt;&lt;D xsi:type="xsd:double"&gt;44.85&lt;/D&gt;&lt;D xsi:type="xsd:double"&gt;42.65&lt;/D&gt;&lt;D xsi:type="xsd:double"&gt;40.77&lt;/D&gt;&lt;D xsi:type="xsd:double"&gt;43.59&lt;/D&gt;&lt;D xsi:type="xsd:double"&gt;47.32&lt;/D&gt;&lt;D xsi:type="xsd:double"&gt;48.1&lt;/D&gt;&lt;D xsi:type="xsd:double"&gt;47.63&lt;/D&gt;&lt;D xsi:type="xsd:double"&gt;46.97&lt;/D&gt;&lt;D xsi:type="xsd:double"&gt;48.4701&lt;/D&gt;&lt;D xsi:type="xsd:double"&gt;48.9&lt;/D&gt;&lt;D xsi:type="xsd:double"&gt;48.42&lt;/D&gt;&lt;D xsi:type="xsd:double"&gt;48.48&lt;/D&gt;&lt;D xsi:type="xsd:double"&gt;48.31&lt;/D&gt;&lt;D xsi:type="xsd:double"&gt;46.99&lt;/D&gt;&lt;D xsi:type="xsd:double"&gt;47.865&lt;/D&gt;&lt;D xsi:type="xsd:double"&gt;48.03&lt;/D&gt;&lt;D xsi:type="xsd:double"&gt;48.1505&lt;/D&gt;&lt;D xsi:type="xsd:double"&gt;48.59&lt;/D&gt;&lt;D xsi:type="xsd:double"&gt;47.95&lt;/D&gt;&lt;D xsi:type="xsd:double"&gt;46.83&lt;/D&gt;&lt;D xsi:type="xsd:double"&gt;46.85&lt;/D&gt;&lt;D xsi:type="xsd:double"&gt;45.64&lt;/D&gt;&lt;D xsi:type="xsd:double"&gt;44.77&lt;/D&gt;&lt;D xsi:type="xsd:double"&gt;45.53&lt;/D&gt;&lt;D xsi:type="xsd:double"&gt;44.85&lt;/D&gt;&lt;D xsi:type="xsd:double"&gt;45.28&lt;/D&gt;&lt;D xsi:type="xsd:double"&gt;43.36&lt;/D&gt;&lt;D xsi:type="xsd:double"&gt;43.25&lt;/D&gt;&lt;D xsi:type="xsd:double"&gt;42.58&lt;/D&gt;&lt;D xsi:type="xsd:double"&gt;42.0296&lt;/D&gt;&lt;D xsi:type="xsd:double"&gt;42.4371&lt;/D&gt;&lt;D xsi:type="xsd:double"&gt;42.663&lt;/D&gt;&lt;D xsi:type="xsd:double"&gt;42.46&lt;/D&gt;&lt;D xsi:type="xsd:double"&gt;43.1&lt;/D&gt;&lt;D xsi:type="xsd:double"&gt;43.26&lt;/D&gt;&lt;D xsi:type="xsd:double"&gt;42.79&lt;/D&gt;&lt;D xsi:type="xsd:double"&gt;43.24&lt;/D&gt;&lt;D xsi:type="xsd:double"&gt;42.93&lt;/D&gt;&lt;D xsi:type="xsd:double"&gt;42.78&lt;/D&gt;&lt;D xsi:type="xsd:double"&gt;41.984&lt;/D&gt;&lt;D xsi:type="xsd:double"&gt;41.1877&lt;/D&gt;&lt;D xsi:type="xsd:double"&gt;41.09&lt;/D&gt;&lt;D xsi:type="xsd:double"&gt;41.0147&lt;/D&gt;&lt;D xsi:type="xsd:double"&gt;41.1069&lt;/D&gt;&lt;D xsi:type="xsd:double"&gt;40.71&lt;/D&gt;&lt;/FQL&gt;&lt;FQL&gt;&lt;Q&gt;EPHE^FG_PRICE(0,-200D)&lt;/Q&gt;&lt;R&gt;201&lt;/R&gt;&lt;C&gt;1&lt;/C&gt;&lt;D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xsi:type="xsd:double"&gt;26.41&lt;/D&gt;&lt;D xsi:type="xsd:double"&gt;26.18&lt;/D&gt;&lt;D xsi:type="xsd:double"&gt;26.26&lt;/D&gt;&lt;D xsi:type="xsd:double"&gt;25.96&lt;/D&gt;&lt;D xsi:type="xsd:double"&gt;25.59&lt;/D&gt;&lt;D xsi:type="xsd:double"&gt;25.55&lt;/D&gt;&lt;D xsi:type="xsd:double"&gt;25.17&lt;/D&gt;&lt;D xsi:type="xsd:double"&gt;25.3019&lt;/D&gt;&lt;D xsi:type="xsd:double"&gt;25.25&lt;/D&gt;&lt;D xsi:type="xsd:double"&gt;25.4141&lt;/D&gt;&lt;D xsi:type="xsd:double"&gt;25.19&lt;/D&gt;&lt;D xsi:type="xsd:double"&gt;24.96&lt;/D&gt;&lt;D xsi:type="xsd:double"&gt;24.18&lt;/D&gt;&lt;D xsi:type="xsd:double"&gt;25.16&lt;/D&gt;&lt;D xsi:type="xsd:double"&gt;24.13&lt;/D&gt;&lt;D xsi:type="xsd:double"&gt;24.14&lt;/D&gt;&lt;D xsi:type="xsd:double"&gt;23.83&lt;/D&gt;&lt;D xsi:type="xsd:double"&gt;25.04&lt;/D&gt;&lt;D xsi:type="xsd:double"&gt;25.56&lt;/D&gt;&lt;D xsi:type="xsd:double"&gt;25.26&lt;/D&gt;&lt;D xsi:type="xsd:double"&gt;25.3&lt;/D&gt;&lt;D xsi:type="xsd:double"&gt;24.98&lt;/D&gt;&lt;D xsi:type="xsd:double"&gt;25.1&lt;/D&gt;&lt;D xsi:type="xsd:double"&gt;25.022&lt;/D&gt;&lt;D xsi:type="xsd:double"&gt;25.2&lt;/D&gt;&lt;D xsi:type="xsd:double"&gt;25.43&lt;/D&gt;&lt;D xsi:type="xsd:double"&gt;25.79&lt;/D&gt;&lt;D xsi:type="xsd:double"&gt;25.91&lt;/D&gt;&lt;D xsi:type="xsd:double"&gt;25.87&lt;/D&gt;&lt;D xsi:type="xsd:double"&gt;25.67&lt;/D&gt;&lt;D xsi:type="xsd:double"&gt;26&lt;/D&gt;&lt;D xsi:type="xsd:double"&gt;25.785&lt;/D&gt;&lt;D xsi:type="xsd:double"&gt;25.38&lt;/D&gt;&lt;D xsi:type="xsd:double"&gt;25.08&lt;/D&gt;&lt;D xsi:type="xsd:double"&gt;25.07&lt;/D&gt;&lt;D xsi:type="xsd:double"&gt;25.47&lt;/D&gt;&lt;D xsi:type="xsd:double"&gt;25.36&lt;/D&gt;&lt;D xsi:type="xsd:double"&gt;25.14&lt;/D&gt;&lt;D xsi:type="xsd:double"&gt;24.71&lt;/D&gt;&lt;D xsi:type="xsd:double"&gt;24.25&lt;/D&gt;&lt;D xsi:type="xsd:double"&gt;24.05&lt;/D&gt;&lt;D xsi:type="xsd:double"&gt;24&lt;/D&gt;&lt;D xsi:type="xsd:double"&gt;24.3&lt;/D&gt;&lt;D xsi:type="xsd:double"&gt;24.46&lt;/D&gt;&lt;D xsi:type="xsd:double"&gt;24.17&lt;/D&gt;&lt;D xsi:type="xsd:double"&gt;24.33&lt;/D&gt;&lt;D xsi:type="xsd:double"&gt;24.41&lt;/D&gt;&lt;D xsi:type="xsd:double"&gt;24.36&lt;/D&gt;&lt;D xsi:type="xsd:double"&gt;24.37&lt;/D&gt;&lt;D xsi:type="xsd:double"&gt;24.3&lt;/D&gt;&lt;D xsi:type="xsd:double"&gt;24.29&lt;/D&gt;&lt;D xsi:type="xsd:double"&gt;24.36&lt;/D&gt;&lt;D xsi:type="xsd:double"&gt;23.82&lt;/D&gt;&lt;D xsi:type="xsd:double"&gt;23.8&lt;/D&gt;&lt;D xsi:type="xsd:double"&gt;24.1&lt;/D&gt;&lt;D xsi:type="xsd:double"&gt;24.36&lt;/D&gt;&lt;D xsi:type="xsd:double"&gt;24.73&lt;/D&gt;&lt;D xsi:type="xsd:double"&gt;24.83&lt;/D&gt;&lt;/FQL&gt;&lt;FQL&gt;&lt;Q&gt;UAE^FG_TOTAL_RETURNC(-5AY,0,AM)&lt;/Q&gt;&lt;R&gt;61&lt;/R&gt;&lt;C&gt;1&lt;/C&gt;&lt;D xsi:type="xsd:double"&gt;6.09653&lt;/D&gt;&lt;D xsi:type="xsd:double"&gt;8.348918&lt;/D&gt;&lt;D xsi:type="xsd:double"&gt;12.088823&lt;/D&gt;&lt;D xsi:type="xsd:double"&gt;-5.2091002&lt;/D&gt;&lt;D xsi:type="xsd:double"&gt;2.7089834&lt;/D&gt;&lt;D xsi:type="xsd:double"&gt;1.5448332&lt;/D&gt;&lt;D xsi:type="xsd:double"&gt;7.383299&lt;/D&gt;&lt;D xsi:type="xsd:double"&gt;2.2235394&lt;/D&gt;&lt;D xsi:type="xsd:double"&gt;-3.9888024&lt;/D&gt;&lt;D xsi:type="xsd:double"&gt;6.1953306&lt;/D&gt;&lt;D xsi:type="xsd:double"&gt;2.3644567&lt;/D&gt;&lt;D xsi:type="xsd:double"&gt;-0.030171871&lt;/D&gt;&lt;D xsi:type="xsd:double"&gt;11.482227&lt;/D&gt;&lt;D xsi:type="xsd:double"&gt;-0.25708675&lt;/D&gt;&lt;D xsi:type="xsd:double"&gt;1.900053&lt;/D&gt;&lt;D xsi:type="xsd:double"&gt;2.527082&lt;/D&gt;&lt;D xsi:type="xsd:double"&gt;6.9835544&lt;/D&gt;&lt;D xsi:type="xsd:double"&gt;4.33352&lt;/D&gt;&lt;D xsi:type="xsd:double"&gt;-10.199791&lt;/D&gt;&lt;D xsi:type="xsd:double"&gt;-5.0375166&lt;/D&gt;&lt;D xsi:type="xsd:double"&gt;-0.6935656&lt;/D&gt;&lt;D xsi:type="xsd:double"&gt;5.7142854&lt;/D&gt;&lt;D xsi:type="xsd:double"&gt;-2.7627587&lt;/D&gt;&lt;D xsi:type="xsd:double"&gt;-4.5707283&lt;/D&gt;&lt;D xsi:type="xsd:double"&gt;0.9708762&lt;/D&gt;&lt;D xsi:type="xsd:double"&gt;-1.3236284&lt;/D&gt;&lt;D xsi:type="xsd:double"&gt;-1.0416687&lt;/D&gt;&lt;D xsi:type="xsd:double"&gt;-1.7763138&lt;/D&gt;&lt;D xsi:type="xsd:double"&gt;-6.2960505&lt;/D&gt;&lt;D xsi:type="xsd:double"&gt;5.396712&lt;/D&gt;&lt;D xsi:type="xsd:double"&gt;-0.7799268&lt;/D&gt;&lt;D xsi:type="xsd:double"&gt;1.4928222&lt;/D&gt;&lt;D xsi:type="xsd:double"&gt;3.1476974&lt;/D&gt;&lt;D xsi:type="xsd:double"&gt;0.9389639&lt;/D&gt;&lt;D xsi:type="xsd:double"&gt;1.9933581&lt;/D&gt;&lt;D xsi:type="xsd:double"&gt;-11.530948&lt;/D&gt;&lt;D xsi:type="xsd:double"&gt;9.572899&lt;/D&gt;&lt;D xsi:type="xsd:double"&gt;-2.3232162&lt;/D&gt;&lt;D xsi:type="xsd:double"&gt;3.393352&lt;/D&gt;&lt;D xsi:type="xsd:double"&gt;0.13395548&lt;/D&gt;&lt;D xsi:type="xsd:double"&gt;-0.2675593&lt;/D&gt;&lt;D xsi:type="xsd:double"&gt;-3.2863855&lt;/D&gt;&lt;D xsi:type="xsd:double"&gt;-0.9022236&lt;/D&gt;&lt;D xsi:type="xsd:double"&gt;-1.9536495&lt;/D&gt;&lt;D xsi:type="xsd:double"&gt;5.8605433&lt;/D&gt;&lt;D xsi:type="xsd:double"&gt;2.8030753&lt;/D&gt;&lt;D xsi:type="xsd:double"&gt;4.9761415&lt;/D&gt;&lt;D xsi:type="xsd:double"&gt;-3.376621&lt;/D&gt;&lt;D xsi:type="xsd:double"&gt;4.771507&lt;/D&gt;&lt;D xsi:type="xsd:double"&gt;4.609859&lt;/D&gt;&lt;D xsi:type="xsd:double"&gt;4.2357206&lt;/D&gt;&lt;D xsi:type="xsd:double"&gt;4.181397&lt;/D&gt;&lt;D xsi:type="xsd:double"&gt;-4.183155&lt;/D&gt;&lt;D xsi:type="xsd:double"&gt;-1.1209488&lt;/D&gt;&lt;D xsi:type="xsd:double"&gt;11.634838&lt;/D&gt;&lt;D xsi:type="xsd:double"&gt;-4.6189127&lt;/D&gt;&lt;D xsi:type="xsd:double"&gt;15.75898&lt;/D&gt;&lt;D xsi:type="xsd:double"&gt;-0.90090036&lt;/D&gt;&lt;D xsi:type="xsd:double"&gt;-1.6666651&lt;/D&gt;&lt;D xsi:type="xsd:double"&gt;0.5136132&lt;/D&gt;&lt;D xsi:type="xsd:double"&gt;-4.1481853&lt;/D&gt;&lt;/FQL&gt;&lt;FQL&gt;&lt;Q&gt;EWI^FG_TOTAL_RETURNC(-5AY,0,AM)&lt;/Q&gt;&lt;R&gt;61&lt;/R&gt;&lt;C&gt;1&lt;/C&gt;&lt;D xsi:type="xsd:double"&gt;11.952186&lt;/D&gt;&lt;D xsi:type="xsd:double"&gt;5.05991&lt;/D&gt;&lt;D xsi:type="xsd:double"&gt;2.0833254&lt;/D&gt;&lt;D xsi:type="xsd:double"&gt;1.2713313&lt;/D&gt;&lt;D xsi:type="xsd:double"&gt;3.40271&lt;/D&gt;&lt;D xsi:type="xsd:double"&gt;1.1821151&lt;/D&gt;&lt;D xsi:type="xsd:double"&gt;3.725922&lt;/D&gt;&lt;D xsi:type="xsd:double"&gt;-0.2905488&lt;/D&gt;&lt;D xsi:type="xsd:double"&gt;-4.4808445&lt;/D&gt;&lt;D xsi:type="xsd:double"&gt;5.82335&lt;/D&gt;&lt;D xsi:type="xsd:double"&gt;-4.1271744&lt;/D&gt;&lt;D xsi:type="xsd:double"&gt;6.6007614&lt;/D&gt;&lt;D xsi:type="xsd:double"&gt;-1.5554905&lt;/D&gt;&lt;D xsi:type="xsd:double"&gt;-2.7365983&lt;/D&gt;&lt;D xsi:type="xsd:double"&gt;3.8339734&lt;/D&gt;&lt;D xsi:type="xsd:double"&gt;-1.9530058&lt;/D&gt;&lt;D xsi:type="xsd:double"&gt;-10.488642&lt;/D&gt;&lt;D xsi:type="xsd:double"&gt;2.260077&lt;/D&gt;&lt;D xsi:type="xsd:double"&gt;-6.290376&lt;/D&gt;&lt;D xsi:type="xsd:double"&gt;-8.71098&lt;/D&gt;&lt;D xsi:type="xsd:double"&gt;-6.554693&lt;/D&gt;&lt;D xsi:type="xsd:double"&gt;6.4007044&lt;/D&gt;&lt;D xsi:type="xsd:double"&gt;-4.3263316&lt;/D&gt;&lt;D xsi:type="xsd:double"&gt;-2.5839746&lt;/D&gt;&lt;D xsi:type="xsd:double"&gt;20.601236&lt;/D&gt;&lt;D xsi:type="xsd:double"&gt;-0.6915808&lt;/D&gt;&lt;D xsi:type="xsd:double"&gt;10.640693&lt;/D&gt;&lt;D xsi:type="xsd:double"&gt;4.334569&lt;/D&gt;&lt;D xsi:type="xsd:double"&gt;-6.751055&lt;/D&gt;&lt;D xsi:type="xsd:double"&gt;9.502256&lt;/D&gt;&lt;D xsi:type="xsd:double"&gt;-0.73108673&lt;/D&gt;&lt;D xsi:type="xsd:double"&gt;2.1912694&lt;/D&gt;&lt;D xsi:type="xsd:double"&gt;5.6500793&lt;/D&gt;&lt;D xsi:type="xsd:double"&gt;-5.5606184&lt;/D&gt;&lt;D xsi:type="xsd:double"&gt;2.3809552&lt;/D&gt;&lt;D xsi:type="xsd:double"&gt;-7.008171&lt;/D&gt;&lt;D xsi:type="xsd:double"&gt;11.186218&lt;/D&gt;&lt;D xsi:type="xsd:double"&gt;2.246523&lt;/D&gt;&lt;D xsi:type="xsd:double"&gt;0.78265667&lt;/D&gt;&lt;D xsi:type="xsd:double"&gt;3.6738396&lt;/D&gt;&lt;D xsi:type="xsd:double"&gt;9.276867&lt;/D&gt;&lt;D xsi:type="xsd:double"&gt;-4.0601134&lt;/D&gt;&lt;D xsi:type="xsd:double"&gt;7.1722984&lt;/D&gt;&lt;D xsi:type="xsd:double"&gt;-4.434067&lt;/D&gt;&lt;D xsi:type="xsd:double"&gt;2.9969811&lt;/D&gt;&lt;D xsi:type="xsd:double"&gt;0.02670288&lt;/D&gt;&lt;D xsi:type="xsd:double"&gt;2.9623747&lt;/D&gt;&lt;D xsi:type="xsd:double"&gt;1.5811205&lt;/D&gt;&lt;D xsi:type="xsd:double"&gt;-7.6805296&lt;/D&gt;&lt;D xsi:type="xsd:double"&gt;-0.09538531&lt;/D&gt;&lt;D xsi:type="xsd:double"&gt;6.0955167&lt;/D&gt;&lt;D xsi:type="xsd:double"&gt;8.1016655&lt;/D&gt;&lt;D xsi:type="xsd:double"&gt;5.9515&lt;/D&gt;&lt;D xsi:type="xsd:double"&gt;-2.612108&lt;/D&gt;&lt;D xsi:type="xsd:double"&gt;13.553286&lt;/D&gt;&lt;D xsi:type="xsd:double"&gt;-1.4071703&lt;/D&gt;&lt;D xsi:type="xsd:double"&gt;3.0845523&lt;/D&gt;&lt;D xsi:type="xsd:double"&gt;8.160698&lt;/D&gt;&lt;D xsi:type="xsd:double"&gt;-0.6190717&lt;/D&gt;&lt;D xsi:type="xsd:double"&gt;-0.25306344&lt;/D&gt;&lt;D xsi:type="xsd:double"&gt;-0.8391917&lt;/D&gt;&lt;/FQL&gt;&lt;FQL&gt;&lt;Q&gt;TUR^FG_TOTAL_RETURNC(-5AY,0,AM)&lt;/Q&gt;&lt;R&gt;61&lt;/R&gt;&lt;C&gt;1&lt;/C&gt;&lt;D xsi:type="xsd:double"&gt;14.717352&lt;/D&gt;&lt;D xsi:type="xsd:double"&gt;5.953264&lt;/D&gt;&lt;D xsi:type="xsd:double"&gt;14.1592865&lt;/D&gt;&lt;D xsi:type="xsd:double"&gt;5.038762&lt;/D&gt;&lt;D xsi:type="xsd:double"&gt;-4.1932225&lt;/D&gt;&lt;D xsi:type="xsd:double"&gt;-19.537813&lt;/D&gt;&lt;D xsi:type="xsd:double"&gt;3.6118388&lt;/D&gt;&lt;D xsi:type="xsd:double"&gt;-6.843257&lt;/D&gt;&lt;D xsi:type="xsd:double"&gt;-2.0891428&lt;/D&gt;&lt;D xsi:type="xsd:double"&gt;9.246087&lt;/D&gt;&lt;D xsi:type="xsd:double"&gt;-5.6423664&lt;/D&gt;&lt;D xsi:type="xsd:double"&gt;-3.1738758&lt;/D&gt;&lt;D xsi:type="xsd:double"&gt;0.19003153&lt;/D&gt;&lt;D xsi:type="xsd:double"&gt;-1.220417&lt;/D&gt;&lt;D xsi:type="xsd:double"&gt;-1.2536168&lt;/D&gt;&lt;D xsi:type="xsd:double"&gt;-1.7578065&lt;/D&gt;&lt;D xsi:type="xsd:double"&gt;-3.0815125&lt;/D&gt;&lt;D xsi:type="xsd:double"&gt;21.794868&lt;/D&gt;&lt;D xsi:type="xsd:double"&gt;-14.736843&lt;/D&gt;&lt;D xsi:type="xsd:double"&gt;-2.138865&lt;/D&gt;&lt;D xsi:type="xsd:double"&gt;-2.0757616&lt;/D&gt;&lt;D xsi:type="xsd:double"&gt;14.944351&lt;/D&gt;&lt;D xsi:type="xsd:double"&gt;7.653296&lt;/D&gt;&lt;D xsi:type="xsd:double"&gt;15.460384&lt;/D&gt;&lt;D xsi:type="xsd:double"&gt;12.017811&lt;/D&gt;&lt;D xsi:type="xsd:double"&gt;22.329117&lt;/D&gt;&lt;D xsi:type="xsd:double"&gt;0.48966408&lt;/D&gt;&lt;D xsi:type="xsd:double"&gt;-7.769352&lt;/D&gt;&lt;D xsi:type="xsd:double"&gt;-0.20545721&lt;/D&gt;&lt;D xsi:type="xsd:double"&gt;-0.85294247&lt;/D&gt;&lt;D xsi:type="xsd:double"&gt;-12.726193&lt;/D&gt;&lt;D xsi:type="xsd:double"&gt;-0.48754215&lt;/D&gt;&lt;D xsi:type="xsd:double"&gt;11.217272&lt;/D&gt;&lt;D xsi:type="xsd:double"&gt;11.517656&lt;/D&gt;&lt;D xsi:type="xsd:double"&gt;3.623402&lt;/D&gt;&lt;D xsi:type="xsd:double"&gt;-5.6442738&lt;/D&gt;&lt;D xsi:type="xsd:double"&gt;3.8809419&lt;/D&gt;&lt;D xsi:type="xsd:double"&gt;-5.469179&lt;/D&gt;&lt;D xsi:type="xsd:double"&gt;1.2012005&lt;/D&gt;&lt;D xsi:type="xsd:double"&gt;14.213657&lt;/D&gt;&lt;D xsi:type="xsd:double"&gt;-7.950121&lt;/D&gt;&lt;D xsi:type="xsd:double"&gt;7.846451&lt;/D&gt;&lt;D xsi:type="xsd:double"&gt;14.027739&lt;/D&gt;&lt;D xsi:type="xsd:double"&gt;-2.3173094&lt;/D&gt;&lt;D xsi:type="xsd:double"&gt;4.0199757&lt;/D&gt;&lt;D xsi:type="xsd:double"&gt;-12.988794&lt;/D&gt;&lt;D xsi:type="xsd:double"&gt;-1.9973695&lt;/D&gt;&lt;D xsi:type="xsd:double"&gt;-11.048544&lt;/D&gt;&lt;D xsi:type="xsd:double"&gt;2.6228547&lt;/D&gt;&lt;D xsi:type="xsd:double"&gt;5.703211&lt;/D&gt;&lt;D xsi:type="xsd:double"&gt;1.5345931&lt;/D&gt;&lt;D xsi:type="xsd:double"&gt;-4.4242916&lt;/D&gt;&lt;D xsi:type="xsd:double"&gt;-4.312825&lt;/D&gt;&lt;D xsi:type="xsd:double"&gt;-4.116583&lt;/D&gt;&lt;D xsi:type="xsd:double"&gt;-0.15668869&lt;/D&gt;&lt;D xsi:t</t>
        </r>
      </text>
    </comment>
    <comment ref="A8" authorId="0" shapeId="0" xr:uid="{8C75E860-8F67-4AA4-A08B-7274C13DD6DE}">
      <text>
        <r>
          <rPr>
            <b/>
            <sz val="9"/>
            <color indexed="81"/>
            <rFont val="Tahoma"/>
            <charset val="1"/>
          </rPr>
          <t>ype="xsd:double"&gt;-4.5323553&lt;/D&gt;&lt;D xsi:type="xsd:double"&gt;10.130178&lt;/D&gt;&lt;D xsi:type="xsd:double"&gt;6.1979175&lt;/D&gt;&lt;D xsi:type="xsd:double"&gt;0.97031593&lt;/D&gt;&lt;D xsi:type="xsd:double"&gt;-7.405323&lt;/D&gt;&lt;D xsi:type="xsd:double"&gt;2.5030613&lt;/D&gt;&lt;/FQL&gt;&lt;FQL&gt;&lt;Q&gt;EWN^FG_PRICE(0,-200D)&lt;/Q&gt;&lt;R&gt;201&lt;/R&gt;&lt;C&gt;1&lt;/C&gt;&lt;D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xsi:type="xsd:double"&gt;48.92&lt;/D&gt;&lt;D xsi:type="xsd:double"&gt;48.79&lt;/D&gt;&lt;D xsi:type="xsd:double"&gt;48.78&lt;/D&gt;&lt;D xsi:type="xsd:double"&gt;48.41&lt;/D&gt;&lt;D xsi:type="xsd:double"&gt;47.77&lt;/D&gt;&lt;D xsi:type="xsd:double"&gt;47.1&lt;/D&gt;&lt;D xsi:type="xsd:double"&gt;46.09&lt;/D&gt;&lt;D xsi:type="xsd:double"&gt;46.55&lt;/D&gt;&lt;D xsi:type="xsd:double"&gt;46.26&lt;/D&gt;&lt;D xsi:type="xsd:double"&gt;46.89&lt;/D&gt;&lt;D xsi:type="xsd:double"&gt;46.61&lt;/D&gt;&lt;D xsi:type="xsd:double"&gt;45.81&lt;/D&gt;&lt;D xsi:type="xsd:double"&gt;44.67&lt;/D&gt;&lt;D xsi:type="xsd:double"&gt;46.05&lt;/D&gt;&lt;D xsi:type="xsd:double"&gt;41.88&lt;/D&gt;&lt;D xsi:type="xsd:double"&gt;42.58&lt;/D&gt;&lt;D xsi:type="xsd:double"&gt;43.14&lt;/D&gt;&lt;D xsi:type="xsd:double"&gt;45.71&lt;/D&gt;&lt;D xsi:type="xsd:double"&gt;46.87&lt;/D&gt;&lt;D xsi:type="xsd:double"&gt;46.7&lt;/D&gt;&lt;D xsi:type="xsd:double"&gt;46.73&lt;/D&gt;&lt;D xsi:type="xsd:double"&gt;47.34&lt;/D&gt;&lt;D xsi:type="xsd:double"&gt;47.8176&lt;/D&gt;&lt;D xsi:type="xsd:double"&gt;47.8398&lt;/D&gt;&lt;D xsi:type="xsd:double"&gt;48.56&lt;/D&gt;&lt;D xsi:type="xsd:double"&gt;48.33&lt;/D&gt;&lt;D xsi:type="xsd:double"&gt;48.25&lt;/D&gt;&lt;D xsi:type="xsd:double"&gt;48.87&lt;/D&gt;&lt;D xsi:type="xsd:double"&gt;49.49&lt;/D&gt;&lt;D xsi:type="xsd:double"&gt;49.28&lt;/D&gt;&lt;D xsi:type="xsd:double"&gt;49.21&lt;/D&gt;&lt;D xsi:type="xsd:double"&gt;48.68&lt;/D&gt;&lt;D xsi:type="xsd:double"&gt;47.5801&lt;/D&gt;&lt;D xsi:type="xsd:double"&gt;48.12&lt;/D&gt;&lt;D xsi:type="xsd:double"&gt;47.81&lt;/D&gt;&lt;D xsi:type="xsd:double"&gt;47.48&lt;/D&gt;&lt;D xsi:type="xsd:double"&gt;49.36&lt;/D&gt;&lt;D xsi:type="xsd:double"&gt;48.48&lt;/D&gt;&lt;D xsi:type="xsd:double"&gt;49.02&lt;/D&gt;&lt;D xsi:type="xsd:double"&gt;47.8&lt;/D&gt;&lt;D xsi:type="xsd:double"&gt;47.37&lt;/D&gt;&lt;D xsi:type="xsd:double"&gt;47.17&lt;/D&gt;&lt;D xsi:type="xsd:double"&gt;47.08&lt;/D&gt;&lt;D xsi:type="xsd:double"&gt;48.46&lt;/D&gt;&lt;D xsi:type="xsd:double"&gt;48.58&lt;/D&gt;&lt;D xsi:type="xsd:double"&gt;48.18&lt;/D&gt;&lt;D xsi:type="xsd:double"&gt;48.17&lt;/D&gt;&lt;D xsi:type="xsd:double"&gt;48.53&lt;/D&gt;&lt;D xsi:type="xsd:double"&gt;48.38&lt;/D&gt;&lt;D xsi:type="xsd:double"&gt;49.15&lt;/D&gt;&lt;D xsi:type="xsd:double"&gt;48.94&lt;/D&gt;&lt;D xsi:type="xsd:double"&gt;48.75&lt;/D&gt;&lt;D xsi:type="xsd:double"&gt;47.9035&lt;/D&gt;&lt;D xsi:type="xsd:double"&gt;47.22&lt;/D&gt;&lt;D xsi:type="xsd:double"&gt;46.7&lt;/D&gt;&lt;D xsi:type="xsd:double"&gt;46.15&lt;/D&gt;&lt;D xsi:type="xsd:double"&gt;46.55&lt;/D&gt;&lt;D xsi:type="xsd:double"&gt;46.49&lt;/D&gt;&lt;/FQL&gt;&lt;FQL&gt;&lt;Q&gt;EWC^FG_PRICE(0,-200D)&lt;/Q&gt;&lt;R&gt;201&lt;/R&gt;&lt;C&gt;1&lt;/C&gt;&lt;D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xsi:type="xsd:double"&gt;42.45&lt;/D&gt;&lt;D xsi:type="xsd:double"&gt;42.37&lt;/D&gt;&lt;D xsi:type="xsd:double"&gt;42.04&lt;/D&gt;&lt;D xsi:type="xsd:double"&gt;42.06&lt;/D&gt;&lt;D xsi:type="xsd:double"&gt;41.52&lt;/D&gt;&lt;D xsi:type="xsd:double"&gt;41.39&lt;/D&gt;&lt;D xsi:type="xsd:double"&gt;40.77&lt;/D&gt;&lt;D xsi:type="xsd:double"&gt;41.1&lt;/D&gt;&lt;D xsi:type="xsd:double"&gt;40.83&lt;/D&gt;&lt;D xsi:type="xsd:double"&gt;40.53&lt;/D&gt;&lt;D xsi:type="xsd:double"&gt;40.44&lt;/D&gt;&lt;D xsi:type="xsd:double"&gt;39.87&lt;/D&gt;&lt;D xsi:type="xsd:double"&gt;38.74&lt;/D&gt;&lt;D xsi:type="xsd:double"&gt;39.54&lt;/D&gt;&lt;D xsi:type="xsd:double"&gt;37.17&lt;/D&gt;&lt;D xsi:type="xsd:double"&gt;37.79&lt;/D&gt;&lt;D xsi:type="xsd:double"&gt;38.41&lt;/D&gt;&lt;D xsi:type="xsd:double"&gt;40.62&lt;/D&gt;&lt;D xsi:type="xsd:double"&gt;41.59&lt;/D&gt;&lt;D xsi:type="xsd:double"&gt;41.13&lt;/D&gt;&lt;D xsi:type="xsd:double"&gt;40.75&lt;/D&gt;&lt;D xsi:type="xsd:double"&gt;40.57&lt;/D&gt;&lt;D xsi:type="xsd:double"&gt;41.25&lt;/D&gt;&lt;D xsi:type="xsd:double"&gt;41.38&lt;/D&gt;&lt;D xsi:type="xsd:double"&gt;41.71&lt;/D&gt;&lt;D xsi:type="xsd:double"&gt;41.51&lt;/D&gt;&lt;D xsi:type="xsd:double"&gt;40.88&lt;/D&gt;&lt;D xsi:type="xsd:double"&gt;41.03&lt;/D&gt;&lt;D xsi:type="xsd:double"&gt;41.04&lt;/D&gt;&lt;D xsi:type="xsd:double"&gt;40.52&lt;/D&gt;&lt;D xsi:type="xsd:double"&gt;40.69&lt;/D&gt;&lt;D xsi:type="xsd:double"&gt;40.11&lt;/D&gt;&lt;D xsi:type="xsd:double"&gt;39.3&lt;/D&gt;&lt;D xsi:type="xsd:double"&gt;39.84&lt;/D&gt;&lt;D xsi:type="xsd:double"&gt;39.48&lt;/D&gt;&lt;D xsi:type="xsd:double"&gt;39.68&lt;/D&gt;&lt;D xsi:type="xsd:double"&gt;40.47&lt;/D&gt;&lt;D xsi:type="xsd:double"&gt;40.37&lt;/D&gt;&lt;D xsi:type="xsd:double"&gt;40.73&lt;/D&gt;&lt;D xsi:type="xsd:double"&gt;39.77&lt;/D&gt;&lt;D xsi:type="xsd:double"&gt;40.45&lt;/D&gt;&lt;D xsi:type="xsd:double"&gt;41.23&lt;/D&gt;&lt;D xsi:type="xsd:double"&gt;40.8&lt;/D&gt;&lt;D xsi:type="xsd:double"&gt;41.43&lt;/D&gt;&lt;D xsi:type="xsd:double"&gt;41.35&lt;/D&gt;&lt;D xsi:type="xsd:double"&gt;41.38&lt;/D&gt;&lt;D xsi:type="xsd:double"&gt;41.55&lt;/D&gt;&lt;D xsi:type="xsd:double"&gt;42.22&lt;/D&gt;&lt;D xsi:type="xsd:double"&gt;42.23&lt;/D&gt;&lt;D xsi:type="xsd:double"&gt;42.44&lt;/D&gt;&lt;D xsi:type="xsd:double"&gt;42.17&lt;/D&gt;&lt;D xsi:type="xsd:double"&gt;42.52&lt;/D&gt;&lt;D xsi:type="xsd:double"&gt;41.96&lt;/D&gt;&lt;D xsi:type="xsd:double"&gt;42.07&lt;/D&gt;&lt;D xsi:type="xsd:double"&gt;42.02&lt;/D&gt;&lt;D xsi:type="xsd:double"&gt;41.65&lt;/D&gt;&lt;D xsi:type="xsd:double"&gt;41.8&lt;/D&gt;&lt;D xsi:type="xsd:double"&gt;41.74&lt;/D&gt;&lt;/FQL&gt;&lt;FQL&gt;&lt;Q&gt;QAT^FG_PRICE(0,-200D)&lt;/Q&gt;&lt;R&gt;201&lt;/R&gt;&lt;C&gt;1&lt;/C&gt;&lt;D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xsi:type="xsd:double"&gt;18.2&lt;/D&gt;&lt;D xsi:type="xsd:double"&gt;18.14&lt;/D&gt;&lt;D xsi:type="xsd:double"&gt;18.16&lt;/D&gt;&lt;D xsi:type="xsd:double"&gt;18.12&lt;/D&gt;&lt;D xsi:type="xsd:double"&gt;17.9&lt;/D&gt;&lt;D xsi:type="xsd:double"&gt;17.91&lt;/D&gt;&lt;D xsi:type="xsd:double"&gt;17.78&lt;/D&gt;&lt;D xsi:type="xsd:double"&gt;17.72&lt;/D&gt;&lt;D xsi:type="xsd:double"&gt;17.78&lt;/D&gt;&lt;D xsi:type="xsd:double"&gt;17.89&lt;/D&gt;&lt;D xsi:type="xsd:double"&gt;17.79&lt;/D&gt;&lt;D xsi:type="xsd:double"&gt;17.61&lt;/D&gt;&lt;D xsi:type="xsd:double"&gt;17.52&lt;/D&gt;&lt;D xsi:type="xsd:double"&gt;17.57&lt;/D&gt;&lt;D xsi:type="xsd:double"&gt;17.23&lt;/D&gt;&lt;D xsi:type="xsd:double"&gt;17.16&lt;/D&gt;&lt;D xsi:type="xsd:double"&gt;16.83&lt;/D&gt;&lt;D xsi:type="xsd:double"&gt;17.66&lt;/D&gt;&lt;D xsi:type="xsd:double"&gt;17.86&lt;/D&gt;&lt;D xsi:type="xsd:double"&gt;17.88&lt;/D&gt;&lt;D xsi:type="xsd:double"&gt;17.84&lt;/D&gt;&lt;D xsi:type="xsd:double"&gt;17.75&lt;/D&gt;&lt;D xsi:type="xsd:double"&gt;17.87&lt;/D&gt;&lt;D xsi:type="xsd:double"&gt;17.79&lt;/D&gt;&lt;D xsi:type="xsd:double"&gt;17.87&lt;/D&gt;&lt;D xsi:type="xsd:double"&gt;17.86&lt;/D&gt;&lt;D xsi:type="xsd:double"&gt;17.99&lt;/D&gt;&lt;D xsi:type="xsd:double"&gt;17.92&lt;/D&gt;&lt;D xsi:type="xsd:double"&gt;18.14&lt;/D&gt;&lt;D xsi:type="xsd:double"&gt;18.15&lt;/D&gt;&lt;D xsi:type="xsd:double"&gt;18.18&lt;/D&gt;&lt;D xsi:type="xsd:double"&gt;18.12&lt;/D&gt;&lt;D xsi:type="xsd:double"&gt;17.94&lt;/D&gt;&lt;D xsi:type="xsd:double"&gt;18.08&lt;/D&gt;&lt;D xsi:type="xsd:double"&gt;18.05&lt;/D&gt;&lt;D xsi:type="xsd:double"&gt;18.07&lt;/D&gt;&lt;D xsi:type="xsd:double"&gt;18.07&lt;/D&gt;&lt;D xsi:type="xsd:double"&gt;18.14&lt;/D&gt;&lt;D xsi:type="xsd:double"&gt;18.05&lt;/D&gt;&lt;D xsi:type="xsd:double"&gt;17.96&lt;/D&gt;&lt;D xsi:type="xsd:double"&gt;17.94&lt;/D&gt;&lt;D xsi:type="xsd:double"&gt;18&lt;/D&gt;&lt;D xsi:type="xsd:double"&gt;17.86&lt;/D&gt;&lt;D xsi:type="xsd:double"&gt;18.1&lt;/D&gt;&lt;D xsi:type="xsd:double"&gt;18.13&lt;/D&gt;&lt;D xsi:type="xsd:double"&gt;18.07&lt;/D&gt;&lt;D xsi:type="xsd:double"&gt;17.97&lt;/D&gt;&lt;D xsi:type="xsd:double"&gt;18.08&lt;/D&gt;&lt;D xsi:type="xsd:double"&gt;18.07&lt;/D&gt;&lt;D xsi:type="xsd:double"&gt;18.06&lt;/D&gt;&lt;D xsi:type="xsd:double"&gt;17.98&lt;/D&gt;&lt;D xsi:type="xsd:double"&gt;18.04&lt;/D&gt;&lt;D xsi:type="xsd:double"&gt;17.89&lt;/D&gt;&lt;D xsi:type="xsd:double"&gt;18&lt;/D&gt;&lt;D xsi:type="xsd:double"&gt;17.95&lt;/D&gt;&lt;D xsi:type="xsd:double"&gt;17.94&lt;/D&gt;&lt;D xsi:type="xsd:double"&gt;17.99&lt;/D&gt;&lt;D xsi:type="xsd:double"&gt;18.15&lt;/D&gt;&lt;/FQL&gt;&lt;FQL&gt;&lt;Q&gt;EWT^FG_PRICE(0,-200D)&lt;/Q&gt;&lt;R&gt;201&lt;/R&gt;&lt;C&gt;1&lt;/C&gt;&lt;D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xsi:type="xsd:double"&gt;47.15&lt;/D&gt;&lt;D xsi:type="xsd:double"&gt;46.47&lt;/D&gt;&lt;D xsi:type="xsd:double"&gt;46.34&lt;/D&gt;&lt;D xsi:type="xsd:double"&gt;46.18&lt;/D&gt;&lt;D xsi:type="xsd:double"&gt;45.5&lt;/D&gt;&lt;D xsi:type="xsd:double"&gt;44.33&lt;/D&gt;&lt;D xsi:type="xsd:double"&gt;44.22&lt;/D&gt;&lt;D xsi:type="xsd:double"&gt;44.88&lt;/D&gt;&lt;D xsi:type="xsd:double"&gt;44.99&lt;/D&gt;&lt;D xsi:type="xsd:double"&gt;46.05&lt;/D&gt;&lt;D xsi:type="xsd:double"&gt;45.77&lt;/D&gt;&lt;D xsi:type="xsd:double"&gt;45.62&lt;/D&gt;&lt;D xsi:type="xsd:double"&gt;43.32&lt;/D&gt;&lt;D xsi:type="xsd:double"&gt;44.79&lt;/D&gt;&lt;D xsi:type="xsd:double"&gt;40.95&lt;/D&gt;&lt;D xsi:type="xsd:double"&gt;42.03&lt;/D&gt;&lt;D xsi:type="xsd:double"&gt;43.82&lt;/D&gt;&lt;D xsi:type="xsd:double"&gt;46.05&lt;/D&gt;&lt;D xsi:type="xsd:double"&gt;48.48&lt;/D&gt;&lt;D xsi:type="xsd:double"&gt;48.2&lt;/D&gt;&lt;D xsi:type="xsd:double"&gt;47.48&lt;/D&gt;&lt;D xsi:type="xsd:double"&gt;47.82&lt;/D&gt;&lt;D xsi:type="xsd:double"&gt;49.2&lt;/D&gt;&lt;D xsi:type="xsd:double"&gt;49.51&lt;/D&gt;&lt;D xsi:type="xsd:double"&gt;50.46&lt;/D&gt;&lt;D xsi:type="xsd:double"&gt;50.38&lt;/D&gt;&lt;D xsi:type="xsd:double"&gt;50.22&lt;/D&gt;&lt;D xsi:type="xsd:double"&gt;50.28&lt;/D&gt;&lt;D xsi:type="xsd:double"&gt;50.14&lt;/D&gt;&lt;D xsi:type="xsd:double"&gt;50.2&lt;/D&gt;&lt;D xsi:type="xsd:double"&gt;50.71&lt;/D&gt;&lt;D xsi:type="xsd:double"&gt;50.27&lt;/D&gt;&lt;D xsi:type="xsd:double"&gt;49.63&lt;/D&gt;&lt;D xsi:type="xsd:double"&gt;50.67&lt;/D&gt;&lt;D xsi:type="xsd:double"&gt;49.98&lt;/D&gt;&lt;D xsi:type="xsd:double"&gt;49.89&lt;/D&gt;&lt;D xsi:type="xsd:double"&gt;51.23&lt;/D&gt;&lt;D xsi:type="xsd:double"&gt;50.79&lt;/D&gt;&lt;D xsi:type="xsd:double"&gt;52.07&lt;/D&gt;&lt;D xsi:type="xsd:double"&gt;51.04&lt;/D&gt;&lt;D xsi:type="xsd:double"&gt;50.25&lt;/D&gt;&lt;D xsi:type="xsd:double"&gt;50.81&lt;/D&gt;&lt;D xsi:type="xsd:double"&gt;50.83&lt;/D&gt;&lt;D xsi:type="xsd:double"&gt;53.08&lt;/D&gt;&lt;D xsi:type="xsd:double"&gt;52.37&lt;/D&gt;&lt;D xsi:type="xsd:double"&gt;52.57&lt;/D&gt;&lt;D xsi:type="xsd:double"&gt;52.95&lt;/D&gt;&lt;D xsi:type="xsd:double"&gt;53.17&lt;/D&gt;&lt;D xsi:type="xsd:double"&gt;53.11&lt;/D&gt;&lt;D xsi:type="xsd:double"&gt;53.17&lt;/D&gt;&lt;D xsi:type="xsd:double"&gt;52.75&lt;/D&gt;&lt;D xsi:type="xsd:double"&gt;52.87&lt;/D&gt;&lt;D xsi:type="xsd:double"&gt;52.35&lt;/D&gt;&lt;D xsi:type="xsd:double"&gt;52.52&lt;/D&gt;&lt;D xsi:type="xsd:double"&gt;52.52&lt;/D&gt;&lt;D xsi:type="xsd:double"&gt;52.01&lt;/D&gt;&lt;D xsi:type="xsd:double"&gt;52.26&lt;/D&gt;&lt;D xsi:type="xsd:double"&gt;52.13&lt;/D&gt;&lt;/FQL&gt;&lt;FQL&gt;&lt;Q&gt;EWL^FG_TOTAL_RETURNC(-5AY,0,AM)&lt;/Q&gt;&lt;R&gt;61&lt;/R&gt;&lt;C&gt;1&lt;/C&gt;&lt;D xsi:type="xsd:double"&gt;2.8557777&lt;/D&gt;&lt;D xsi:type="xsd:double"&gt;3.4371376&lt;/D&gt;&lt;D xsi:type="xsd:double"&gt;2.7758956&lt;/D&gt;&lt;D xsi:type="xsd:double"&gt;-2.1299958&lt;/D&gt;&lt;D xsi:type="xsd:double"&gt;-0.47116876&lt;/D&gt;&lt;D xsi:type="xsd:double"&gt;4.711449&lt;/D&gt;&lt;D xsi:type="xsd:double"&gt;2.7341247&lt;/D&gt;&lt;D xsi:type="xsd:double"&gt;3.7439227&lt;/D&gt;&lt;D xsi:type="xsd:double"&gt;0.45259&lt;/D&gt;&lt;D xsi:type="xsd:double"&gt;4.0753603&lt;/D&gt;&lt;D xsi:type="xsd:double"&gt;-6.0802817&lt;/D&gt;&lt;D xsi:type="xsd:double"&gt;2.7446032&lt;/D&gt;&lt;D xsi:type="xsd:double"&gt;3.262639&lt;/D&gt;&lt;D xsi:type="xsd:double"&gt;1.125586&lt;/D&gt;&lt;D xsi:type="xsd:double"&gt;-1.6598284&lt;/D&gt;&lt;D xsi:type="xsd:double"&gt;-4.0905533&lt;/D&gt;&lt;D xsi:type="xsd:double"&gt;1.387167&lt;/D&gt;&lt;D xsi:type="xsd:double"&gt;-0.71472526&lt;/D&gt;&lt;D xsi:type="xsd:double"&gt;-10.180998&lt;/D&gt;&lt;D xsi:type="xsd:double"&gt;-7.703429&lt;/D&gt;&lt;D xsi:type="xsd:double"&gt;5.7721496&lt;/D&gt;&lt;D xsi:type="xsd:double"&gt;2.5131702&lt;/D&gt;&lt;D xsi:type="xsd:double"&gt;-7.91502&lt;/D&gt;&lt;D xsi:type="xsd:double"&gt;-4.4624686&lt;/D&gt;&lt;D xsi:type="xsd:double"&gt;11.730361&lt;/D&gt;&lt;D xsi:type="xsd:double"&gt;-1.1163831&lt;/D&gt;&lt;D xsi:type="xsd:double"&gt;7.9269767&lt;/D&gt;&lt;D xsi:type="xsd:double"&gt;-0.04451275&lt;/D&gt;&lt;D xsi:type="xsd:double"&gt;-4.564685&lt;/D&gt;&lt;D xsi:type="xsd:double"&gt;11.08259&lt;/D&gt;&lt;D xsi:type="xsd:double"&gt;1.3442516&lt;/D&gt;&lt;D xsi:type="xsd:double"&gt;-3.1586707&lt;/D&gt;&lt;D xsi:type="xsd:double"&gt;3.6761522&lt;/D&gt;&lt;D xsi:type="xsd:double"&gt;-4.854369&lt;/D&gt;&lt;D xsi:type="xsd:double"&gt;0.488019&lt;/D&gt;&lt;D xsi:type="xsd:double"&gt;-6.534213&lt;/D&gt;&lt;D xsi:type="xsd:double"&gt;5.1015615&lt;/D&gt;&lt;D xsi:type="xsd:double"&gt;4.966295&lt;/D&gt;&lt;D xsi:type="xsd:double"&gt;0.10703802&lt;/D&gt;&lt;D xsi:type="xsd:double"&gt;0.9837508&lt;/D&gt;&lt;D xsi:type="xsd:double"&gt;1.6730189&lt;/D&gt;&lt;D xsi:type="xsd:double"&gt;-4.811496&lt;/D&gt;&lt;D xsi:type="xsd:double"&gt;7.08971&lt;/D&gt;&lt;D xsi:type="xsd:double"&gt;2.5566936&lt;/D&gt;&lt;D xsi:type="xsd:double"&gt;0.4475236&lt;/D&gt;&lt;D xsi:type="xsd:double"&gt;4.6375036&lt;/D&gt;&lt;D xsi:type="xsd:double"&gt;-1.9547105&lt;/D&gt;&lt;D xsi:type="xsd:double"&gt;1.6778469&lt;/D&gt;&lt;D xsi:type="xsd:double"&gt;-8.386719&lt;/D&gt;&lt;D xsi:type="xsd:double"&gt;-2.691251&lt;/D&gt;&lt;D xsi:type="xsd:double"&gt;2.7221203&lt;/D&gt;&lt;D xsi:type="xsd:double"&gt;8.734369&lt;/D&gt;&lt;D xsi:type="xsd:double"&gt;3.8798928&lt;/D&gt;&lt;D xsi:type="xsd:double"&gt;-2.4962425&lt;/D&gt;&lt;D xsi:type="xsd:double"&gt;6.198263&lt;/D&gt;&lt;D xsi:type="xsd:double"&gt;-2.6961148&lt;/D&gt;&lt;D xsi:type="xsd:double"&gt;3.41686&lt;/D&gt;&lt;D xsi:type="xsd:double"&gt;1.908958&lt;/D&gt;&lt;D xsi:type="xsd:double"&gt;-0.46830177&lt;/D&gt;&lt;D xsi:type="xsd:double"&gt;4.3792963&lt;/D&gt;&lt;D xsi:type="xsd:double"&gt;-3.4500718&lt;/D&gt;&lt;/FQL&gt;&lt;FQL&gt;&lt;Q&gt;EIDO^FG_TOTAL_RETURNC(-5AY,0,AM)&lt;/Q&gt;&lt;R&gt;61&lt;/R&gt;&lt;C&gt;1&lt;/C&gt;&lt;D xsi:type="xsd:double"&gt;16.96477&lt;/D&gt;&lt;D xsi:type="xsd:double"&gt;11.8541&lt;/D&gt;&lt;D xsi:type="xsd:double"&gt;4.507518&lt;/D&gt;&lt;D xsi:type="xsd:double"&gt;-5.710864&lt;/D&gt;&lt;D xsi:type="xsd:double"&gt;-1.1012316&lt;/D&gt;&lt;D xsi:type="xsd:double"&gt;-7.665956&lt;/D&gt;&lt;D xsi:type="xsd:double"&gt;-1.3450801&lt;/D&gt;&lt;D xsi:type="xsd:double"&gt;-2.109325&lt;/D&gt;&lt;D xsi:type="xsd:double"&gt;-3.528279&lt;/D&gt;&lt;D xsi:type="xsd:double"&gt;4.659319&lt;/D&gt;&lt;D xsi:type="xsd:double"&gt;0.5744457&lt;/D&gt;&lt;D xsi:type="xsd:double"&gt;17.515469&lt;/D&gt;&lt;D xsi:type="xsd:double"&gt;-4.0502253&lt;/D&gt;&lt;D xsi:type="xsd:double"&gt;-3.459382&lt;/D&gt;&lt;D xsi:type="xsd:double"&gt;2.3337722&lt;/D&gt;&lt;D xsi:type="xsd:double"&gt;3.2702208&lt;/D&gt;&lt;D xsi:type="xsd:double"&gt;1.8333316&lt;/D&gt;&lt;D xsi:type="xsd:double"&gt;1.8003225&lt;/D&gt;&lt;D xsi:type="xsd:double"&gt;-5.385846&lt;/D&gt;&lt;D xsi:type="xsd:double"&gt;-2.5529027&lt;/D&gt;&lt;D xsi:type="xsd:double"&gt;-0.7073462&lt;/D&gt;&lt;D xsi:type="xsd:double"&gt;5.120218&lt;/D&gt;&lt;D xsi:type="xsd:double"&gt;2.8801322&lt;/D&gt;&lt;D xsi:type="xsd:double"&gt;-4.2404294&lt;/D&gt;&lt;D xsi:type="xsd:double"&gt;-0.30094385&lt;/D&gt;&lt;D xsi:type="xsd:double"&gt;-1.5602767&lt;/D&gt;&lt;D xsi:type="xsd:double"&gt;2.3451328&lt;/D&gt;&lt;D xsi:type="xsd:double"&gt;0.21617413&lt;/D&gt;&lt;D xsi:type="xsd:double"&gt;-4.874897&lt;/D&gt;&lt;D xsi:type="xsd:double"&gt;8.2993145&lt;/D&gt;&lt;D xsi:type="xsd:double"&gt;-1.2144029&lt;/D&gt;&lt;D xsi:type="xsd:double"&gt;-0.6093681&lt;/D&gt;&lt;D xsi:type="xsd:double"&gt;2.1767497&lt;/D&gt;&lt;D xsi:type="xsd:double"&gt;-2.8547108&lt;/D&gt;&lt;D xsi:type="xsd:double"&gt;0.6140351&lt;/D&gt;&lt;D xsi:type="xsd:double"&gt;-8.805579&lt;/D&gt;&lt;D xsi:type="xsd:double"&gt;3.871894&lt;/D&gt;&lt;D xsi:type="xsd:double"&gt;0.85481405&lt;/D&gt;&lt;D xsi:type="xsd:double"&gt;2.1619081&lt;/D&gt;&lt;D xsi:type="xsd:double"&gt;2.6114464&lt;/D&gt;&lt;D xsi:type="xsd:double"&gt;0.4826665&lt;/D&gt;&lt;D xsi:type="xsd:double"&gt;-9.257639&lt;/D&gt;&lt;D xsi:type="xsd:double"&gt;0.57747364&lt;/D&gt;&lt;D xsi:type="xsd:double"&gt;-9.262496&lt;/D&gt;&lt;D xsi:type="xsd:double"&gt;10.207426&lt;/D&gt;&lt;D xsi:type="xsd:double"&gt;8.420002&lt;/D&gt;&lt;D xsi:type="xsd:double"&gt;5.938792&lt;/D&gt;&lt;D xsi:type="xsd:double"&gt;-2.7166903&lt;/D&gt;&lt;D xsi:type="xsd:double"&gt;-11.569142&lt;/D&gt;&lt;D xsi:type="xsd:double"&gt;-6.4153075&lt;/D&gt;&lt;D xsi:type="xsd:double"&gt;0.6426811&lt;/D&gt;&lt;D xsi:type="xsd:double"&gt;-3.5675645&lt;/D&gt;&lt;D xsi:type="xsd:double"&gt;-10.818386&lt;/D&gt;&lt;D xsi:type="xsd:double"&gt;1.3827682&lt;/D&gt;&lt;D xsi:type="xsd:double"&gt;14.87912&lt;/D&gt;&lt;D xsi:type="xsd:double"&gt;-4.7903357&lt;/D&gt;&lt;D xsi:type="xsd:double"&gt;2.9685736&lt;/D&gt;&lt;D xsi:type="xsd:double"&gt;5.144143&lt;/D&gt;&lt;D xsi:type="xsd:double"&gt;-4.3548346&lt;/D&gt;&lt;D xsi:type="xsd:double"&gt;0.16862154&lt;/D&gt;&lt;D xsi:type="xsd:double"&gt;2.8619528&lt;/D&gt;&lt;/FQL&gt;&lt;FQL&gt;&lt;Q&gt;EWA^FG_PRICE(0,-200D)&lt;/Q&gt;&lt;R&gt;201&lt;/R&gt;&lt;C&gt;1&lt;/C&gt;&lt;D xsi:type="xsd:double"&gt;24.95&lt;/D&gt;&lt;D xsi:type="xsd:double"&gt;25.3&lt;/D&gt;&lt;D xsi:type="xsd:double"&gt;25.4&lt;/D&gt;&lt;D xsi:type="xsd:double"&gt;25.64&lt;/D&gt;&lt;D xsi:type="xsd:double"&gt;</t>
        </r>
      </text>
    </comment>
    <comment ref="A9" authorId="0" shapeId="0" xr:uid="{0D8394C0-DE65-452A-8B99-1FAAB31620DB}">
      <text>
        <r>
          <rPr>
            <b/>
            <sz val="9"/>
            <color indexed="81"/>
            <rFont val="Tahoma"/>
            <charset val="1"/>
          </rPr>
          <t>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xsi:type="xsd:double"&gt;24.55&lt;/D&gt;&lt;D xsi:type="xsd:double"&gt;24.52&lt;/D&gt;&lt;D xsi:type="xsd:double"&gt;24.51&lt;/D&gt;&lt;D xsi:type="xsd:double"&gt;24.51&lt;/D&gt;&lt;D xsi:type="xsd:double"&gt;24&lt;/D&gt;&lt;D xsi:type="xsd:double"&gt;23.96&lt;/D&gt;&lt;D xsi:type="xsd:double"&gt;23.48&lt;/D&gt;&lt;D xsi:type="xsd:double"&gt;23.61&lt;/D&gt;&lt;D xsi:type="xsd:double"&gt;23.42&lt;/D&gt;&lt;D xsi:type="xsd:double"&gt;23.36&lt;/D&gt;&lt;D xsi:type="xsd:double"&gt;23.29&lt;/D&gt;&lt;D xsi:type="xsd:double"&gt;22.77&lt;/D&gt;&lt;D xsi:type="xsd:double"&gt;22.35&lt;/D&gt;&lt;D xsi:type="xsd:double"&gt;22.81&lt;/D&gt;&lt;D xsi:type="xsd:double"&gt;20.82&lt;/D&gt;&lt;D xsi:type="xsd:double"&gt;20.85&lt;/D&gt;&lt;D xsi:type="xsd:double"&gt;21.15&lt;/D&gt;&lt;D xsi:type="xsd:double"&gt;23.25&lt;/D&gt;&lt;D xsi:type="xsd:double"&gt;23.89&lt;/D&gt;&lt;D xsi:type="xsd:double"&gt;23.71&lt;/D&gt;&lt;D xsi:type="xsd:double"&gt;23.44&lt;/D&gt;&lt;D xsi:type="xsd:double"&gt;23.47&lt;/D&gt;&lt;D xsi:type="xsd:double"&gt;23.75&lt;/D&gt;&lt;D xsi:type="xsd:double"&gt;23.71&lt;/D&gt;&lt;D xsi:type="xsd:double"&gt;23.81&lt;/D&gt;&lt;D xsi:type="xsd:double"&gt;23.7&lt;/D&gt;&lt;D xsi:type="xsd:double"&gt;23.43&lt;/D&gt;&lt;D xsi:type="xsd:double"&gt;23.53&lt;/D&gt;&lt;D xsi:type="xsd:double"&gt;23.65&lt;/D&gt;&lt;D xsi:type="xsd:double"&gt;23.43&lt;/D&gt;&lt;D xsi:type="xsd:double"&gt;23.87&lt;/D&gt;&lt;D xsi:type="xsd:double"&gt;23.5&lt;/D&gt;&lt;D xsi:type="xsd:double"&gt;23.02&lt;/D&gt;&lt;D xsi:type="xsd:double"&gt;23.31&lt;/D&gt;&lt;D xsi:type="xsd:double"&gt;23.32&lt;/D&gt;&lt;D xsi:type="xsd:double"&gt;23.42&lt;/D&gt;&lt;D xsi:type="xsd:double"&gt;23.89&lt;/D&gt;&lt;D xsi:type="xsd:double"&gt;24.02&lt;/D&gt;&lt;D xsi:type="xsd:double"&gt;24.41&lt;/D&gt;&lt;D xsi:type="xsd:double"&gt;23.92&lt;/D&gt;&lt;D xsi:type="xsd:double"&gt;23.95&lt;/D&gt;&lt;D xsi:type="xsd:double"&gt;23.99&lt;/D&gt;&lt;D xsi:type="xsd:double"&gt;24.07&lt;/D&gt;&lt;D xsi:type="xsd:double"&gt;24.44&lt;/D&gt;&lt;D xsi:type="xsd:double"&gt;24.54&lt;/D&gt;&lt;D xsi:type="xsd:double"&gt;24.63&lt;/D&gt;&lt;D xsi:type="xsd:double"&gt;24.55&lt;/D&gt;&lt;D xsi:type="xsd:double"&gt;25.09&lt;/D&gt;&lt;D xsi:type="xsd:double"&gt;25.04&lt;/D&gt;&lt;D xsi:type="xsd:double"&gt;25.42&lt;/D&gt;&lt;D xsi:type="xsd:double"&gt;25.47&lt;/D&gt;&lt;D xsi:type="xsd:double"&gt;25.66&lt;/D&gt;&lt;D xsi:type="xsd:double"&gt;25.26&lt;/D&gt;&lt;D xsi:type="xsd:double"&gt;25.04&lt;/D&gt;&lt;D xsi:type="xsd:double"&gt;25.09&lt;/D&gt;&lt;D xsi:type="xsd:double"&gt;24.93&lt;/D&gt;&lt;D xsi:type="xsd:double"&gt;25.13&lt;/D&gt;&lt;D xsi:type="xsd:double"&gt;25.01&lt;/D&gt;&lt;/FQL&gt;&lt;FQL&gt;&lt;Q&gt;EWM^FG_PRICE(0,-200D)&lt;/Q&gt;&lt;R&gt;201&lt;/R&gt;&lt;C&gt;1&lt;/C&gt;&lt;D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xsi:type="xsd:double"&gt;23.7&lt;/D&gt;&lt;D xsi:type="xsd:double"&gt;23.71&lt;/D&gt;&lt;D xsi:type="xsd:double"&gt;23.43&lt;/D&gt;&lt;D xsi:type="xsd:double"&gt;23.43&lt;/D&gt;&lt;D xsi:type="xsd:double"&gt;23.07&lt;/D&gt;&lt;D xsi:type="xsd:double"&gt;22.91&lt;/D&gt;&lt;D xsi:type="xsd:double"&gt;23.04&lt;/D&gt;&lt;D xsi:type="xsd:double"&gt;22.77&lt;/D&gt;&lt;D xsi:type="xsd:double"&gt;22.44&lt;/D&gt;&lt;D xsi:type="xsd:double"&gt;22.63&lt;/D&gt;&lt;D xsi:type="xsd:double"&gt;22.65&lt;/D&gt;&lt;D xsi:type="xsd:double"&gt;22.46&lt;/D&gt;&lt;D xsi:type="xsd:double"&gt;22.05&lt;/D&gt;&lt;D xsi:type="xsd:double"&gt;22.14&lt;/D&gt;&lt;D xsi:type="xsd:double"&gt;21.2&lt;/D&gt;&lt;D xsi:type="xsd:double"&gt;21.75&lt;/D&gt;&lt;D xsi:type="xsd:double"&gt;21.91&lt;/D&gt;&lt;D xsi:type="xsd:double"&gt;23.01&lt;/D&gt;&lt;D xsi:type="xsd:double"&gt;23.32&lt;/D&gt;&lt;D xsi:type="xsd:double"&gt;23.03&lt;/D&gt;&lt;D xsi:type="xsd:double"&gt;23.08&lt;/D&gt;&lt;D xsi:type="xsd:double"&gt;23&lt;/D&gt;&lt;D xsi:type="xsd:double"&gt;23.55&lt;/D&gt;&lt;D xsi:type="xsd:double"&gt;23.21&lt;/D&gt;&lt;D xsi:type="xsd:double"&gt;23.17&lt;/D&gt;&lt;D xsi:type="xsd:double"&gt;23&lt;/D&gt;&lt;D xsi:type="xsd:double"&gt;23.15&lt;/D&gt;&lt;D xsi:type="xsd:double"&gt;22.94&lt;/D&gt;&lt;D xsi:type="xsd:double"&gt;23.32&lt;/D&gt;&lt;D xsi:type="xsd:double"&gt;23.39&lt;/D&gt;&lt;D xsi:type="xsd:double"&gt;23.44&lt;/D&gt;&lt;D xsi:type="xsd:double"&gt;23.21&lt;/D&gt;&lt;D xsi:type="xsd:double"&gt;22.91&lt;/D&gt;&lt;D xsi:type="xsd:double"&gt;22.53&lt;/D&gt;&lt;D xsi:type="xsd:double"&gt;23.1&lt;/D&gt;&lt;D xsi:type="xsd:double"&gt;23.12&lt;/D&gt;&lt;D xsi:type="xsd:double"&gt;23.29&lt;/D&gt;&lt;D xsi:type="xsd:double"&gt;23.42&lt;/D&gt;&lt;D xsi:type="xsd:double"&gt;23.73&lt;/D&gt;&lt;D xsi:type="xsd:double"&gt;23.23&lt;/D&gt;&lt;D xsi:type="xsd:double"&gt;23.4&lt;/D&gt;&lt;D xsi:type="xsd:double"&gt;23.67&lt;/D&gt;&lt;D xsi:type="xsd:double"&gt;23.76&lt;/D&gt;&lt;D xsi:type="xsd:double"&gt;24.16&lt;/D&gt;&lt;D xsi:type="xsd:double"&gt;23.96&lt;/D&gt;&lt;D xsi:type="xsd:double"&gt;24.24&lt;/D&gt;&lt;D xsi:type="xsd:double"&gt;24.23&lt;/D&gt;&lt;D xsi:type="xsd:double"&gt;24.28&lt;/D&gt;&lt;D xsi:type="xsd:double"&gt;24.12&lt;/D&gt;&lt;D xsi:type="xsd:double"&gt;24.07&lt;/D&gt;&lt;D xsi:type="xsd:double"&gt;24.43&lt;/D&gt;&lt;D xsi:type="xsd:double"&gt;24.34&lt;/D&gt;&lt;D xsi:type="xsd:double"&gt;24.07&lt;/D&gt;&lt;D xsi:type="xsd:double"&gt;23.98&lt;/D&gt;&lt;D xsi:type="xsd:double"&gt;24.09&lt;/D&gt;&lt;D xsi:type="xsd:double"&gt;23.97&lt;/D&gt;&lt;D xsi:type="xsd:double"&gt;24.04&lt;/D&gt;&lt;D xsi:type="xsd:double"&gt;24.02&lt;/D&gt;&lt;/FQL&gt;&lt;FQL&gt;&lt;Q&gt;ECH^FG_TOTAL_RETURNC(-5AY,0,AM)&lt;/Q&gt;&lt;R&gt;61&lt;/R&gt;&lt;C&gt;1&lt;/C&gt;&lt;D xsi:type="xsd:double"&gt;12.407565&lt;/D&gt;&lt;D xsi:type="xsd:double"&gt;9.189892&lt;/D&gt;&lt;D xsi:type="xsd:double"&gt;9.791398&lt;/D&gt;&lt;D xsi:type="xsd:double"&gt;1.6242743&lt;/D&gt;&lt;D xsi:type="xsd:double"&gt;3.4378767&lt;/D&gt;&lt;D xsi:type="xsd:double"&gt;3.5568595&lt;/D&gt;&lt;D xsi:type="xsd:double"&gt;-20.101357&lt;/D&gt;&lt;D xsi:type="xsd:double"&gt;1.0543704&lt;/D&gt;&lt;D xsi:type="xsd:double"&gt;-1.4184475&lt;/D&gt;&lt;D xsi:type="xsd:double"&gt;-2.6259005&lt;/D&gt;&lt;D xsi:type="xsd:double"&gt;-1.9209445&lt;/D&gt;&lt;D xsi:type="xsd:double"&gt;-8.512235&lt;/D&gt;&lt;D xsi:type="xsd:double"&gt;4.7756314&lt;/D&gt;&lt;D xsi:type="xsd:double"&gt;-12.996459&lt;/D&gt;&lt;D xsi:type="xsd:double"&gt;18.34327&lt;/D&gt;&lt;D xsi:type="xsd:double"&gt;1.8525839&lt;/D&gt;&lt;D xsi:type="xsd:double"&gt;8.939624&lt;/D&gt;&lt;D xsi:type="xsd:double"&gt;0.6394386&lt;/D&gt;&lt;D xsi:type="xsd:double"&gt;-0.9530544&lt;/D&gt;&lt;D xsi:type="xsd:double"&gt;-4.4397354&lt;/D&gt;&lt;D xsi:type="xsd:double"&gt;-2.8316557&lt;/D&gt;&lt;D xsi:type="xsd:double"&gt;2.5948167&lt;/D&gt;&lt;D xsi:type="xsd:double"&gt;1.1673093&lt;/D&gt;&lt;D xsi:type="xsd:double"&gt;-9.423077&lt;/D&gt;&lt;D xsi:type="xsd:double"&gt;6.7940593&lt;/D&gt;&lt;D xsi:type="xsd:double"&gt;4.9388885&lt;/D&gt;&lt;D xsi:type="xsd:double"&gt;9.288776&lt;/D&gt;&lt;D xsi:type="xsd:double"&gt;4.107392&lt;/D&gt;&lt;D xsi:type="xsd:double"&gt;-8.420152&lt;/D&gt;&lt;D xsi:type="xsd:double"&gt;8.877289&lt;/D&gt;&lt;D xsi:type="xsd:double"&gt;2.500856&lt;/D&gt;&lt;D xsi:type="xsd:double"&gt;0.8239269&lt;/D&gt;&lt;D xsi:type="xsd:double"&gt;9.272671&lt;/D&gt;&lt;D xsi:type="xsd:double"&gt;-10.788643&lt;/D&gt;&lt;D xsi:type="xsd:double"&gt;-4.243284&lt;/D&gt;&lt;D xsi:type="xsd:double"&gt;-11.447567&lt;/D&gt;&lt;D xsi:type="xsd:double"&gt;10.92577&lt;/D&gt;&lt;D xsi:type="xsd:double"&gt;3.5945296&lt;/D&gt;&lt;D xsi:type="xsd:double"&gt;-6.3184795&lt;/D&gt;&lt;D xsi:type="xsd:double"&gt;1.2865543&lt;/D&gt;&lt;D xsi:type="xsd:double"&gt;2.8098464&lt;/D&gt;&lt;D xsi:type="xsd:double"&gt;-1.7221987&lt;/D&gt;&lt;D xsi:type="xsd:double"&gt;12.4190445&lt;/D&gt;&lt;D xsi:type="xsd:double"&gt;-7.802069&lt;/D&gt;&lt;D xsi:type="xsd:double"&gt;-1.0558069&lt;/D&gt;&lt;D xsi:type="xsd:double"&gt;1.1813998&lt;/D&gt;&lt;D xsi:type="xsd:double"&gt;-2.8248608&lt;/D&gt;&lt;D xsi:type="xsd:double"&gt;1.9767404&lt;/D&gt;&lt;D xsi:type="xsd:double"&gt;-3.0406654&lt;/D&gt;&lt;D xsi:type="xsd:double"&gt;-0.96583366&lt;/D&gt;&lt;D xsi:type="xsd:double"&gt;2.3828506&lt;/D&gt;&lt;D xsi:type="xsd:double"&gt;12.102402&lt;/D&gt;&lt;D xsi:type="xsd:double"&gt;5.6055427&lt;/D&gt;&lt;D xsi:type="xsd:double"&gt;-1.8676281&lt;/D&gt;&lt;D xsi:type="xsd:double"&gt;9.348917&lt;/D&gt;&lt;D xsi:type="xsd:double"&gt;-6.105262&lt;/D&gt;&lt;D xsi:type="xsd:double"&gt;0.19932985&lt;/D&gt;&lt;D xsi:type="xsd:double"&gt;6.23343&lt;/D&gt;&lt;D xsi:type="xsd:double"&gt;4.8377037&lt;/D&gt;&lt;D xsi:type="xsd:double"&gt;0.77403784&lt;/D&gt;&lt;D xsi:type="xsd:double"&gt;8.094538&lt;/D&gt;&lt;/FQL&gt;&lt;FQL&gt;&lt;Q&gt;SPY^FG_PRICE(0,-200D)&lt;/Q&gt;&lt;R&gt;201&lt;/R&gt;&lt;C&gt;1&lt;/C&gt;&lt;D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xsi:type="xsd:double"&gt;554.32&lt;/D&gt;&lt;D xsi:type="xsd:double"&gt;550.85&lt;/D&gt;&lt;D xsi:type="xsd:double"&gt;550.64&lt;/D&gt;&lt;D xsi:type="xsd:double"&gt;546.69&lt;/D&gt;&lt;D xsi:type="xsd:double"&gt;535.42&lt;/D&gt;&lt;D xsi:type="xsd:double"&gt;527.25&lt;/D&gt;&lt;D xsi:type="xsd:double"&gt;513.88&lt;/D&gt;&lt;D xsi:type="xsd:double"&gt;526.41&lt;/D&gt;&lt;D xsi:type="xsd:double"&gt;525.66&lt;/D&gt;&lt;D xsi:type="xsd:double"&gt;537.61&lt;/D&gt;&lt;D xsi:type="xsd:double"&gt;539.12&lt;/D&gt;&lt;D xsi:type="xsd:double"&gt;533.94&lt;/D&gt;&lt;D xsi:type="xsd:double"&gt;524.58&lt;/D&gt;&lt;D xsi:type="xsd:double"&gt;548.62&lt;/D&gt;&lt;D xsi:type="xsd:double"&gt;496.48&lt;/D&gt;&lt;D xsi:type="xsd:double"&gt;504.38&lt;/D&gt;&lt;D xsi:type="xsd:double"&gt;505.28&lt;/D&gt;&lt;D xsi:type="xsd:double"&gt;536.7&lt;/D&gt;&lt;D xsi:type="xsd:double"&gt;564.52&lt;/D&gt;&lt;D xsi:type="xsd:double"&gt;560.97&lt;/D&gt;&lt;D xsi:type="xsd:double"&gt;559.39&lt;/D&gt;&lt;D xsi:type="xsd:double"&gt;555.66&lt;/D&gt;&lt;D xsi:type="xsd:double"&gt;567.08&lt;/D&gt;&lt;D xsi:type="xsd:double"&gt;568.59&lt;/D&gt;&lt;D xsi:type="xsd:double"&gt;575.46&lt;/D&gt;&lt;D xsi:type="xsd:double"&gt;574.08&lt;/D&gt;&lt;D xsi:type="xsd:double"&gt;563.98&lt;/D&gt;&lt;D xsi:type="xsd:double"&gt;565.49&lt;/D&gt;&lt;D xsi:type="xsd:double"&gt;567.13&lt;/D&gt;&lt;D xsi:type="xsd:double"&gt;561.02&lt;/D&gt;&lt;D xsi:type="xsd:double"&gt;567.15&lt;/D&gt;&lt;D xsi:type="xsd:double"&gt;562.81&lt;/D&gt;&lt;D xsi:type="xsd:double"&gt;551.42&lt;/D&gt;&lt;D xsi:type="xsd:double"&gt;558.87&lt;/D&gt;&lt;D xsi:type="xsd:double"&gt;555.92&lt;/D&gt;&lt;D xsi:type="xsd:double"&gt;560.58&lt;/D&gt;&lt;D xsi:type="xsd:double"&gt;575.92&lt;/D&gt;&lt;D xsi:type="xsd:double"&gt;572.71&lt;/D&gt;&lt;D xsi:type="xsd:double"&gt;583.06&lt;/D&gt;&lt;D xsi:type="xsd:double"&gt;576.86&lt;/D&gt;&lt;D xsi:type="xsd:double"&gt;583.77&lt;/D&gt;&lt;D xsi:type="xsd:double"&gt;594.18&lt;/D&gt;&lt;D xsi:type="xsd:double"&gt;585.05&lt;/D&gt;&lt;D xsi:type="xsd:double"&gt;594.54&lt;/D&gt;&lt;D xsi:type="xsd:double"&gt;594.24&lt;/D&gt;&lt;D xsi:type="xsd:double"&gt;597.21&lt;/D&gt;&lt;D xsi:type="xsd:double"&gt;599.94&lt;/D&gt;&lt;D xsi:type="xsd:double"&gt;610.38&lt;/D&gt;&lt;D xsi:type="xsd:double"&gt;612.93&lt;/D&gt;&lt;D xsi:type="xsd:double"&gt;611.49&lt;/D&gt;&lt;D xsi:type="xsd:double"&gt;609.7&lt;/D&gt;&lt;D xsi:type="xsd:double"&gt;609.73&lt;/D&gt;&lt;D xsi:type="xsd:double"&gt;603.36&lt;/D&gt;&lt;D xsi:type="xsd:double"&gt;605.31&lt;/D&gt;&lt;D xsi:type="xsd:double"&gt;604.85&lt;/D&gt;&lt;D xsi:type="xsd:double"&gt;600.77&lt;/D&gt;&lt;D xsi:type="xsd:double"&gt;606.32&lt;/D&gt;&lt;D xsi:type="xsd:double"&gt;604.22&lt;/D&gt;&lt;/FQL&gt;&lt;FQL&gt;&lt;Q&gt;EPU^FG_PRICE(0,-200D)&lt;/Q&gt;&lt;R&gt;201&lt;/R&gt;&lt;C&gt;1&lt;/C&gt;&lt;D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xsi:type="xsd:double"&gt;44.8&lt;/D&gt;&lt;D xsi:type="xsd:double"&gt;44.6021&lt;/D&gt;&lt;D xsi:type="xsd:double"&gt;44.4285&lt;/D&gt;&lt;D xsi:type="xsd:double"&gt;44.55&lt;/D&gt;&lt;D xsi:type="xsd:double"&gt;43.98&lt;/D&gt;&lt;D xsi:type="xsd:double"&gt;43.836&lt;/D&gt;&lt;D xsi:type="xsd:double"&gt;43.48&lt;/D&gt;&lt;D xsi:type="xsd:double"&gt;43.2&lt;/D&gt;&lt;D xsi:type="xsd:double"&gt;43.3511&lt;/D&gt;&lt;D xsi:type="xsd:double"&gt;43.15&lt;/D&gt;&lt;D xsi:type="xsd:double"&gt;43.14&lt;/D&gt;&lt;D xsi:type="xsd:double"&gt;42.085&lt;/D&gt;&lt;D xsi:type="xsd:double"&gt;40.8059&lt;/D&gt;&lt;D xsi:type="xsd:double"&gt;41.46&lt;/D&gt;&lt;D xsi:type="xsd:double"&gt;38.53&lt;/D&gt;&lt;D xsi:type="xsd:double"&gt;39.07&lt;/D&gt;&lt;D xsi:type="xsd:double"&gt;40.05&lt;/D&gt;&lt;D xsi:type="xsd:double"&gt;43.42&lt;/D&gt;&lt;D xsi:type="xsd:double"&gt;44.85&lt;/D&gt;&lt;D xsi:type="xsd:double"&gt;44.57&lt;/D&gt;&lt;D xsi:type="xsd:double"&gt;43.89&lt;/D&gt;&lt;D xsi:type="xsd:double"&gt;44.2008&lt;/D&gt;&lt;D xsi:type="xsd:double"&gt;44.86&lt;/D&gt;&lt;D xsi:type="xsd:double"&gt;44.4931&lt;/D&gt;&lt;D xsi:type="xsd:double"&gt;45.2331&lt;/D&gt;&lt;D xsi:type="xsd:double"&gt;44.6&lt;/D&gt;&lt;D xsi:type="xsd:double"&gt;44.66&lt;/D&gt;&lt;D xsi:type="xsd:double"&gt;44.5894&lt;/D&gt;&lt;D xsi:type="xsd:double"&gt;44.48&lt;/D&gt;&lt;D xsi:type="xsd:double"&gt;44.2814&lt;/D&gt;&lt;D xsi:type="xsd:double"&gt;44.12&lt;/D&gt;&lt;D xsi:type="xsd:double"&gt;43.37&lt;/D&gt;&lt;D xsi:type="xsd:double"&gt;42.25&lt;/D&gt;&lt;D xsi:type="xsd:double"&gt;41.7471&lt;/D&gt;&lt;D xsi:type="xsd:double"&gt;41.1012&lt;/D&gt;&lt;D xsi:type="xsd:double"&gt;40.6935&lt;/D&gt;&lt;D xsi:type="xsd:double"&gt;41.5776&lt;/D&gt;&lt;D xsi:type="xsd:double"&gt;41.46&lt;/D&gt;&lt;D xsi:type="xsd:double"&gt;41.4694&lt;/D&gt;&lt;D xsi:type="xsd:double"&gt;40.4409&lt;/D&gt;&lt;D xsi:type="xsd:double"&gt;40.5245&lt;/D&gt;&lt;D xsi:type="xsd:double"&gt;40.9415&lt;/D&gt;&lt;D xsi:type="xsd:double"&gt;40.6676&lt;/D&gt;&lt;D xsi:type="xsd:double"&gt;41.4594&lt;/D&gt;&lt;D xsi:type="xsd:double"&gt;40.996&lt;/D&gt;&lt;D xsi:type="xsd:double"&gt;41.0138&lt;/D&gt;&lt;D xsi:type="xsd:double"&gt;41.09&lt;/D&gt;&lt;D xsi:type="xsd:double"&gt;42.13&lt;/D&gt;&lt;D xsi:type="xsd:double"&gt;41.6891&lt;/D&gt;&lt;D xsi:type="xsd:double"&gt;42.0243&lt;/D&gt;&lt;D xsi:type="xsd:double"&gt;42.28&lt;/D&gt;&lt;D xsi:type="xsd:double"&gt;42.18&lt;/D&gt;&lt;D xsi:type="xsd:double"&gt;41.7901&lt;/D&gt;&lt;D xsi:type="xsd:double"&gt;41.3003&lt;/D&gt;&lt;D xsi:type="xsd:double"&gt;42.41&lt;/D&gt;&lt;D xsi:type="xsd:double"&gt;41.8581&lt;/D&gt;&lt;D xsi:type="xsd:double"&gt;42.06&lt;/D&gt;&lt;D xsi:type="xsd:double"&gt;41.45&lt;/D&gt;&lt;/FQL&gt;&lt;FQL&gt;&lt;Q&gt;EWD^FG_TOTAL_RETURNC(-5AY,0,AM)&lt;/Q&gt;&lt;R&gt;61&lt;/R&gt;&lt;C&gt;1&lt;/C&gt;&lt;D xsi:type="xsd:double"&gt;6.8051457&lt;/D&gt;&lt;D xsi:type="xsd:double"&gt;3.274858&lt;/D&gt;&lt;D xsi:type="xsd:double"&gt;4.2186737&lt;/D&gt;&lt;D xsi:type="xsd:double"&gt;3.4251451&lt;/D&gt;&lt;D xsi:type="xsd:double"&gt;3.3117175&lt;/D&gt;&lt;D xsi:type="xsd:double"&gt;4.5505404&lt;/D&gt;&lt;D xsi:type="xsd:double"&gt;3.4305334&lt;/D&gt;&lt;D xsi:type="xsd:double"&gt;-3.1441033&lt;/D&gt;&lt;D xsi:type="xsd:double"&gt;1.3140559&lt;/D&gt;&lt;D xsi:type="xsd:double"&gt;1.9887686&lt;/D&gt;&lt;D xsi:type="xsd:double"&gt;-3.1793118&lt;/D&gt;&lt;D xsi:type="xsd:double"&gt;4.575312&lt;/D&gt;&lt;D xsi:type="xsd:double"&gt;-0.083738565&lt;/D&gt;&lt;D xsi:type="xsd:double"&gt;-5.3955736&lt;/D&gt;&lt;D xsi:type="xsd:double"&gt;-1.3665378&lt;/D&gt;&lt;D xsi:type="xsd:double"&gt;-8.337188&lt;/D&gt;&lt;D xsi:type="xsd:double"&gt;1.1874676&lt;/D&gt;&lt;D xsi:type="xsd:double"&gt;-2.3970008&lt;/D&gt;&lt;D xsi:type="xsd:double"&gt;-10.770017&lt;/D&gt;&lt;D xsi:type="xsd:double"&gt;-8.521795&lt;/D&gt;&lt;D xsi:type="xsd:double"&gt;2.8700352&lt;/D&gt;&lt;D xsi:type="xsd:double"&gt;1.0971785&lt;/D&gt;&lt;D xsi:type="xsd:double"&gt;-11.5969&lt;/D&gt;&lt;D xsi:type="xsd:double"&gt;-2.6657343&lt;/D&gt;&lt;D xsi:type="xsd:double"&gt;17.621624&lt;/D&gt;&lt;D xsi:type="xsd:double"&gt;-0.66078305&lt;/D&gt;&lt;D xsi:type="xsd:double"&gt;10.049618&lt;/D&gt;&lt;D xsi:type="xsd:double"&gt;0.90191364&lt;/D&gt;&lt;D xsi:type="xsd:double"&gt;-5.6703863&lt;/D&gt;&lt;D xsi:type="xsd:double"&gt;7.9360366&lt;/D&gt;&lt;D xsi:type="xsd:double"&gt;-0.4389584&lt;/D&gt;&lt;D xsi:type="xsd:double"&gt;-3.692478&lt;/D&gt;&lt;D xsi:type="xsd:double"&gt;2.374816&lt;/D&gt;&lt;D xsi:type="xsd:double"&gt;-8.524311&lt;/D&gt;&lt;D xsi:type="xsd:double"&gt;0.94714165&lt;/D&gt;&lt;D xsi:type="xsd:double"&gt;-3.8740933&lt;/D&gt;&lt;D xsi:type="xsd:double"&gt;12.846351&lt;/D&gt;&lt;D xsi:type="xsd:double"&gt;10.360479&lt;/D&gt;&lt;D xsi:type="xsd:double"&gt;-5.6735697&lt;/D&gt;&lt;D xsi:type="xsd:double"&gt;6.6739917&lt;/D&gt;&lt;D xsi:type="xsd:double"&gt;5.2523136&lt;/D&gt;&lt;D xsi:type="xsd:double"&gt;-6.3600836&lt;/D&gt;&lt;D xsi:type="xsd:double"&gt;8.751308&lt;/D&gt;&lt;D xsi:type="xsd:double"&gt;-1.0979712&lt;/D&gt;&lt;D xsi:type="xsd:double"&gt;-1.135242&lt;/D&gt;&lt;D xsi:type="xsd:double"&gt;2.5961041&lt;/D&gt;&lt;D xsi:type="xsd:double"&gt;2.773726&lt;/D&gt;&lt;D xsi:type="xsd:double"&gt;-2.4621248&lt;/D&gt;&lt;D xsi:type="xsd:double"&gt;-8.300978&lt;/D&gt;&lt;D xsi:type="xsd:double"&gt;-1.0852277&lt;/D&gt;&lt;D xsi:type="xsd:double"&gt;5.0040245&lt;/D&gt;&lt;D xsi:type="xsd:double"&gt;12.512743&lt;/D&gt;&lt;D xsi:type="xsd:double"&gt;0.5888939&lt;/D&gt;&lt;D xsi:type="xsd:double"&gt;-5.6518793&lt;/D&gt;&lt;D xsi:type="xsd:double"&gt;10.6205225&lt;/D&gt;&lt;D xsi:type="xsd:double"&gt;-3.3533692&lt;/D&gt;&lt;D xsi:type="xsd:double"&gt;1.9173741&lt;/D&gt;&lt;D xsi:type="xsd:double"&gt;4.031348&lt;/D&gt;&lt;D xsi:type="xsd:double"&gt;2.1097898&lt;/D&gt;&lt;D xsi:type="xsd:double"&gt;1.3915181&lt;/D&gt;&lt;D xsi:type="xsd:double"&gt;-5.6352673&lt;/D&gt;&lt;/FQL&gt;&lt;FQL&gt;&lt;Q&gt;EWG^FG_TOTAL_RETURNC(-5AY,0,AM)&lt;/Q&gt;&lt;R&gt;61&lt;/R&gt;&lt;C&gt;1&lt;/C&gt;&lt;D xsi:type="xsd:double"&gt;2.0345926&lt;/D&gt;&lt;D xsi:type="xsd:double"&gt;7.8220844&lt;/D&gt;&lt;D xsi:type="xsd:double"&gt;1.2796521&lt;/D&gt;&lt;D xsi:type="xsd:double"&gt;0.7395983&lt;/D&gt;&lt;D xsi:type="xsd:double"&gt;1.6824841&lt;/D&gt;&lt;D xsi:type="xsd:double"&gt;4.512632&lt;/D&gt;&lt;D xsi:type="xsd:double"&gt;2.3891687&lt;/D&gt;&lt;D xsi:type="xsd:double"&gt;-1.7032444&lt;/D&gt;&lt;D xsi:type="xsd:dou</t>
        </r>
      </text>
    </comment>
    <comment ref="A10" authorId="0" shapeId="0" xr:uid="{8C854ABA-07E2-4C33-89C5-3B91F2632911}">
      <text>
        <r>
          <rPr>
            <b/>
            <sz val="9"/>
            <color indexed="81"/>
            <rFont val="Tahoma"/>
            <charset val="1"/>
          </rPr>
          <t>ble"&gt;-1.8906355&lt;/D&gt;&lt;D xsi:type="xsd:double"&gt;2.608955&lt;/D&gt;&lt;D xsi:type="xsd:double"&gt;-4.1895447&lt;/D&gt;&lt;D xsi:type="xsd:double"&gt;1.4173746&lt;/D&gt;&lt;D xsi:type="xsd:double"&gt;0.47576427&lt;/D&gt;&lt;D xsi:type="xsd:double"&gt;-5.4302573&lt;/D&gt;&lt;D xsi:type="xsd:double"&gt;3.0269861&lt;/D&gt;&lt;D xsi:type="xsd:double"&gt;-4.411763&lt;/D&gt;&lt;D xsi:type="xsd:double"&gt;-7.3397455&lt;/D&gt;&lt;D xsi:type="xsd:double"&gt;-4.150814&lt;/D&gt;&lt;D xsi:type="xsd:double"&gt;-5.846262&lt;/D&gt;&lt;D xsi:type="xsd:double"&gt;-6.470352&lt;/D&gt;&lt;D xsi:type="xsd:double"&gt;-3.168565&lt;/D&gt;&lt;D xsi:type="xsd:double"&gt;0.3054142&lt;/D&gt;&lt;D xsi:type="xsd:double"&gt;-7.3945165&lt;/D&gt;&lt;D xsi:type="xsd:double"&gt;-2.630347&lt;/D&gt;&lt;D xsi:type="xsd:double"&gt;20.260502&lt;/D&gt;&lt;D xsi:type="xsd:double"&gt;-1.0899186&lt;/D&gt;&lt;D xsi:type="xsd:double"&gt;12.657202&lt;/D&gt;&lt;D xsi:type="xsd:double"&gt;1.3683796&lt;/D&gt;&lt;D xsi:type="xsd:double"&gt;-4.511547&lt;/D&gt;&lt;D xsi:type="xsd:double"&gt;7.849705&lt;/D&gt;&lt;D xsi:type="xsd:double"&gt;1.1383176&lt;/D&gt;&lt;D xsi:type="xsd:double"&gt;-0.30283928&lt;/D&gt;&lt;D xsi:type="xsd:double"&gt;2.0386696&lt;/D&gt;&lt;D xsi:type="xsd:double"&gt;-5.4770947&lt;/D&gt;&lt;D xsi:type="xsd:double"&gt;-1.457727&lt;/D&gt;&lt;D xsi:type="xsd:double"&gt;-6.841719&lt;/D&gt;&lt;D xsi:type="xsd:double"&gt;11.433101&lt;/D&gt;&lt;D xsi:type="xsd:double"&gt;3.9598346&lt;/D&gt;&lt;D xsi:type="xsd:double"&gt;-0.9938359&lt;/D&gt;&lt;D xsi:type="xsd:double"&gt;2.38837&lt;/D&gt;&lt;D xsi:type="xsd:double"&gt;6.3218474&lt;/D&gt;&lt;D xsi:type="xsd:double"&gt;-4.5786977&lt;/D&gt;&lt;D xsi:type="xsd:double"&gt;7.897365&lt;/D&gt;&lt;D xsi:type="xsd:double"&gt;-3.957349&lt;/D&gt;&lt;D xsi:type="xsd:double"&gt;1.7133474&lt;/D&gt;&lt;D xsi:type="xsd:double"&gt;2.7210832&lt;/D&gt;&lt;D xsi:type="xsd:double"&gt;3.0905008&lt;/D&gt;&lt;D xsi:type="xsd:double"&gt;2.0495653&lt;/D&gt;&lt;D xsi:type="xsd:double"&gt;-6.0551586&lt;/D&gt;&lt;D xsi:type="xsd:double"&gt;2.1059394&lt;/D&gt;&lt;D xsi:type="xsd:double"&gt;3.5937548&lt;/D&gt;&lt;D xsi:type="xsd:double"&gt;9.170425&lt;/D&gt;&lt;D xsi:type="xsd:double"&gt;5.996132&lt;/D&gt;&lt;D xsi:type="xsd:double"&gt;-2.5026023&lt;/D&gt;&lt;D xsi:type="xsd:double"&gt;11.684489&lt;/D&gt;&lt;D xsi:type="xsd:double"&gt;-1.8284261&lt;/D&gt;&lt;D xsi:type="xsd:double"&gt;4.4372797&lt;/D&gt;&lt;D xsi:type="xsd:double"&gt;0.6171346&lt;/D&gt;&lt;D xsi:type="xsd:double"&gt;-2.7600825&lt;/D&gt;&lt;D xsi:type="xsd:double"&gt;1.6011596&lt;/D&gt;&lt;D xsi:type="xsd:double"&gt;-7.13945&lt;/D&gt;&lt;/FQL&gt;&lt;FQL&gt;&lt;Q&gt;EWW^FG_TOTAL_RETURNC(-5AY,0,AM)&lt;/Q&gt;&lt;R&gt;61&lt;/R&gt;&lt;C&gt;1&lt;/C&gt;&lt;D xsi:type="xsd:double"&gt;14.838696&lt;/D&gt;&lt;D xsi:type="xsd:double"&gt;4.893434&lt;/D&gt;&lt;D xsi:type="xsd:double"&gt;4.0288568&lt;/D&gt;&lt;D xsi:type="xsd:double"&gt;-5.548006&lt;/D&gt;&lt;D xsi:type="xsd:double"&gt;5.0587416&lt;/D&gt;&lt;D xsi:type="xsd:double"&gt;5.522597&lt;/D&gt;&lt;D xsi:type="xsd:double"&gt;3.9576054&lt;/D&gt;&lt;D xsi:type="xsd:double"&gt;-1.837188&lt;/D&gt;&lt;D xsi:type="xsd:double"&gt;0.10678768&lt;/D&gt;&lt;D xsi:type="xsd:double"&gt;3.584385&lt;/D&gt;&lt;D xsi:type="xsd:double"&gt;0.49433708&lt;/D&gt;&lt;D xsi:type="xsd:double"&gt;2.6439905&lt;/D&gt;&lt;D xsi:type="xsd:double"&gt;-5.6110263&lt;/D&gt;&lt;D xsi:type="xsd:double"&gt;3.797996&lt;/D&gt;&lt;D xsi:type="xsd:double"&gt;2.5837064&lt;/D&gt;&lt;D xsi:type="xsd:double"&gt;1.1686444&lt;/D&gt;&lt;D xsi:type="xsd:double"&gt;4.740095&lt;/D&gt;&lt;D xsi:type="xsd:double"&gt;0.3422737&lt;/D&gt;&lt;D xsi:type="xsd:double"&gt;-3.1457245&lt;/D&gt;&lt;D xsi:type="xsd:double"&gt;-8.994943&lt;/D&gt;&lt;D xsi:type="xsd:double"&gt;-0.7203698&lt;/D&gt;&lt;D xsi:type="xsd:double"&gt;4.4415116&lt;/D&gt;&lt;D xsi:type="xsd:double"&gt;-1.3263166&lt;/D&gt;&lt;D xsi:type="xsd:double"&gt;-1.2588024&lt;/D&gt;&lt;D xsi:type="xsd:double"&gt;15.276575&lt;/D&gt;&lt;D xsi:type="xsd:double"&gt;-3.7285566&lt;/D&gt;&lt;D xsi:type="xsd:double"&gt;12.99423&lt;/D&gt;&lt;D xsi:type="xsd:double"&gt;2.93653&lt;/D&gt;&lt;D xsi:type="xsd:double"&gt;-5.739665&lt;/D&gt;&lt;D xsi:type="xsd:double"&gt;8.698797&lt;/D&gt;&lt;D xsi:type="xsd:double"&gt;1.6005278&lt;/D&gt;&lt;D xsi:type="xsd:double"&gt;3.930688&lt;/D&gt;&lt;D xsi:type="xsd:double"&gt;0.41356087&lt;/D&gt;&lt;D xsi:type="xsd:double"&gt;-2.0275652&lt;/D&gt;&lt;D xsi:type="xsd:double"&gt;-1.1964381&lt;/D&gt;&lt;D xsi:type="xsd:double"&gt;-12.829322&lt;/D&gt;&lt;D xsi:type="xsd:double"&gt;17.965078&lt;/D&gt;&lt;D xsi:type="xsd:double"&gt;7.5544953&lt;/D&gt;&lt;D xsi:type="xsd:double"&gt;-2.163452&lt;/D&gt;&lt;D xsi:type="xsd:double"&gt;3.3630133&lt;/D&gt;&lt;D xsi:type="xsd:double"&gt;0.8914113&lt;/D&gt;&lt;D xsi:type="xsd:double"&gt;-4.447067&lt;/D&gt;&lt;D xsi:type="xsd:double"&gt;6.118047&lt;/D&gt;&lt;D xsi:type="xsd:double"&gt;-16.279137&lt;/D&gt;&lt;D xsi:type="xsd:double"&gt;2.483821&lt;/D&gt;&lt;D xsi:type="xsd:double"&gt;-4.403484&lt;/D&gt;&lt;D xsi:type="xsd:double"&gt;-3.6243498&lt;/D&gt;&lt;D xsi:type="xsd:double"&gt;0.037050247&lt;/D&gt;&lt;D xsi:type="xsd:double"&gt;-6.870371&lt;/D&gt;&lt;D xsi:type="xsd:double"&gt;0.27130842&lt;/D&gt;&lt;D xsi:type="xsd:double"&gt;-2.8647363&lt;/D&gt;&lt;D xsi:type="xsd:double"&gt;11.354542&lt;/D&gt;&lt;D xsi:type="xsd:double"&gt;-1.135081&lt;/D&gt;&lt;D xsi:type="xsd:double"&gt;5.1090717&lt;/D&gt;&lt;D xsi:type="xsd:double"&gt;10.19479&lt;/D&gt;&lt;D xsi:type="xsd:double"&gt;-2.2595167&lt;/D&gt;&lt;D xsi:type="xsd:double"&gt;2.3231745&lt;/D&gt;&lt;D xsi:type="xsd:double"&gt;2.8758764&lt;/D&gt;&lt;D xsi:type="xsd:double"&gt;8.059502&lt;/D&gt;&lt;D xsi:type="xsd:double"&gt;-0.24205446&lt;/D&gt;&lt;D xsi:type="xsd:double"&gt;0.121319294&lt;/D&gt;&lt;/FQL&gt;&lt;FQL&gt;&lt;Q&gt;QQQ^FG_PRICE(0,-200D)&lt;/Q&gt;&lt;R&gt;201&lt;/R&gt;&lt;C&gt;1&lt;/C&gt;&lt;D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xsi:type="xsd:double"&gt;475.53&lt;/D&gt;&lt;D xsi:type="xsd:double"&gt;472.41&lt;/D&gt;&lt;D xsi:type="xsd:double"&gt;472.56&lt;/D&gt;&lt;D xsi:type="xsd:double"&gt;467.35&lt;/D&gt;&lt;D xsi:type="xsd:double"&gt;454.56&lt;/D&gt;&lt;D xsi:type="xsd:double"&gt;444.48&lt;/D&gt;&lt;D xsi:type="xsd:double"&gt;433.11&lt;/D&gt;&lt;D xsi:type="xsd:double"&gt;444.1&lt;/D&gt;&lt;D xsi:type="xsd:double"&gt;444.18&lt;/D&gt;&lt;D xsi:type="xsd:double"&gt;457.99&lt;/D&gt;&lt;D xsi:type="xsd:double"&gt;457.48&lt;/D&gt;&lt;D xsi:type="xsd:double"&gt;454.4&lt;/D&gt;&lt;D xsi:type="xsd:double"&gt;446.18&lt;/D&gt;&lt;D xsi:type="xsd:double"&gt;466&lt;/D&gt;&lt;D xsi:type="xsd:double"&gt;416.06&lt;/D&gt;&lt;D xsi:type="xsd:double"&gt;423.69&lt;/D&gt;&lt;D xsi:type="xsd:double"&gt;422.67&lt;/D&gt;&lt;D xsi:type="xsd:double"&gt;450.66&lt;/D&gt;&lt;D xsi:type="xsd:double"&gt;476.15&lt;/D&gt;&lt;D xsi:type="xsd:double"&gt;472.7&lt;/D&gt;&lt;D xsi:type="xsd:double"&gt;468.92&lt;/D&gt;&lt;D xsi:type="xsd:double"&gt;468.94&lt;/D&gt;&lt;D xsi:type="xsd:double"&gt;481.62&lt;/D&gt;&lt;D xsi:type="xsd:double"&gt;484.38&lt;/D&gt;&lt;D xsi:type="xsd:double"&gt;493.46&lt;/D&gt;&lt;D xsi:type="xsd:double"&gt;490.66&lt;/D&gt;&lt;D xsi:type="xsd:double"&gt;480.84&lt;/D&gt;&lt;D xsi:type="xsd:double"&gt;479.26&lt;/D&gt;&lt;D xsi:type="xsd:double"&gt;480.89&lt;/D&gt;&lt;D xsi:type="xsd:double"&gt;474.54&lt;/D&gt;&lt;D xsi:type="xsd:double"&gt;482.77&lt;/D&gt;&lt;D xsi:type="xsd:double"&gt;479.66&lt;/D&gt;&lt;D xsi:type="xsd:double"&gt;468.34&lt;/D&gt;&lt;D xsi:type="xsd:double"&gt;476.92&lt;/D&gt;&lt;D xsi:type="xsd:double"&gt;471.6&lt;/D&gt;&lt;D xsi:type="xsd:double"&gt;472.73&lt;/D&gt;&lt;D xsi:type="xsd:double"&gt;491.79&lt;/D&gt;&lt;D xsi:type="xsd:double"&gt;488.2&lt;/D&gt;&lt;D xsi:type="xsd:double"&gt;502.01&lt;/D&gt;&lt;D xsi:type="xsd:double"&gt;495.55&lt;/D&gt;&lt;D xsi:type="xsd:double"&gt;497.05&lt;/D&gt;&lt;D xsi:type="xsd:double"&gt;508.17&lt;/D&gt;&lt;D xsi:type="xsd:double"&gt;500.27&lt;/D&gt;&lt;D xsi:type="xsd:double"&gt;514.56&lt;/D&gt;&lt;D xsi:type="xsd:double"&gt;513.32&lt;/D&gt;&lt;D xsi:type="xsd:double"&gt;519.87&lt;/D&gt;&lt;D xsi:type="xsd:double"&gt;526.08&lt;/D&gt;&lt;D xsi:type="xsd:double"&gt;537.23&lt;/D&gt;&lt;D xsi:type="xsd:double"&gt;539.52&lt;/D&gt;&lt;D xsi:type="xsd:double"&gt;539.37&lt;/D&gt;&lt;D xsi:type="xsd:double"&gt;538.15&lt;/D&gt;&lt;D xsi:type="xsd:double"&gt;535.9&lt;/D&gt;&lt;D xsi:type="xsd:double"&gt;528.3&lt;/D&gt;&lt;D xsi:type="xsd:double"&gt;527.99&lt;/D&gt;&lt;D xsi:type="xsd:double"&gt;529.25&lt;/D&gt;&lt;D xsi:type="xsd:double"&gt;522.92&lt;/D&gt;&lt;D xsi:type="xsd:double"&gt;529.6&lt;/D&gt;&lt;D xsi:type="xsd:double"&gt;526.85&lt;/D&gt;&lt;/FQL&gt;&lt;FQL&gt;&lt;Q&gt;EPOL^FG_PRICE(0,-200D)&lt;/Q&gt;&lt;R&gt;201&lt;/R&gt;&lt;C&gt;1&lt;/C&gt;&lt;D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xsi:type="xsd:double"&gt;30.3&lt;/D&gt;&lt;D xsi:type="xsd:double"&gt;30.3&lt;/D&gt;&lt;D xsi:type="xsd:double"&gt;30.04&lt;/D&gt;&lt;D xsi:type="xsd:double"&gt;30.19&lt;/D&gt;&lt;D xsi:type="xsd:double"&gt;29.43&lt;/D&gt;&lt;D xsi:type="xsd:double"&gt;29.25&lt;/D&gt;&lt;D xsi:type="xsd:double"&gt;28.63&lt;/D&gt;&lt;D xsi:type="xsd:double"&gt;28.29&lt;/D&gt;&lt;D xsi:type="xsd:double"&gt;27.74&lt;/D&gt;&lt;D xsi:type="xsd:double"&gt;27.58&lt;/D&gt;&lt;D xsi:type="xsd:double"&gt;27.59&lt;/D&gt;&lt;D xsi:type="xsd:double"&gt;27.25&lt;/D&gt;&lt;D xsi:type="xsd:double"&gt;26.93&lt;/D&gt;&lt;D xsi:type="xsd:double"&gt;27.69&lt;/D&gt;&lt;D xsi:type="xsd:double"&gt;24.7&lt;/D&gt;&lt;D xsi:type="xsd:double"&gt;24.54&lt;/D&gt;&lt;D xsi:type="xsd:double"&gt;25.14&lt;/D&gt;&lt;D xsi:type="xsd:double"&gt;27.51&lt;/D&gt;&lt;D xsi:type="xsd:double"&gt;28.79&lt;/D&gt;&lt;D xsi:type="xsd:double"&gt;28.28&lt;/D&gt;&lt;D xsi:type="xsd:double"&gt;28.01&lt;/D&gt;&lt;D xsi:type="xsd:double"&gt;28.43&lt;/D&gt;&lt;D xsi:type="xsd:double"&gt;28.69&lt;/D&gt;&lt;D xsi:type="xsd:double"&gt;28.42&lt;/D&gt;&lt;D xsi:type="xsd:double"&gt;29.11&lt;/D&gt;&lt;D xsi:type="xsd:double"&gt;28.56&lt;/D&gt;&lt;D xsi:type="xsd:double"&gt;28.13&lt;/D&gt;&lt;D xsi:type="xsd:double"&gt;28.35&lt;/D&gt;&lt;D xsi:type="xsd:double"&gt;28.79&lt;/D&gt;&lt;D xsi:type="xsd:double"&gt;29.15&lt;/D&gt;&lt;D xsi:type="xsd:double"&gt;29.01&lt;/D&gt;&lt;D xsi:type="xsd:double"&gt;28.5&lt;/D&gt;&lt;D xsi:type="xsd:double"&gt;27.58&lt;/D&gt;&lt;D xsi:type="xsd:double"&gt;27.17&lt;/D&gt;&lt;D xsi:type="xsd:double"&gt;26.88&lt;/D&gt;&lt;D xsi:type="xsd:double"&gt;26.44&lt;/D&gt;&lt;D xsi:type="xsd:double"&gt;27.42&lt;/D&gt;&lt;D xsi:type="xsd:double"&gt;26.86&lt;/D&gt;&lt;D xsi:type="xsd:double"&gt;26.92&lt;/D&gt;&lt;D xsi:type="xsd:double"&gt;25.51&lt;/D&gt;&lt;D xsi:type="xsd:double"&gt;25.68&lt;/D&gt;&lt;D xsi:type="xsd:double"&gt;25.28&lt;/D&gt;&lt;D xsi:type="xsd:double"&gt;25.55&lt;/D&gt;&lt;D xsi:type="xsd:double"&gt;26.18&lt;/D&gt;&lt;D xsi:type="xsd:double"&gt;25.95&lt;/D&gt;&lt;D xsi:type="xsd:double"&gt;25.62&lt;/D&gt;&lt;D xsi:type="xsd:double"&gt;25.99&lt;/D&gt;&lt;D xsi:type="xsd:double"&gt;26.19&lt;/D&gt;&lt;D xsi:type="xsd:double"&gt;26.12&lt;/D&gt;&lt;D xsi:type="xsd:double"&gt;26.74&lt;/D&gt;&lt;D xsi:type="xsd:double"&gt;25.77&lt;/D&gt;&lt;D xsi:type="xsd:double"&gt;25.86&lt;/D&gt;&lt;D xsi:type="xsd:double"&gt;25.67&lt;/D&gt;&lt;D xsi:type="xsd:double"&gt;25.16&lt;/D&gt;&lt;D xsi:type="xsd:double"&gt;24.56&lt;/D&gt;&lt;D xsi:type="xsd:double"&gt;24.3&lt;/D&gt;&lt;D xsi:type="xsd:double"&gt;24.2&lt;/D&gt;&lt;D xsi:type="xsd:double"&gt;23.57&lt;/D&gt;&lt;/FQL&gt;&lt;FQL&gt;&lt;Q&gt;EWC^FG_TOTAL_RETURNC(-5AY,0,AM)&lt;/Q&gt;&lt;R&gt;61&lt;/R&gt;&lt;C&gt;1&lt;/C&gt;&lt;D xsi:type="xsd:double"&gt;5.6348085&lt;/D&gt;&lt;D xsi:type="xsd:double"&gt;5.9004784&lt;/D&gt;&lt;D xsi:type="xsd:double"&gt;3.9057374&lt;/D&gt;&lt;D xsi:type="xsd:double"&gt;2.6405811&lt;/D&gt;&lt;D xsi:type="xsd:double"&gt;4.1162252&lt;/D&gt;&lt;D xsi:type="xsd:double"&gt;0.23255348&lt;/D&gt;&lt;D xsi:type="xsd:double"&gt;8.294666&lt;/D&gt;&lt;D xsi:type="xsd:double"&gt;-0.65092444&lt;/D&gt;&lt;D xsi:type="xsd:double"&gt;-2.169782&lt;/D&gt;&lt;D xsi:type="xsd:double"&gt;1.1366725&lt;/D&gt;&lt;D xsi:type="xsd:double"&gt;-1.2883782&lt;/D&gt;&lt;D xsi:type="xsd:double"&gt;10.108316&lt;/D&gt;&lt;D xsi:type="xsd:double"&gt;-1.0088325&lt;/D&gt;&lt;D xsi:type="xsd:double"&gt;-6.396222&lt;/D&gt;&lt;D xsi:type="xsd:double"&gt;6.4516187&lt;/D&gt;&lt;D xsi:type="xsd:double"&gt;-2.2274017&lt;/D&gt;&lt;D xsi:type="xsd:double"&gt;5.3774834&lt;/D&gt;&lt;D xsi:type="xsd:double"&gt;1.4077425&lt;/D&gt;&lt;D xsi:type="xsd:double"&gt;-10.23798&lt;/D&gt;&lt;D xsi:type="xsd:double"&gt;-7.32311&lt;/D&gt;&lt;D xsi:type="xsd:double"&gt;1.7412186&lt;/D&gt;&lt;D xsi:type="xsd:double"&gt;4.839182&lt;/D&gt;&lt;D xsi:type="xsd:double"&gt;-6.1919394&lt;/D&gt;&lt;D xsi:type="xsd:double"&gt;-6.480652&lt;/D&gt;&lt;D xsi:type="xsd:double"&gt;10.8116865&lt;/D&gt;&lt;D xsi:type="xsd:double"&gt;-4.7113657&lt;/D&gt;&lt;D xsi:type="xsd:double"&gt;8.199751&lt;/D&gt;&lt;D xsi:type="xsd:double"&gt;-0.31338334&lt;/D&gt;&lt;D xsi:type="xsd:double"&gt;-6.2303543&lt;/D&gt;&lt;D xsi:type="xsd:double"&gt;7.467222&lt;/D&gt;&lt;D xsi:type="xsd:double"&gt;-1.3613164&lt;/D&gt;&lt;D xsi:type="xsd:double"&gt;-0.497061&lt;/D&gt;&lt;D xsi:type="xsd:double"&gt;4.144776&lt;/D&gt;&lt;D xsi:type="xsd:double"&gt;-5.465251&lt;/D&gt;&lt;D xsi:type="xsd:double"&gt;3.0536532&lt;/D&gt;&lt;D xsi:type="xsd:double"&gt;-6.5592585&lt;/D&gt;&lt;D xsi:type="xsd:double"&gt;6.3115716&lt;/D&gt;&lt;D xsi:type="xsd:double"&gt;4.679632&lt;/D&gt;&lt;D xsi:type="xsd:double"&gt;1.2058377&lt;/D&gt;&lt;D xsi:type="xsd:double"&gt;1.2468815&lt;/D&gt;&lt;D xsi:type="xsd:double"&gt;4.7071576&lt;/D&gt;&lt;D xsi:type="xsd:double"&gt;-3.005743&lt;/D&gt;&lt;D xsi:type="xsd:double"&gt;4.0689826&lt;/D&gt;&lt;D xsi:type="xsd:double"&gt;-4.48997&lt;/D&gt;&lt;D xsi:type="xsd:double"&gt;5.035579&lt;/D&gt;&lt;D xsi:type="xsd:double"&gt;2.787912&lt;/D&gt;&lt;D xsi:type="xsd:double"&gt;4.2078614&lt;/D&gt;&lt;D xsi:type="xsd:double"&gt;2.2622228&lt;/D&gt;&lt;D xsi:type="xsd:double"&gt;0.40436983&lt;/D&gt;&lt;D xsi:type="xsd:double"&gt;-4.131925&lt;/D&gt;&lt;D xsi:type="xsd:double"&gt;1.5527129&lt;/D&gt;&lt;D xsi:type="xsd:double"&gt;4.118383&lt;/D&gt;&lt;D xsi:type="xsd:double"&gt;-2.8185725&lt;/D&gt;&lt;D xsi:type="xsd:double"&gt;0.17060041&lt;/D&gt;&lt;D xsi:type="xsd:double"&gt;7.518244&lt;/D&gt;&lt;D xsi:type="xsd:double"&gt;2.741623&lt;/D&gt;&lt;D xsi:type="xsd:double"&gt;3.3037782&lt;/D&gt;&lt;D xsi:type="xsd:double"&gt;1.1161208&lt;/D&gt;&lt;D xsi:type="xsd:double"&gt;7.6841354&lt;/D&gt;&lt;D xsi:type="xsd:double"&gt;-0.019711256&lt;/D&gt;&lt;D xsi:type="xsd:double"&gt;-1.5970051&lt;/D&gt;&lt;/FQL&gt;&lt;FQL&gt;&lt;Q&gt;EZA^FG_PRICE(0,-200D)&lt;/Q&gt;&lt;R&gt;201&lt;/R&gt;&lt;C&gt;1&lt;/C&gt;&lt;D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xsi:type="xsd:double"&gt;49.14&lt;/D&gt;&lt;D xsi:type="xsd:double"&gt;49.09&lt;/D&gt;&lt;D xsi:type="xsd:double"&gt;48.38&lt;/D&gt;&lt;D xsi:type="xsd:double"&gt;47.96&lt;/D&gt;&lt;D xsi:type="xsd:double"&gt;47.55&lt;/D&gt;&lt;D xsi:type="xsd:double"&gt;48.16&lt;/D&gt;&lt;D xsi:type="xsd:double"&gt;47.6&lt;/D&gt;&lt;D xsi:type="xsd:double"&gt;47.9&lt;/D&gt;&lt;D xsi:type="xsd:double"&gt;47.43&lt;/D&gt;&lt;D xsi:type="xsd:double"&gt;47.1&lt;/D&gt;&lt;D xsi:type="xsd:double"&gt;47.22&lt;/D&gt;&lt;D xsi:type="xsd:double"&gt;45.62&lt;/D&gt;&lt;D xsi:type="xsd:double"&gt;43.94&lt;/D&gt;&lt;D xsi:type="xsd:double"&gt;44.27&lt;/D&gt;&lt;D xsi:type="xsd:double"&gt;40.54&lt;/D&gt;&lt;D xsi:type="xsd:double"&gt;40.77&lt;/D&gt;&lt;D xsi:type="xsd:double"&gt;41.29&lt;/D&gt;&lt;D xsi:type="xsd:double"&gt;44.88&lt;/D&gt;&lt;D xsi:type="xsd:double"&gt;46.65&lt;/D&gt;&lt;D xsi:type="xsd:double"&gt;48.1&lt;/D&gt;&lt;D xsi:type="xsd:double"&gt;48.13&lt;/D&gt;&lt;D xsi:type="xsd:double"&gt;47.6&lt;/D&gt;&lt;D xsi:type="xsd:double"&gt;48.21&lt;/D&gt;&lt;D xsi:type="xsd:double"&gt;48.16&lt;/D&gt;&lt;D xsi:type="xsd:double"&gt;47.93&lt;/D&gt;&lt;D xsi:type="xsd:double"&gt;47.71&lt;/D&gt;&lt;D xsi:type="xsd:double"&gt;47.6&lt;/D&gt;&lt;D xsi:type="xsd:double"&gt;48.03&lt;/D&gt;&lt;D xsi:type="xsd:double"&gt;48.77&lt;/D&gt;&lt;D xsi:type="xsd:double"&gt;47.69&lt;/D&gt;&lt;D xsi:type="xsd:double"&gt;47.74&lt;/D&gt;&lt;D xsi:type="xsd:double"&gt;47&lt;/D&gt;&lt;D xsi:type="xsd:double"&gt;45.86&lt;/D&gt;&lt;D xsi:type="xsd:double"&gt;45.97&lt;/D&gt;&lt;D xsi:type="xsd:double"&gt;46.31&lt;/D&gt;&lt;D xsi:type="xsd:double"&gt;45.77&lt;/D&gt;&lt;D xsi:type="xsd:double"&gt;46.84&lt;/D&gt;&lt;D xsi:type="xsd:double"&gt;46.57&lt;/D&gt;&lt;D xsi:type="xsd:double"&gt;46.39&lt;/D&gt;&lt;D xsi:type="xsd:double"&gt;45.07&lt;/D&gt;&lt;D xsi:type="xsd:double"&gt;44.54&lt;/D&gt;&lt;D xsi:type="xsd:double"&gt;44.4&lt;/D&gt;&lt;D xsi:type="xsd:double"&gt;45.21&lt;/D&gt;&lt;D xsi:type="xsd:double"&gt;46.1&lt;/D&gt;&lt;D xsi:type="xsd:double"&gt;46.13&lt;/D&gt;&lt;D xsi:type="xsd:double"&gt;46.06&lt;/D&gt;&lt;D xsi:type="xsd:double"&gt;46.58&lt;/D&gt;&lt;D xsi:type="xsd:double"&gt;46.83&lt;/D&gt;&lt;D xsi:type="xsd:double"&gt;46.22&lt;/D&gt;&lt;D xsi:type="xsd:double"&gt;46.73&lt;/D&gt;&lt;D xsi:type="xsd:double"&gt;46.21&lt;/D&gt;&lt;D xsi:type="xsd:double"&gt;46.08&lt;/D&gt;&lt;D xsi:type="xsd:double"&gt;45.88&lt;/D&gt;&lt;D xsi:type="xsd:double"&gt;45.66&lt;/D&gt;&lt;D xsi:type="xsd:double"&gt;46.05&lt;/D&gt;&lt;D xsi:type="xsd:double"&gt;45.43&lt;/D&gt;&lt;D xsi:type="xsd:double"&gt;45.61&lt;/D&gt;&lt;D xsi:type="xsd:double"&gt;44.84&lt;/D&gt;&lt;/FQL&gt;&lt;FQL&gt;&lt;Q&gt;EWA^FG_TOTAL_RETURNC(-5AY,0,AM)&lt;/Q&gt;&lt;R&gt;61&lt;/R&gt;&lt;C&gt;1&lt;/C&gt;&lt;D xsi:type="xsd:double"&gt;10.894942&lt;/D&gt;&lt;D xsi:type="xsd:double"&gt;6.112206&lt;/D&gt;&lt;D xsi:type="xsd:double"&gt;4.2100906&lt;/D&gt;&lt;D xsi:type="xsd:double"&gt;1.1600018&lt;/D&gt;&lt;D xsi:type="xsd:double"&gt;-2.4120212&lt;/D&gt;&lt;D xsi:type="xsd:double"&gt;3.849268&lt;/D&gt;&lt;D xsi:type="xsd:double"&gt;3.5505295&lt;/D&gt;&lt;D xsi:type="xsd:double"&gt;-0.63102245&lt;/D&gt;&lt;D xsi:type="xsd:double"&gt;-2.460587&lt;/D&gt;&lt;D xsi:type="xsd:double"&gt;-0.15767217&lt;/D&gt;&lt;D xsi:type="xsd:double"&gt;-2.1713376&lt;/D&gt;&lt;D xsi:type="xsd:double"&gt;7.4656963&lt;/D&gt;&lt;D xsi:type="xsd:double"&gt;-4.88171&lt;/D&gt;&lt;D xsi:type="xsd:double"&gt;-2.36786&lt;/D&gt;&lt;D xsi:type="xsd:double"&gt;1.0870337&lt;/D&gt;&lt;D xsi:type="xsd:double"&gt;-0.580436&lt;/D&gt;&lt;D xsi:type="xsd:double"&gt;7.1309447&lt;/D&gt;&lt;D xsi:type="xsd:double"&gt;4.3207407&lt;/D&gt;&lt;D xsi:type="xsd:double"&gt;-10.298502&lt;/D&gt;&lt;D xsi:type="xsd:double"&gt;-10.639328&lt;/D&gt;&lt;D xsi:type="xsd:double"&gt;3.5559773&lt;/D&gt;&lt;D xsi:type="xsd:double"&gt;4.8723936&lt;/D&gt;&lt;D xsi:type="xsd:double"&gt;-6.194687&lt;/D&gt;&lt;D xsi:type="xsd:double"&gt;-6.037736&lt;/D&gt;&lt;D xsi:type="xsd:double"&gt;14.257026&lt;/D&gt;&lt;D xsi:type="xsd:double"&gt;-1.3154626&lt;/D&gt;&lt;D xsi:type="xsd:double"&gt;10.566891&lt;/D&gt;&lt;D xsi:type="xsd:double"&gt;-2.8301835&lt;/D&gt;&lt;D xsi:type="xsd:double"&gt;-6.373996&lt;/D&gt;&lt;D xsi:type="xsd:double"&gt;5.951309&lt;/D&gt;&lt;D xsi:type="xsd:double"&gt;-2.1276593&lt;/D&gt;&lt;D xsi:type="xsd:double"&gt;3.1748772&lt;/D&gt;&lt;D xsi:type="xsd:double"&gt;-0.30056238&lt;/D&gt;&lt;D xsi:type="xsd:double"&gt;-7.5796723&lt;/D&gt;&lt;D xsi:type="xsd:double"&gt;2.7493&lt;/D&gt;&lt;D xsi:type="xsd:double"&gt;-6.4399123&lt;/D&gt;&lt;D xsi:type="xsd:double"&gt;8.385849&lt;/D&gt;&lt;D xsi:type="xsd:double"&gt;8.176649&lt;/D&gt;&lt;D xsi:type="xsd:double"&gt;-1.7721534&lt;/D&gt;&lt;D xsi:type="xsd:double"&gt;2.0188928&lt;/D&gt;&lt;D xsi:type="xsd:double"&gt;2.821052&lt;/D&gt;&lt;D xsi:type="xsd:double"&gt;-4.340702&lt;/D&gt;&lt;D xsi:type="xsd:double"&gt;7.4058175&lt;/D&gt;&lt;D xsi:type="xsd:double"&gt;-0.6112993&lt;/D&gt;&lt;D xsi:type="xsd:double"&gt;2.0032763&lt;/D&gt;&lt;D xsi:type="xsd:double"&gt;1.2424827&lt;/D&gt;&lt;D xsi:type="xsd:double"&gt;4.9485326&lt;/D&gt;&lt;D xsi:type="xsd:double"&gt;0.18860102&lt;/D&gt;&lt;D xsi:type="xsd:double"&gt;-2.1837354&lt;/D&gt;&lt;D xsi:type="xsd:double"&gt;-6.970125&lt;/D&gt;&lt;D xsi:type="xsd:double"&gt;1.9772768&lt;/D&gt;&lt;D xsi:type="xsd:double"&gt;3.5066009&lt;/D&gt;&lt;D xsi:type="xsd:double"&gt;-6.217617&lt;/D&gt;&lt;D xsi:type="xsd:double"&gt;0.3399968&lt;/D&gt;&lt;D xsi:type="xsd:double"&gt;8.555687&lt;/D&gt;&lt;D xsi:type="xsd:double"&gt;1.2060761&lt;/D&gt;&lt;D xsi:type="xsd:double"&gt;3.5225153&lt;/D&gt;&lt;D xsi:type="xsd:double"&gt;0.9451747&lt;/D&gt;&lt;D xsi:type="xsd:double"&gt;0.71160793&lt;/D&gt;&lt;D xsi:type="xsd:double"&gt;1.3759851&lt;/D&gt;&lt;D xsi:type="xsd:double"&gt;-8.47395&lt;/D&gt;&lt;/FQL&gt;&lt;/Schema&gt;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<sst xmlns="http://schemas.openxmlformats.org/spreadsheetml/2006/main" count="167" uniqueCount="82">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</sst>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workbookViewId="0">
      <selection activeCell="D11" sqref="D11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MONTHLY_RETURNS!$B$73:$AI$73=1)),"")</f>
        <v/>
      </c>
      <c r="B2" s="4" t="str" cm="1">
        <f t="array" ref="B2">IFERROR(TRANSPOSE(_xlfn._xlws.FILTER(MONTHLY_RETURNS!B65:AI65, MONTHLY_RETURNS!$B$73:$AI$73=1)),"")</f>
        <v/>
      </c>
      <c r="C2" s="4" t="str" cm="1">
        <f t="array" ref="C2">IFERROR(TRANSPOSE(_xlfn._xlws.FILTER(MONTHLY_RETURNS!B66:AI66, MONTHLY_RETURNS!$B$73:$AI$73=1)),"")</f>
        <v/>
      </c>
      <c r="D2" s="4" t="str" cm="1">
        <f t="array" ref="D2">IFERROR(TRANSPOSE(_xlfn._xlws.FILTER(MONTHLY_RETURNS!B67:AI67, MONTHLY_RETURNS!$B$73:$AI$73=1)),"")</f>
        <v/>
      </c>
      <c r="E2" s="4" t="str" cm="1">
        <f t="array" ref="E2">IFERROR(TRANSPOSE(_xlfn._xlws.FILTER(MONTHLY_RETURNS!B68:AI68, MONTHLY_RETURNS!$B$73:$AI$73=1)),"")</f>
        <v/>
      </c>
      <c r="F2" s="4" t="str" cm="1">
        <f t="array" ref="F2">IFERROR(TRANSPOSE(_xlfn._xlws.FILTER(MONTHLY_RETURNS!B69:AI69, MONTHLY_RETURNS!$B$73:$AI$73=1)),"")</f>
        <v/>
      </c>
      <c r="G2" s="4" t="str" cm="1">
        <f t="array" ref="G2">IFERROR(TRANSPOSE(_xlfn._xlws.FILTER(MONTHLY_RETURNS!B70:AI70, MONTHLY_RETURNS!$B$73:$AI$73=1)),"")</f>
        <v/>
      </c>
      <c r="H2" s="1" t="str" cm="1">
        <f t="array" ref="H2">IFERROR(TRANSPOSE(_xlfn._xlws.FILTER(MONTHLY_RETURNS!B71:AI71, MONTHLY_RETURNS!$B$73:$AI$73=1)),"")</f>
        <v/>
      </c>
      <c r="I2" s="1" t="str" cm="1">
        <f t="array" ref="I2">IFERROR(TRANSPOSE(_xlfn._xlws.FILTER(MONTHLY_RETURNS!B72:AI72, MONTHLY_RETURNS!$B$73:$AI$73=1)),"")</f>
        <v/>
      </c>
    </row>
    <row r="3" spans="1:9" x14ac:dyDescent="0.45">
      <c r="A3" s="5"/>
      <c r="B3" s="4"/>
      <c r="C3" s="4"/>
      <c r="D3" s="4"/>
      <c r="E3" s="4"/>
      <c r="F3" s="4"/>
      <c r="G3" s="4"/>
      <c r="H3" s="1"/>
      <c r="I3" s="1"/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tabSelected="1" workbookViewId="0">
      <selection activeCell="F15" sqref="F15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:A3">IFERROR(TRANSPOSE(_xlfn._xlws.FILTER(MONTHLY_RETURNS!B64:AI64, MONTHLY_RETURNS!$B$74:$AI$74=1)),"")</f>
        <v>KSA</v>
      </c>
      <c r="B2" s="4" t="str" cm="1">
        <f t="array" ref="B2:B3">IFERROR(TRANSPOSE(_xlfn._xlws.FILTER(MONTHLY_RETURNS!B65:AI65, MONTHLY_RETURNS!$B$74:$AI$74=1)),"")</f>
        <v>Saudi Arabia</v>
      </c>
      <c r="C2" s="4" t="str" cm="1">
        <f t="array" ref="C2:C3">IFERROR(TRANSPOSE(_xlfn._xlws.FILTER(MONTHLY_RETURNS!B66:AI66, MONTHLY_RETURNS!$B$74:$AI$74=1)),"")</f>
        <v>EMERGING</v>
      </c>
      <c r="D2" s="4" cm="1">
        <f t="array" ref="D2:D3">IFERROR(TRANSPOSE(_xlfn._xlws.FILTER(MONTHLY_RETURNS!B67:AI67, MONTHLY_RETURNS!$B$74:$AI$74=1)),"")</f>
        <v>-6.6030859999999997E-2</v>
      </c>
      <c r="E2" s="4" cm="1">
        <f t="array" ref="E2:E3">IFERROR(TRANSPOSE(_xlfn._xlws.FILTER(MONTHLY_RETURNS!B68:AI68, MONTHLY_RETURNS!$B$74:$AI$74=1)),"")</f>
        <v>6.6237731459016357E-3</v>
      </c>
      <c r="F2" s="4" cm="1">
        <f t="array" ref="F2:F3">IFERROR(TRANSPOSE(_xlfn._xlws.FILTER(MONTHLY_RETURNS!B69:AI69, MONTHLY_RETURNS!$B$74:$AI$74=1)),"")</f>
        <v>3.5903009058922596E-2</v>
      </c>
      <c r="G2" s="4" cm="1">
        <f t="array" ref="G2:G3">IFERROR(TRANSPOSE(_xlfn._xlws.FILTER(MONTHLY_RETURNS!B70:AI70, MONTHLY_RETURNS!$B$74:$AI$74=1)),"")</f>
        <v>7.1806018117845191E-2</v>
      </c>
      <c r="H2" cm="1">
        <f t="array" ref="H2:H3">IFERROR(TRANSPOSE(_xlfn._xlws.FILTER(MONTHLY_RETURNS!B71:AI71, MONTHLY_RETURNS!$B$74:$AI$74=1)),"")</f>
        <v>38.19</v>
      </c>
      <c r="I2" cm="1">
        <f t="array" ref="I2:I3">IFERROR(TRANSPOSE(_xlfn._xlws.FILTER(MONTHLY_RETURNS!B72:AI72, MONTHLY_RETURNS!$B$74:$AI$74=1)),"")</f>
        <v>39.357711442786069</v>
      </c>
    </row>
    <row r="3" spans="1:9" x14ac:dyDescent="0.45">
      <c r="A3" s="5" t="str">
        <v>EWA</v>
      </c>
      <c r="B3" s="4" t="str">
        <v>Australia</v>
      </c>
      <c r="C3" s="4" t="str">
        <v>DEVELOPED</v>
      </c>
      <c r="D3" s="6">
        <v>-8.4739500000000009E-2</v>
      </c>
      <c r="E3" s="6">
        <v>7.8477657459016369E-3</v>
      </c>
      <c r="F3" s="6">
        <v>4.1742741572052017E-2</v>
      </c>
      <c r="G3" s="6">
        <v>8.3485483144104033E-2</v>
      </c>
      <c r="H3">
        <v>24.95</v>
      </c>
      <c r="I3">
        <v>25.678507462686586</v>
      </c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50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44155</v>
      </c>
      <c r="B2" s="3" cm="1">
        <f t="array" ref="B2:B62">_xll.FDS(B1,"FG_TOTAL_RETURNC(-5AY,0,AM)")/100</f>
        <v>4.2108059999999996E-2</v>
      </c>
      <c r="C2" s="3" cm="1">
        <f t="array" ref="C2:C62">_xll.FDS(C1,"FG_TOTAL_RETURNC(-5AY,0,AM)")/100</f>
        <v>0.12407565</v>
      </c>
      <c r="D2" s="3" cm="1">
        <f t="array" ref="D2:D62">_xll.FDS(D1,"FG_TOTAL_RETURNC(-5AY,0,AM)")/100</f>
        <v>0.16964770000000001</v>
      </c>
      <c r="E2" s="3" cm="1">
        <f t="array" ref="E2:E62">_xll.FDS(E1,"FG_TOTAL_RETURNC(-5AY,0,AM)")/100</f>
        <v>0.18293571</v>
      </c>
      <c r="F2" s="3" cm="1">
        <f t="array" ref="F2:F62">_xll.FDS(F1,"FG_TOTAL_RETURNC(-5AY,0,AM)")/100</f>
        <v>0.11259126999999999</v>
      </c>
      <c r="G2" s="3" cm="1">
        <f t="array" ref="G2:G62">_xll.FDS(G1,"FG_TOTAL_RETURNC(-5AY,0,AM)")/100</f>
        <v>7.0275784000000008E-2</v>
      </c>
      <c r="H2" s="3" cm="1">
        <f t="array" ref="H2:H62">_xll.FDS(H1,"FG_TOTAL_RETURNC(-5AY,0,AM)")/100</f>
        <v>4.4277670000000005E-2</v>
      </c>
      <c r="I2" s="3" cm="1">
        <f t="array" ref="I2:I62">_xll.FDS(I1,"FG_TOTAL_RETURNC(-5AY,0,AM)")/100</f>
        <v>7.9409840000000009E-2</v>
      </c>
      <c r="J2" s="3" cm="1">
        <f t="array" ref="J2:J62">_xll.FDS(J1,"FG_TOTAL_RETURNC(-5AY,0,AM)")/100</f>
        <v>0.14838696000000001</v>
      </c>
      <c r="K2" s="3" cm="1">
        <f t="array" ref="K2:K62">_xll.FDS(K1,"FG_TOTAL_RETURNC(-5AY,0,AM)")/100</f>
        <v>0.10969089999999999</v>
      </c>
      <c r="L2" s="3" cm="1">
        <f t="array" ref="L2:L62">_xll.FDS(L1,"FG_TOTAL_RETURNC(-5AY,0,AM)")/100</f>
        <v>9.4962480000000002E-2</v>
      </c>
      <c r="M2" s="3" cm="1">
        <f t="array" ref="M2:M62">_xll.FDS(M1,"FG_TOTAL_RETURNC(-5AY,0,AM)")/100</f>
        <v>9.6213700000000013E-2</v>
      </c>
      <c r="N2" s="3" cm="1">
        <f t="array" ref="N2:N62">_xll.FDS(N1,"FG_TOTAL_RETURNC(-5AY,0,AM)")/100</f>
        <v>0.11026812</v>
      </c>
      <c r="O2" s="3" cm="1">
        <f t="array" ref="O2:O62">_xll.FDS(O1,"FG_TOTAL_RETURNC(-5AY,0,AM)")/100</f>
        <v>4.1381240000000007E-2</v>
      </c>
      <c r="P2" s="3" cm="1">
        <f t="array" ref="P2:P62">_xll.FDS(P1,"FG_TOTAL_RETURNC(-5AY,0,AM)")/100</f>
        <v>4.1267395000000005E-2</v>
      </c>
      <c r="Q2" s="3" cm="1">
        <f t="array" ref="Q2:Q62">_xll.FDS(Q1,"FG_TOTAL_RETURNC(-5AY,0,AM)")/100</f>
        <v>5.5944920000000002E-4</v>
      </c>
      <c r="R2" s="3" cm="1">
        <f t="array" ref="R2:R62">_xll.FDS(R1,"FG_TOTAL_RETURNC(-5AY,0,AM)")/100</f>
        <v>0.14757930999999999</v>
      </c>
      <c r="S2" s="3" cm="1">
        <f t="array" ref="S2:S62">_xll.FDS(S1,"FG_TOTAL_RETURNC(-5AY,0,AM)")/100</f>
        <v>0.14717352</v>
      </c>
      <c r="T2" s="3" cm="1">
        <f t="array" ref="T2:T62">_xll.FDS(T1,"FG_TOTAL_RETURNC(-5AY,0,AM)")/100</f>
        <v>6.0965299999999993E-2</v>
      </c>
      <c r="U2" s="3" cm="1">
        <f t="array" ref="U2:U62">_xll.FDS(U1,"FG_TOTAL_RETURNC(-5AY,0,AM)")/100</f>
        <v>5.9247016999999999E-2</v>
      </c>
      <c r="V2" s="3" cm="1">
        <f t="array" ref="V2:V62">_xll.FDS(V1,"FG_TOTAL_RETURNC(-5AY,0,AM)")/100</f>
        <v>8.1646440000000004E-3</v>
      </c>
      <c r="W2" s="3" cm="1">
        <f t="array" ref="W2:W62">_xll.FDS(W1,"FG_TOTAL_RETURNC(-5AY,0,AM)")/100</f>
        <v>5.4771066E-2</v>
      </c>
      <c r="X2" s="3" cm="1">
        <f t="array" ref="X2:X62">_xll.FDS(X1,"FG_TOTAL_RETURNC(-5AY,0,AM)")/100</f>
        <v>0.10894942000000001</v>
      </c>
      <c r="Y2" s="3" cm="1">
        <f t="array" ref="Y2:Y62">_xll.FDS(Y1,"FG_TOTAL_RETURNC(-5AY,0,AM)")/100</f>
        <v>5.6348084999999999E-2</v>
      </c>
      <c r="Z2" s="3" cm="1">
        <f t="array" ref="Z2:Z62">_xll.FDS(Z1,"FG_TOTAL_RETURNC(-5AY,0,AM)")/100</f>
        <v>2.0345926E-2</v>
      </c>
      <c r="AA2" s="3" cm="1">
        <f t="array" ref="AA2:AA62">_xll.FDS(AA1,"FG_TOTAL_RETURNC(-5AY,0,AM)")/100</f>
        <v>9.7660180000000013E-2</v>
      </c>
      <c r="AB2" s="3" cm="1">
        <f t="array" ref="AB2:AB62">_xll.FDS(AB1,"FG_TOTAL_RETURNC(-5AY,0,AM)")/100</f>
        <v>2.8557776999999999E-2</v>
      </c>
      <c r="AC2" s="3" cm="1">
        <f t="array" ref="AC2:AC62">_xll.FDS(AC1,"FG_TOTAL_RETURNC(-5AY,0,AM)")/100</f>
        <v>0.11771606999999999</v>
      </c>
      <c r="AD2" s="3" cm="1">
        <f t="array" ref="AD2:AD62">_xll.FDS(AD1,"FG_TOTAL_RETURNC(-5AY,0,AM)")/100</f>
        <v>2.0990848999999999E-2</v>
      </c>
      <c r="AE2" s="3" cm="1">
        <f t="array" ref="AE2:AE62">_xll.FDS(AE1,"FG_TOTAL_RETURNC(-5AY,0,AM)")/100</f>
        <v>3.4801006000000002E-2</v>
      </c>
      <c r="AF2" s="3" cm="1">
        <f t="array" ref="AF2:AF62">_xll.FDS(AF1,"FG_TOTAL_RETURNC(-5AY,0,AM)")/100</f>
        <v>0.11486721</v>
      </c>
      <c r="AG2" s="3" cm="1">
        <f t="array" ref="AG2:AG62">_xll.FDS(AG1,"FG_TOTAL_RETURNC(-5AY,0,AM)")/100</f>
        <v>5.7370305000000003E-2</v>
      </c>
      <c r="AH2" s="3" cm="1">
        <f t="array" ref="AH2:AH62">_xll.FDS(AH1,"FG_TOTAL_RETURNC(-5AY,0,AM)")/100</f>
        <v>6.8051456999999996E-2</v>
      </c>
      <c r="AI2" s="3" cm="1">
        <f t="array" ref="AI2:AI62">_xll.FDS(AI1,"FG_TOTAL_RETURNC(-5AY,0,AM)")/100</f>
        <v>0.11952185999999999</v>
      </c>
      <c r="AJ2" s="3"/>
      <c r="AK2" s="3"/>
      <c r="AL2" s="3"/>
    </row>
    <row r="3" spans="1:38" x14ac:dyDescent="0.45">
      <c r="A3" s="2">
        <v>44183</v>
      </c>
      <c r="B3" s="3">
        <v>2.453661E-2</v>
      </c>
      <c r="C3" s="3">
        <v>9.1898920000000009E-2</v>
      </c>
      <c r="D3" s="3">
        <v>0.11854100000000001</v>
      </c>
      <c r="E3" s="3">
        <v>1.1986136000000001E-2</v>
      </c>
      <c r="F3" s="3">
        <v>9.5178369999999998E-2</v>
      </c>
      <c r="G3" s="3">
        <v>9.9928139999999999E-2</v>
      </c>
      <c r="H3" s="3">
        <v>4.6712160000000003E-2</v>
      </c>
      <c r="I3" s="3">
        <v>5.6245922999999996E-2</v>
      </c>
      <c r="J3" s="3">
        <v>4.893434E-2</v>
      </c>
      <c r="K3" s="3">
        <v>9.6293334999999994E-2</v>
      </c>
      <c r="L3" s="3">
        <v>0.18083549999999998</v>
      </c>
      <c r="M3" s="3">
        <v>0.11288309000000001</v>
      </c>
      <c r="N3" s="3">
        <v>0.18359899999999998</v>
      </c>
      <c r="O3" s="3">
        <v>7.8715563000000002E-2</v>
      </c>
      <c r="P3" s="3">
        <v>-6.6547394000000008E-3</v>
      </c>
      <c r="Q3" s="3">
        <v>3.4116386999999998E-2</v>
      </c>
      <c r="R3" s="3">
        <v>6.696713E-2</v>
      </c>
      <c r="S3" s="3">
        <v>5.9532639999999998E-2</v>
      </c>
      <c r="T3" s="3">
        <v>8.3489179999999996E-2</v>
      </c>
      <c r="U3" s="3">
        <v>5.1318764999999995E-2</v>
      </c>
      <c r="V3" s="3">
        <v>1.7999172000000001E-2</v>
      </c>
      <c r="W3" s="3">
        <v>2.5325894000000002E-2</v>
      </c>
      <c r="X3" s="3">
        <v>6.1122059999999999E-2</v>
      </c>
      <c r="Y3" s="3">
        <v>5.9004783999999998E-2</v>
      </c>
      <c r="Z3" s="3">
        <v>7.8220843999999998E-2</v>
      </c>
      <c r="AA3" s="3">
        <v>3.2296180000000001E-2</v>
      </c>
      <c r="AB3" s="3">
        <v>3.4371375999999995E-2</v>
      </c>
      <c r="AC3" s="3">
        <v>3.9769768999999996E-2</v>
      </c>
      <c r="AD3" s="3">
        <v>6.7773222999999994E-2</v>
      </c>
      <c r="AE3" s="3">
        <v>4.3424487000000005E-2</v>
      </c>
      <c r="AF3" s="3">
        <v>3.5732865000000003E-2</v>
      </c>
      <c r="AG3" s="3">
        <v>7.2810529999999998E-2</v>
      </c>
      <c r="AH3" s="3">
        <v>3.2748579999999999E-2</v>
      </c>
      <c r="AI3" s="3">
        <v>5.0599100000000001E-2</v>
      </c>
      <c r="AJ3" s="3"/>
      <c r="AK3" s="3"/>
      <c r="AL3" s="3"/>
    </row>
    <row r="4" spans="1:38" x14ac:dyDescent="0.45">
      <c r="A4" s="2">
        <v>44216</v>
      </c>
      <c r="B4" s="3">
        <v>0.10080539999999999</v>
      </c>
      <c r="C4" s="3">
        <v>9.7913979999999998E-2</v>
      </c>
      <c r="D4" s="3">
        <v>4.5075179999999999E-2</v>
      </c>
      <c r="E4" s="3">
        <v>-2.6634394999999998E-2</v>
      </c>
      <c r="F4" s="3">
        <v>1.2558818000000001E-2</v>
      </c>
      <c r="G4" s="3">
        <v>2.5272846000000002E-2</v>
      </c>
      <c r="H4" s="3">
        <v>-3.6388575999999999E-2</v>
      </c>
      <c r="I4" s="3">
        <v>0.11886764</v>
      </c>
      <c r="J4" s="3">
        <v>4.0288567999999997E-2</v>
      </c>
      <c r="K4" s="3">
        <v>0.15624237000000002</v>
      </c>
      <c r="L4" s="3">
        <v>-2.7586222000000001E-2</v>
      </c>
      <c r="M4" s="3">
        <v>1.6829014E-2</v>
      </c>
      <c r="N4" s="3">
        <v>-8.6891650000000002E-4</v>
      </c>
      <c r="O4" s="3">
        <v>6.7632793999999996E-2</v>
      </c>
      <c r="P4" s="3">
        <v>0.13766502999999999</v>
      </c>
      <c r="Q4" s="3">
        <v>2.7685285E-2</v>
      </c>
      <c r="R4" s="3">
        <v>2.2490860000000001E-2</v>
      </c>
      <c r="S4" s="3">
        <v>0.14159286500000001</v>
      </c>
      <c r="T4" s="3">
        <v>0.12088823</v>
      </c>
      <c r="U4" s="3">
        <v>7.8607560000000007E-2</v>
      </c>
      <c r="V4" s="3">
        <v>1.7235875000000001E-2</v>
      </c>
      <c r="W4" s="3">
        <v>2.4431229000000002E-2</v>
      </c>
      <c r="X4" s="3">
        <v>4.2100906E-2</v>
      </c>
      <c r="Y4" s="3">
        <v>3.9057373999999999E-2</v>
      </c>
      <c r="Z4" s="3">
        <v>1.2796521E-2</v>
      </c>
      <c r="AA4" s="3">
        <v>4.3563246999999999E-2</v>
      </c>
      <c r="AB4" s="3">
        <v>2.7758956000000001E-2</v>
      </c>
      <c r="AC4" s="3">
        <v>5.1735879999999998E-2</v>
      </c>
      <c r="AD4" s="3">
        <v>4.6114683000000004E-2</v>
      </c>
      <c r="AE4" s="3">
        <v>3.9845109999999996E-2</v>
      </c>
      <c r="AF4" s="3">
        <v>1.5010476E-2</v>
      </c>
      <c r="AG4" s="3">
        <v>6.2636614000000007E-2</v>
      </c>
      <c r="AH4" s="3">
        <v>4.2186737000000002E-2</v>
      </c>
      <c r="AI4" s="3">
        <v>2.0833254000000002E-2</v>
      </c>
      <c r="AJ4" s="3"/>
      <c r="AK4" s="3"/>
      <c r="AL4" s="3"/>
    </row>
    <row r="5" spans="1:38" x14ac:dyDescent="0.45">
      <c r="A5" s="2">
        <v>44246</v>
      </c>
      <c r="B5" s="3">
        <v>6.3481209999999996E-2</v>
      </c>
      <c r="C5" s="3">
        <v>1.6242743E-2</v>
      </c>
      <c r="D5" s="3">
        <v>-5.7108640000000002E-2</v>
      </c>
      <c r="E5" s="3">
        <v>-3.8246273999999997E-2</v>
      </c>
      <c r="F5" s="3">
        <v>1.9638180999999998E-2</v>
      </c>
      <c r="G5" s="3">
        <v>6.9467783000000005E-2</v>
      </c>
      <c r="H5" s="3">
        <v>-1.6387582000000001E-2</v>
      </c>
      <c r="I5" s="3">
        <v>4.0727854000000001E-2</v>
      </c>
      <c r="J5" s="3">
        <v>-5.5480059999999998E-2</v>
      </c>
      <c r="K5" s="3">
        <v>-8.6253284999999996E-3</v>
      </c>
      <c r="L5" s="3">
        <v>-2.6732146999999998E-2</v>
      </c>
      <c r="M5" s="3">
        <v>6.4024449999999997E-2</v>
      </c>
      <c r="N5" s="3">
        <v>-4.6791369999999999E-2</v>
      </c>
      <c r="O5" s="3">
        <v>1.7623185999999999E-2</v>
      </c>
      <c r="P5" s="3">
        <v>4.6498894999999998E-2</v>
      </c>
      <c r="Q5" s="3">
        <v>-3.6412179999999995E-2</v>
      </c>
      <c r="R5" s="3">
        <v>-1.00348E-2</v>
      </c>
      <c r="S5" s="3">
        <v>5.0387620000000001E-2</v>
      </c>
      <c r="T5" s="3">
        <v>-5.2091001999999997E-2</v>
      </c>
      <c r="U5" s="3">
        <v>1.5460967999999999E-2</v>
      </c>
      <c r="V5" s="3">
        <v>2.0709037999999999E-2</v>
      </c>
      <c r="W5" s="3">
        <v>-3.1301200000000001E-2</v>
      </c>
      <c r="X5" s="3">
        <v>1.1600018E-2</v>
      </c>
      <c r="Y5" s="3">
        <v>2.6405810999999998E-2</v>
      </c>
      <c r="Z5" s="3">
        <v>7.3959830000000001E-3</v>
      </c>
      <c r="AA5" s="3">
        <v>2.6918053999999997E-2</v>
      </c>
      <c r="AB5" s="3">
        <v>-2.1299958000000001E-2</v>
      </c>
      <c r="AC5" s="3">
        <v>2.2653341E-3</v>
      </c>
      <c r="AD5" s="3">
        <v>2.2392392000000001E-2</v>
      </c>
      <c r="AE5" s="3">
        <v>1.5994071999999998E-2</v>
      </c>
      <c r="AF5" s="3">
        <v>1.6563057999999999E-2</v>
      </c>
      <c r="AG5" s="3">
        <v>4.8663497E-2</v>
      </c>
      <c r="AH5" s="3">
        <v>3.4251451000000002E-2</v>
      </c>
      <c r="AI5" s="3">
        <v>1.2713312999999999E-2</v>
      </c>
      <c r="AJ5" s="3"/>
      <c r="AK5" s="3"/>
      <c r="AL5" s="3"/>
    </row>
    <row r="6" spans="1:38" x14ac:dyDescent="0.45">
      <c r="A6" s="2">
        <v>44274</v>
      </c>
      <c r="B6" s="3">
        <v>-0.14308953000000002</v>
      </c>
      <c r="C6" s="3">
        <v>3.4378766999999998E-2</v>
      </c>
      <c r="D6" s="3">
        <v>-1.1012315999999999E-2</v>
      </c>
      <c r="E6" s="3">
        <v>-4.3970289999999995E-2</v>
      </c>
      <c r="F6" s="3">
        <v>-6.8423749999999992E-2</v>
      </c>
      <c r="G6" s="3">
        <v>-6.416976499999999E-2</v>
      </c>
      <c r="H6" s="3">
        <v>1.8471599000000002E-2</v>
      </c>
      <c r="I6" s="3">
        <v>-3.1473755999999999E-2</v>
      </c>
      <c r="J6" s="3">
        <v>5.0587416000000003E-2</v>
      </c>
      <c r="K6" s="3">
        <v>-4.5327605999999993E-2</v>
      </c>
      <c r="L6" s="3">
        <v>-4.0078459999999996E-2</v>
      </c>
      <c r="M6" s="3">
        <v>-1.2280345E-3</v>
      </c>
      <c r="N6" s="3">
        <v>7.4669956999999995E-2</v>
      </c>
      <c r="O6" s="3">
        <v>-6.3187479999999999E-3</v>
      </c>
      <c r="P6" s="3">
        <v>-0.11238891000000001</v>
      </c>
      <c r="Q6" s="3">
        <v>7.6462030000000007E-3</v>
      </c>
      <c r="R6" s="3">
        <v>4.228556E-2</v>
      </c>
      <c r="S6" s="3">
        <v>-4.1932225000000004E-2</v>
      </c>
      <c r="T6" s="3">
        <v>2.7089834E-2</v>
      </c>
      <c r="U6" s="3">
        <v>-2.7188718000000001E-2</v>
      </c>
      <c r="V6" s="3">
        <v>4.8570633000000002E-2</v>
      </c>
      <c r="W6" s="3">
        <v>-1.3386607E-2</v>
      </c>
      <c r="X6" s="3">
        <v>-2.4120211999999999E-2</v>
      </c>
      <c r="Y6" s="3">
        <v>4.1162251999999996E-2</v>
      </c>
      <c r="Z6" s="3">
        <v>1.6824841E-2</v>
      </c>
      <c r="AA6" s="3">
        <v>-9.1112255999999999E-3</v>
      </c>
      <c r="AB6" s="3">
        <v>-4.7116876000000002E-3</v>
      </c>
      <c r="AC6" s="3">
        <v>1.3561487000000001E-2</v>
      </c>
      <c r="AD6" s="3">
        <v>-5.4014800000000002E-2</v>
      </c>
      <c r="AE6" s="3">
        <v>1.8659829999999999E-3</v>
      </c>
      <c r="AF6" s="3">
        <v>1.8620848999999998E-2</v>
      </c>
      <c r="AG6" s="3">
        <v>-2.1132946E-2</v>
      </c>
      <c r="AH6" s="3">
        <v>3.3117174999999999E-2</v>
      </c>
      <c r="AI6" s="3">
        <v>3.4027099999999998E-2</v>
      </c>
      <c r="AJ6" s="3"/>
      <c r="AK6" s="3"/>
      <c r="AL6" s="3"/>
    </row>
    <row r="7" spans="1:38" x14ac:dyDescent="0.45">
      <c r="A7" s="2">
        <v>44306</v>
      </c>
      <c r="B7" s="3">
        <v>9.7323656000000008E-3</v>
      </c>
      <c r="C7" s="3">
        <v>3.5568595000000001E-2</v>
      </c>
      <c r="D7" s="3">
        <v>-7.6659560000000002E-2</v>
      </c>
      <c r="E7" s="3">
        <v>-6.7635774999999995E-3</v>
      </c>
      <c r="F7" s="3">
        <v>5.5495143000000004E-2</v>
      </c>
      <c r="G7" s="3">
        <v>-8.0884400000000009E-2</v>
      </c>
      <c r="H7" s="3">
        <v>-1.7425357999999998E-2</v>
      </c>
      <c r="I7" s="3">
        <v>8.2702875000000009E-2</v>
      </c>
      <c r="J7" s="3">
        <v>5.5225969999999999E-2</v>
      </c>
      <c r="K7" s="3">
        <v>4.8604846000000007E-2</v>
      </c>
      <c r="L7" s="3">
        <v>2.24818E-2</v>
      </c>
      <c r="M7" s="3">
        <v>3.5040975000000002E-2</v>
      </c>
      <c r="N7" s="3">
        <v>4.2610406999999996E-2</v>
      </c>
      <c r="O7" s="3">
        <v>-6.9006147000000004E-2</v>
      </c>
      <c r="P7" s="3">
        <v>-4.0282669999999993E-2</v>
      </c>
      <c r="Q7" s="3">
        <v>5.3376555000000006E-2</v>
      </c>
      <c r="R7" s="3">
        <v>1.0281682E-2</v>
      </c>
      <c r="S7" s="3">
        <v>-0.19537813000000001</v>
      </c>
      <c r="T7" s="3">
        <v>1.5448332E-2</v>
      </c>
      <c r="U7" s="3">
        <v>9.5584150000000007E-2</v>
      </c>
      <c r="V7" s="3">
        <v>7.5930834000000003E-2</v>
      </c>
      <c r="W7" s="3">
        <v>-6.7062379999999998E-3</v>
      </c>
      <c r="X7" s="3">
        <v>3.8492680000000001E-2</v>
      </c>
      <c r="Y7" s="3">
        <v>2.3255348E-3</v>
      </c>
      <c r="Z7" s="3">
        <v>4.5126319999999998E-2</v>
      </c>
      <c r="AA7" s="3">
        <v>-4.1024209999999998E-2</v>
      </c>
      <c r="AB7" s="3">
        <v>4.7114490000000002E-2</v>
      </c>
      <c r="AC7" s="3">
        <v>3.2175899000000001E-2</v>
      </c>
      <c r="AD7" s="3">
        <v>7.5642585999999998E-2</v>
      </c>
      <c r="AE7" s="3">
        <v>5.8257219999999998E-2</v>
      </c>
      <c r="AF7" s="3">
        <v>4.0845513E-2</v>
      </c>
      <c r="AG7" s="3">
        <v>5.8090330000000003E-2</v>
      </c>
      <c r="AH7" s="3">
        <v>4.5505403999999999E-2</v>
      </c>
      <c r="AI7" s="3">
        <v>1.1821151E-2</v>
      </c>
      <c r="AJ7" s="3"/>
      <c r="AK7" s="3"/>
      <c r="AL7" s="3"/>
    </row>
    <row r="8" spans="1:38" x14ac:dyDescent="0.45">
      <c r="A8" s="2">
        <v>44336</v>
      </c>
      <c r="B8" s="3">
        <v>4.7710775999999996E-2</v>
      </c>
      <c r="C8" s="3">
        <v>-0.20101357</v>
      </c>
      <c r="D8" s="3">
        <v>-1.3450800999999998E-2</v>
      </c>
      <c r="E8" s="3">
        <v>-1.4640808E-2</v>
      </c>
      <c r="F8" s="3">
        <v>0.10927844</v>
      </c>
      <c r="G8" s="3">
        <v>2.4969578000000003E-2</v>
      </c>
      <c r="H8" s="3">
        <v>-1.6286611999999999E-2</v>
      </c>
      <c r="I8" s="3">
        <v>-4.7959329999999994E-2</v>
      </c>
      <c r="J8" s="3">
        <v>3.9576053999999999E-2</v>
      </c>
      <c r="K8" s="3">
        <v>-2.7896999999999998E-2</v>
      </c>
      <c r="L8" s="3">
        <v>7.6242089999999998E-2</v>
      </c>
      <c r="M8" s="3">
        <v>1.8610239000000001E-2</v>
      </c>
      <c r="N8" s="3">
        <v>5.8044909999999998E-2</v>
      </c>
      <c r="O8" s="3">
        <v>9.2840909999999999E-2</v>
      </c>
      <c r="P8" s="3">
        <v>-1.1168419999999998E-2</v>
      </c>
      <c r="Q8" s="3">
        <v>3.8694142999999999E-3</v>
      </c>
      <c r="R8" s="3">
        <v>-1.6138851999999999E-2</v>
      </c>
      <c r="S8" s="3">
        <v>3.6118388000000001E-2</v>
      </c>
      <c r="T8" s="3">
        <v>7.3832990000000001E-2</v>
      </c>
      <c r="U8" s="3">
        <v>-2.3979664000000001E-2</v>
      </c>
      <c r="V8" s="3">
        <v>3.4332395000000002E-2</v>
      </c>
      <c r="W8" s="3">
        <v>-1.4915943000000001E-2</v>
      </c>
      <c r="X8" s="3">
        <v>3.5505294999999999E-2</v>
      </c>
      <c r="Y8" s="3">
        <v>8.2946659999999992E-2</v>
      </c>
      <c r="Z8" s="3">
        <v>2.3891686999999998E-2</v>
      </c>
      <c r="AA8" s="3">
        <v>-3.3928752000000001E-3</v>
      </c>
      <c r="AB8" s="3">
        <v>2.7341247000000003E-2</v>
      </c>
      <c r="AC8" s="3">
        <v>4.7222137000000004E-2</v>
      </c>
      <c r="AD8" s="3">
        <v>-2.2532104999999997E-2</v>
      </c>
      <c r="AE8" s="3">
        <v>7.545352E-3</v>
      </c>
      <c r="AF8" s="3">
        <v>5.2689433000000001E-2</v>
      </c>
      <c r="AG8" s="3">
        <v>2.3769379E-2</v>
      </c>
      <c r="AH8" s="3">
        <v>3.4305334E-2</v>
      </c>
      <c r="AI8" s="3">
        <v>3.7259220000000003E-2</v>
      </c>
      <c r="AJ8" s="3"/>
      <c r="AK8" s="3"/>
      <c r="AL8" s="3"/>
    </row>
    <row r="9" spans="1:38" x14ac:dyDescent="0.45">
      <c r="A9" s="2">
        <v>44365</v>
      </c>
      <c r="B9" s="3">
        <v>-1.5180469E-2</v>
      </c>
      <c r="C9" s="3">
        <v>1.0543704000000001E-2</v>
      </c>
      <c r="D9" s="3">
        <v>-2.1093250000000001E-2</v>
      </c>
      <c r="E9" s="3">
        <v>7.2203755000000008E-2</v>
      </c>
      <c r="F9" s="3">
        <v>-4.7511458000000003E-3</v>
      </c>
      <c r="G9" s="3">
        <v>-0.14914727</v>
      </c>
      <c r="H9" s="3">
        <v>-3.8093330000000001E-4</v>
      </c>
      <c r="I9" s="3">
        <v>4.3369412000000003E-2</v>
      </c>
      <c r="J9" s="3">
        <v>-1.837188E-2</v>
      </c>
      <c r="K9" s="3">
        <v>5.5187940000000005E-3</v>
      </c>
      <c r="L9" s="3">
        <v>8.104096999999999E-2</v>
      </c>
      <c r="M9" s="3">
        <v>-4.6500263000000007E-2</v>
      </c>
      <c r="N9" s="3">
        <v>-1.0317862000000001E-2</v>
      </c>
      <c r="O9" s="3">
        <v>1.8995166000000001E-2</v>
      </c>
      <c r="P9" s="3">
        <v>-9.3990564000000004E-4</v>
      </c>
      <c r="Q9" s="3">
        <v>-1.9181132E-2</v>
      </c>
      <c r="R9" s="3">
        <v>3.7593125999999998E-2</v>
      </c>
      <c r="S9" s="3">
        <v>-6.8432569999999998E-2</v>
      </c>
      <c r="T9" s="3">
        <v>2.2235393999999999E-2</v>
      </c>
      <c r="U9" s="3">
        <v>4.6001076999999994E-2</v>
      </c>
      <c r="V9" s="3">
        <v>3.3361554000000002E-2</v>
      </c>
      <c r="W9" s="3">
        <v>-3.6464990000000003E-2</v>
      </c>
      <c r="X9" s="3">
        <v>-6.3102245000000003E-3</v>
      </c>
      <c r="Y9" s="3">
        <v>-6.5092444000000001E-3</v>
      </c>
      <c r="Z9" s="3">
        <v>-1.7032444000000001E-2</v>
      </c>
      <c r="AA9" s="3">
        <v>2.7179718000000003E-3</v>
      </c>
      <c r="AB9" s="3">
        <v>3.7439226999999999E-2</v>
      </c>
      <c r="AC9" s="3">
        <v>-2.9257715000000004E-2</v>
      </c>
      <c r="AD9" s="3">
        <v>4.1967033999999993E-2</v>
      </c>
      <c r="AE9" s="3">
        <v>2.4462938000000003E-3</v>
      </c>
      <c r="AF9" s="3">
        <v>2.9987097000000002E-3</v>
      </c>
      <c r="AG9" s="3">
        <v>-1.3439536E-2</v>
      </c>
      <c r="AH9" s="3">
        <v>-3.1441033E-2</v>
      </c>
      <c r="AI9" s="3">
        <v>-2.9054879999999999E-3</v>
      </c>
      <c r="AJ9" s="3"/>
      <c r="AK9" s="3"/>
      <c r="AL9" s="3"/>
    </row>
    <row r="10" spans="1:38" x14ac:dyDescent="0.45">
      <c r="A10" s="2">
        <v>44397</v>
      </c>
      <c r="B10" s="3">
        <v>2.1754384000000002E-2</v>
      </c>
      <c r="C10" s="3">
        <v>-1.4184475E-2</v>
      </c>
      <c r="D10" s="3">
        <v>-3.5282790000000001E-2</v>
      </c>
      <c r="E10" s="3">
        <v>-7.5924753999999997E-2</v>
      </c>
      <c r="F10" s="3">
        <v>-1.6853988E-2</v>
      </c>
      <c r="G10" s="3">
        <v>-1.4436602999999999E-2</v>
      </c>
      <c r="H10" s="3">
        <v>-5.732727E-2</v>
      </c>
      <c r="I10" s="3">
        <v>1.8225431E-2</v>
      </c>
      <c r="J10" s="3">
        <v>1.0678768E-3</v>
      </c>
      <c r="K10" s="3">
        <v>-1.2733220999999999E-2</v>
      </c>
      <c r="L10" s="3">
        <v>-4.8841357000000002E-2</v>
      </c>
      <c r="M10" s="3">
        <v>-3.2503664000000002E-2</v>
      </c>
      <c r="N10" s="3">
        <v>-7.7355859999999999E-2</v>
      </c>
      <c r="O10" s="3">
        <v>2.7284621999999997E-3</v>
      </c>
      <c r="P10" s="3">
        <v>-4.3326735000000005E-2</v>
      </c>
      <c r="Q10" s="3">
        <v>6.9128274999999996E-3</v>
      </c>
      <c r="R10" s="3">
        <v>-4.5952200000000006E-2</v>
      </c>
      <c r="S10" s="3">
        <v>-2.0891428E-2</v>
      </c>
      <c r="T10" s="3">
        <v>-3.9888024000000001E-2</v>
      </c>
      <c r="U10" s="3">
        <v>-4.2978525000000004E-2</v>
      </c>
      <c r="V10" s="3">
        <v>-9.5213056000000001E-3</v>
      </c>
      <c r="W10" s="3">
        <v>1.702559E-2</v>
      </c>
      <c r="X10" s="3">
        <v>-2.4605869999999998E-2</v>
      </c>
      <c r="Y10" s="3">
        <v>-2.169782E-2</v>
      </c>
      <c r="Z10" s="3">
        <v>-1.8906355E-2</v>
      </c>
      <c r="AA10" s="3">
        <v>-2.9739139999999998E-3</v>
      </c>
      <c r="AB10" s="3">
        <v>4.5259000000000002E-3</v>
      </c>
      <c r="AC10" s="3">
        <v>-2.4081469000000001E-2</v>
      </c>
      <c r="AD10" s="3">
        <v>4.8371196000000005E-2</v>
      </c>
      <c r="AE10" s="3">
        <v>3.8899064000000004E-2</v>
      </c>
      <c r="AF10" s="3">
        <v>-3.5742462000000003E-2</v>
      </c>
      <c r="AG10" s="3">
        <v>-9.2243550000000001E-3</v>
      </c>
      <c r="AH10" s="3">
        <v>1.3140559000000001E-2</v>
      </c>
      <c r="AI10" s="3">
        <v>-4.4808445000000002E-2</v>
      </c>
      <c r="AJ10" s="3"/>
      <c r="AK10" s="3"/>
      <c r="AL10" s="3"/>
    </row>
    <row r="11" spans="1:38" x14ac:dyDescent="0.45">
      <c r="A11" s="2">
        <v>44428</v>
      </c>
      <c r="B11" s="3">
        <v>-5.3800344000000007E-2</v>
      </c>
      <c r="C11" s="3">
        <v>-2.6259005000000002E-2</v>
      </c>
      <c r="D11" s="3">
        <v>4.659319E-2</v>
      </c>
      <c r="E11" s="3">
        <v>3.1952262000000002E-2</v>
      </c>
      <c r="F11" s="3">
        <v>2.8571486E-2</v>
      </c>
      <c r="G11" s="3">
        <v>-0.13683455999999999</v>
      </c>
      <c r="H11" s="3">
        <v>0</v>
      </c>
      <c r="I11" s="3">
        <v>-4.7888219999999995E-2</v>
      </c>
      <c r="J11" s="3">
        <v>3.5843850000000003E-2</v>
      </c>
      <c r="K11" s="3">
        <v>-8.1387579999999987E-2</v>
      </c>
      <c r="L11" s="3">
        <v>-8.6717239999999987E-2</v>
      </c>
      <c r="M11" s="3">
        <v>-4.2100787000000001E-2</v>
      </c>
      <c r="N11" s="3">
        <v>5.0686000000000002E-2</v>
      </c>
      <c r="O11" s="3">
        <v>4.9659966999999999E-2</v>
      </c>
      <c r="P11" s="3">
        <v>-0.13938050999999999</v>
      </c>
      <c r="Q11" s="3">
        <v>3.5648107999999998E-2</v>
      </c>
      <c r="R11" s="3">
        <v>9.3055963999999994E-3</v>
      </c>
      <c r="S11" s="3">
        <v>9.2460869999999987E-2</v>
      </c>
      <c r="T11" s="3">
        <v>6.1953306E-2</v>
      </c>
      <c r="U11" s="3">
        <v>5.2225589999999999E-4</v>
      </c>
      <c r="V11" s="3">
        <v>6.0301304E-2</v>
      </c>
      <c r="W11" s="3">
        <v>4.6775339999999997E-3</v>
      </c>
      <c r="X11" s="3">
        <v>-1.5767216999999999E-3</v>
      </c>
      <c r="Y11" s="3">
        <v>1.1366724999999999E-2</v>
      </c>
      <c r="Z11" s="3">
        <v>2.608955E-2</v>
      </c>
      <c r="AA11" s="3">
        <v>-5.816519E-3</v>
      </c>
      <c r="AB11" s="3">
        <v>4.0753602999999999E-2</v>
      </c>
      <c r="AC11" s="3">
        <v>3.4482718000000002E-2</v>
      </c>
      <c r="AD11" s="3">
        <v>2.4917126000000001E-2</v>
      </c>
      <c r="AE11" s="3">
        <v>2.8534293000000002E-2</v>
      </c>
      <c r="AF11" s="3">
        <v>3.4886955999999997E-2</v>
      </c>
      <c r="AG11" s="3">
        <v>7.4693203E-2</v>
      </c>
      <c r="AH11" s="3">
        <v>1.9887686000000002E-2</v>
      </c>
      <c r="AI11" s="3">
        <v>5.8233499999999994E-2</v>
      </c>
      <c r="AJ11" s="3"/>
      <c r="AK11" s="3"/>
      <c r="AL11" s="3"/>
    </row>
    <row r="12" spans="1:38" x14ac:dyDescent="0.45">
      <c r="A12" s="2">
        <v>44459</v>
      </c>
      <c r="B12" s="3">
        <v>-5.8069824999999993E-3</v>
      </c>
      <c r="C12" s="3">
        <v>-1.9209445000000002E-2</v>
      </c>
      <c r="D12" s="3">
        <v>5.7444569999999997E-3</v>
      </c>
      <c r="E12" s="3">
        <v>2.279687E-2</v>
      </c>
      <c r="F12" s="3">
        <v>1.2500048E-2</v>
      </c>
      <c r="G12" s="3">
        <v>8.7334519999999999E-2</v>
      </c>
      <c r="H12" s="3">
        <v>1.1276721999999999E-2</v>
      </c>
      <c r="I12" s="3">
        <v>2.6879906999999998E-2</v>
      </c>
      <c r="J12" s="3">
        <v>4.9433708000000002E-3</v>
      </c>
      <c r="K12" s="3">
        <v>-1.9002676E-2</v>
      </c>
      <c r="L12" s="3">
        <v>-7.2862919999999998E-2</v>
      </c>
      <c r="M12" s="3">
        <v>3.3296347E-3</v>
      </c>
      <c r="N12" s="3">
        <v>9.0677739999999989E-3</v>
      </c>
      <c r="O12" s="3">
        <v>5.5951595E-2</v>
      </c>
      <c r="P12" s="3">
        <v>4.5371056E-4</v>
      </c>
      <c r="Q12" s="3">
        <v>7.6843499999999995E-3</v>
      </c>
      <c r="R12" s="3">
        <v>3.2114744000000001E-2</v>
      </c>
      <c r="S12" s="3">
        <v>-5.6423664000000005E-2</v>
      </c>
      <c r="T12" s="3">
        <v>2.3644566999999998E-2</v>
      </c>
      <c r="U12" s="3">
        <v>1.1482239E-2</v>
      </c>
      <c r="V12" s="3">
        <v>1.2962222000000001E-2</v>
      </c>
      <c r="W12" s="3">
        <v>2.8342724E-2</v>
      </c>
      <c r="X12" s="3">
        <v>-2.1713376000000003E-2</v>
      </c>
      <c r="Y12" s="3">
        <v>-1.2883782E-2</v>
      </c>
      <c r="Z12" s="3">
        <v>-4.1895447000000002E-2</v>
      </c>
      <c r="AA12" s="3">
        <v>8.5658550000000014E-2</v>
      </c>
      <c r="AB12" s="3">
        <v>-6.0802816999999995E-2</v>
      </c>
      <c r="AC12" s="3">
        <v>-2.5993884000000002E-2</v>
      </c>
      <c r="AD12" s="3">
        <v>-4.3947697000000004E-3</v>
      </c>
      <c r="AE12" s="3">
        <v>-1.7853795999999998E-2</v>
      </c>
      <c r="AF12" s="3">
        <v>-1.948911E-2</v>
      </c>
      <c r="AG12" s="3">
        <v>1.3191581000000001E-2</v>
      </c>
      <c r="AH12" s="3">
        <v>-3.1793117999999995E-2</v>
      </c>
      <c r="AI12" s="3">
        <v>-4.1271744000000006E-2</v>
      </c>
      <c r="AJ12" s="3"/>
      <c r="AK12" s="3"/>
      <c r="AL12" s="3"/>
    </row>
    <row r="13" spans="1:38" x14ac:dyDescent="0.45">
      <c r="A13" s="2">
        <v>44489</v>
      </c>
      <c r="B13" s="3">
        <v>5.9625269999999994E-2</v>
      </c>
      <c r="C13" s="3">
        <v>-8.5122349999999999E-2</v>
      </c>
      <c r="D13" s="3">
        <v>0.17515469</v>
      </c>
      <c r="E13" s="3">
        <v>8.416498E-2</v>
      </c>
      <c r="F13" s="3">
        <v>8.5047960000000006E-2</v>
      </c>
      <c r="G13" s="3">
        <v>0.15911686</v>
      </c>
      <c r="H13" s="3">
        <v>7.5667023999999999E-2</v>
      </c>
      <c r="I13" s="3">
        <v>4.0147304999999999E-3</v>
      </c>
      <c r="J13" s="3">
        <v>2.6439905E-2</v>
      </c>
      <c r="K13" s="3">
        <v>-4.9352646000000002E-3</v>
      </c>
      <c r="L13" s="3">
        <v>-2.1658360000000001E-2</v>
      </c>
      <c r="M13" s="3">
        <v>0.12079644</v>
      </c>
      <c r="N13" s="3">
        <v>3.1631947000000001E-2</v>
      </c>
      <c r="O13" s="3">
        <v>2.6391148999999999E-2</v>
      </c>
      <c r="P13" s="3">
        <v>9.7490900000000005E-2</v>
      </c>
      <c r="Q13" s="3">
        <v>6.4056993000000007E-2</v>
      </c>
      <c r="R13" s="3">
        <v>2.151513E-2</v>
      </c>
      <c r="S13" s="3">
        <v>-3.1738757999999999E-2</v>
      </c>
      <c r="T13" s="3">
        <v>-3.0171871000000001E-4</v>
      </c>
      <c r="U13" s="3">
        <v>1.7027855000000001E-2</v>
      </c>
      <c r="V13" s="3">
        <v>6.2893033000000001E-2</v>
      </c>
      <c r="W13" s="3">
        <v>2.4463773000000001E-2</v>
      </c>
      <c r="X13" s="3">
        <v>7.4656963000000007E-2</v>
      </c>
      <c r="Y13" s="3">
        <v>0.10108316000000001</v>
      </c>
      <c r="Z13" s="3">
        <v>1.4173746000000001E-2</v>
      </c>
      <c r="AA13" s="3">
        <v>-4.5737266999999998E-2</v>
      </c>
      <c r="AB13" s="3">
        <v>2.7446031999999999E-2</v>
      </c>
      <c r="AC13" s="3">
        <v>6.3108325000000007E-2</v>
      </c>
      <c r="AD13" s="3">
        <v>2.5375961999999998E-2</v>
      </c>
      <c r="AE13" s="3">
        <v>4.2323230000000003E-2</v>
      </c>
      <c r="AF13" s="3">
        <v>4.0827273999999997E-2</v>
      </c>
      <c r="AG13" s="3">
        <v>5.4411889999999999E-3</v>
      </c>
      <c r="AH13" s="3">
        <v>4.5753120000000001E-2</v>
      </c>
      <c r="AI13" s="3">
        <v>6.6007613999999992E-2</v>
      </c>
      <c r="AJ13" s="3"/>
      <c r="AK13" s="3"/>
      <c r="AL13" s="3"/>
    </row>
    <row r="14" spans="1:38" x14ac:dyDescent="0.45">
      <c r="A14" s="2">
        <v>44519</v>
      </c>
      <c r="B14" s="3">
        <v>-5.5122375000000003E-3</v>
      </c>
      <c r="C14" s="3">
        <v>4.7756314000000001E-2</v>
      </c>
      <c r="D14" s="3">
        <v>-4.0502253000000002E-2</v>
      </c>
      <c r="E14" s="3">
        <v>-9.5121860000000006E-3</v>
      </c>
      <c r="F14" s="3">
        <v>-0.12557941</v>
      </c>
      <c r="G14" s="3">
        <v>-3.3908069999999998E-2</v>
      </c>
      <c r="H14" s="3">
        <v>-6.8493184999999998E-2</v>
      </c>
      <c r="I14" s="3">
        <v>5.8861136000000001E-2</v>
      </c>
      <c r="J14" s="3">
        <v>-5.6110263E-2</v>
      </c>
      <c r="K14" s="3">
        <v>-2.7526379E-2</v>
      </c>
      <c r="L14" s="3">
        <v>-7.7482643000000004E-2</v>
      </c>
      <c r="M14" s="3">
        <v>-8.6261329999999997E-2</v>
      </c>
      <c r="N14" s="3">
        <v>-3.7979126000000002E-2</v>
      </c>
      <c r="O14" s="3">
        <v>-1.2158572999999999E-2</v>
      </c>
      <c r="P14" s="3">
        <v>-5.4124774999999993E-2</v>
      </c>
      <c r="Q14" s="3">
        <v>1.0511159999999999E-2</v>
      </c>
      <c r="R14" s="3">
        <v>4.5861006000000003E-3</v>
      </c>
      <c r="S14" s="3">
        <v>1.9003153E-3</v>
      </c>
      <c r="T14" s="3">
        <v>0.11482227</v>
      </c>
      <c r="U14" s="3">
        <v>4.2110679999999998E-2</v>
      </c>
      <c r="V14" s="3">
        <v>-2.1165251999999999E-2</v>
      </c>
      <c r="W14" s="3">
        <v>-6.6987157000000006E-2</v>
      </c>
      <c r="X14" s="3">
        <v>-4.8817100000000002E-2</v>
      </c>
      <c r="Y14" s="3">
        <v>-1.0088325E-2</v>
      </c>
      <c r="Z14" s="3">
        <v>4.7576427000000001E-3</v>
      </c>
      <c r="AA14" s="3">
        <v>1.230824E-2</v>
      </c>
      <c r="AB14" s="3">
        <v>3.2626389999999998E-2</v>
      </c>
      <c r="AC14" s="3">
        <v>-2.5398730999999997E-2</v>
      </c>
      <c r="AD14" s="3">
        <v>7.7364086999999998E-2</v>
      </c>
      <c r="AE14" s="3">
        <v>3.6427139999999997E-2</v>
      </c>
      <c r="AF14" s="3">
        <v>2.0645142000000002E-2</v>
      </c>
      <c r="AG14" s="3">
        <v>8.1174374000000001E-3</v>
      </c>
      <c r="AH14" s="3">
        <v>-8.3738564999999996E-4</v>
      </c>
      <c r="AI14" s="3">
        <v>-1.5554905000000001E-2</v>
      </c>
      <c r="AJ14" s="3"/>
      <c r="AK14" s="3"/>
      <c r="AL14" s="3"/>
    </row>
    <row r="15" spans="1:38" x14ac:dyDescent="0.45">
      <c r="A15" s="2">
        <v>44550</v>
      </c>
      <c r="B15" s="3">
        <v>2.2184849E-3</v>
      </c>
      <c r="C15" s="3">
        <v>-0.12996458999999999</v>
      </c>
      <c r="D15" s="3">
        <v>-3.4593820000000004E-2</v>
      </c>
      <c r="E15" s="3">
        <v>1.4248967E-2</v>
      </c>
      <c r="F15" s="3">
        <v>-1.3124764000000001E-2</v>
      </c>
      <c r="G15" s="3">
        <v>-3.5333930999999999E-2</v>
      </c>
      <c r="H15" s="3">
        <v>-2.5013924E-2</v>
      </c>
      <c r="I15" s="3">
        <v>-7.3937774E-3</v>
      </c>
      <c r="J15" s="3">
        <v>3.797996E-2</v>
      </c>
      <c r="K15" s="3">
        <v>3.1466483999999999E-3</v>
      </c>
      <c r="L15" s="3">
        <v>8.2303285999999996E-3</v>
      </c>
      <c r="M15" s="3">
        <v>-1.4555572999999999E-2</v>
      </c>
      <c r="N15" s="3">
        <v>-4.5273423E-2</v>
      </c>
      <c r="O15" s="3">
        <v>-6.3045740000000003E-2</v>
      </c>
      <c r="P15" s="3">
        <v>-0.10963315</v>
      </c>
      <c r="Q15" s="3">
        <v>-3.2670735999999999E-2</v>
      </c>
      <c r="R15" s="3">
        <v>-1.7786561999999999E-2</v>
      </c>
      <c r="S15" s="3">
        <v>-1.220417E-2</v>
      </c>
      <c r="T15" s="3">
        <v>-2.5708674999999999E-3</v>
      </c>
      <c r="U15" s="3">
        <v>7.9405309999999989E-3</v>
      </c>
      <c r="V15" s="3">
        <v>-5.1137389999999998E-2</v>
      </c>
      <c r="W15" s="3">
        <v>-3.4968495000000002E-2</v>
      </c>
      <c r="X15" s="3">
        <v>-2.3678599999999998E-2</v>
      </c>
      <c r="Y15" s="3">
        <v>-6.396222E-2</v>
      </c>
      <c r="Z15" s="3">
        <v>-5.4302573E-2</v>
      </c>
      <c r="AA15" s="3">
        <v>-3.4118056000000001E-2</v>
      </c>
      <c r="AB15" s="3">
        <v>1.1255859999999999E-2</v>
      </c>
      <c r="AC15" s="3">
        <v>-9.5242859999999999E-3</v>
      </c>
      <c r="AD15" s="3">
        <v>-5.6458234999999996E-2</v>
      </c>
      <c r="AE15" s="3">
        <v>-2.6212930000000002E-2</v>
      </c>
      <c r="AF15" s="3">
        <v>-2.8461634999999999E-2</v>
      </c>
      <c r="AG15" s="3">
        <v>-8.3448709999999995E-2</v>
      </c>
      <c r="AH15" s="3">
        <v>-5.3955735999999997E-2</v>
      </c>
      <c r="AI15" s="3">
        <v>-2.7365982999999997E-2</v>
      </c>
      <c r="AJ15" s="3"/>
      <c r="AK15" s="3"/>
      <c r="AL15" s="3"/>
    </row>
    <row r="16" spans="1:38" x14ac:dyDescent="0.45">
      <c r="A16" s="2">
        <v>44581</v>
      </c>
      <c r="B16" s="3">
        <v>-1.5813946999999998E-2</v>
      </c>
      <c r="C16" s="3">
        <v>0.1834327</v>
      </c>
      <c r="D16" s="3">
        <v>2.3337721999999998E-2</v>
      </c>
      <c r="E16" s="3">
        <v>-4.4144629999999997E-2</v>
      </c>
      <c r="F16" s="3">
        <v>6.7127347000000004E-2</v>
      </c>
      <c r="G16" s="3">
        <v>0.2211399</v>
      </c>
      <c r="H16" s="3">
        <v>3.0315756999999999E-2</v>
      </c>
      <c r="I16" s="3">
        <v>3.2525419999999999E-2</v>
      </c>
      <c r="J16" s="3">
        <v>2.5837064E-2</v>
      </c>
      <c r="K16" s="3">
        <v>-2.0124555000000002E-2</v>
      </c>
      <c r="L16" s="3">
        <v>0.10234404</v>
      </c>
      <c r="M16" s="3">
        <v>0.10476183999999999</v>
      </c>
      <c r="N16" s="3">
        <v>0.10481048</v>
      </c>
      <c r="O16" s="3">
        <v>7.0379852999999992E-2</v>
      </c>
      <c r="P16" s="3">
        <v>6.8039535999999998E-2</v>
      </c>
      <c r="Q16" s="3">
        <v>7.1651935999999999E-2</v>
      </c>
      <c r="R16" s="3">
        <v>2.5473355999999999E-2</v>
      </c>
      <c r="S16" s="3">
        <v>-1.2536168E-2</v>
      </c>
      <c r="T16" s="3">
        <v>1.9000530000000002E-2</v>
      </c>
      <c r="U16" s="3">
        <v>-3.3495187999999995E-2</v>
      </c>
      <c r="V16" s="3">
        <v>0.11295843</v>
      </c>
      <c r="W16" s="3">
        <v>-2.1332383E-2</v>
      </c>
      <c r="X16" s="3">
        <v>1.0870337000000001E-2</v>
      </c>
      <c r="Y16" s="3">
        <v>6.4516187000000003E-2</v>
      </c>
      <c r="Z16" s="3">
        <v>3.0269860999999999E-2</v>
      </c>
      <c r="AA16" s="3">
        <v>-2.3709536E-2</v>
      </c>
      <c r="AB16" s="3">
        <v>-1.6598284000000001E-2</v>
      </c>
      <c r="AC16" s="3">
        <v>7.5762389999999999E-2</v>
      </c>
      <c r="AD16" s="3">
        <v>-4.9830555999999998E-2</v>
      </c>
      <c r="AE16" s="3">
        <v>-1.8088758E-2</v>
      </c>
      <c r="AF16" s="3">
        <v>3.1826735000000002E-2</v>
      </c>
      <c r="AG16" s="3">
        <v>2.0995140000000002E-3</v>
      </c>
      <c r="AH16" s="3">
        <v>-1.3665377999999999E-2</v>
      </c>
      <c r="AI16" s="3">
        <v>3.8339734E-2</v>
      </c>
      <c r="AJ16" s="3"/>
      <c r="AK16" s="3"/>
      <c r="AL16" s="3"/>
    </row>
    <row r="17" spans="1:38" x14ac:dyDescent="0.45">
      <c r="A17" s="2">
        <v>44610</v>
      </c>
      <c r="B17" s="3">
        <v>-3.7098289E-2</v>
      </c>
      <c r="C17" s="3">
        <v>1.8525838999999999E-2</v>
      </c>
      <c r="D17" s="3">
        <v>3.2702208000000003E-2</v>
      </c>
      <c r="E17" s="3">
        <v>4.746628E-2</v>
      </c>
      <c r="F17" s="3">
        <v>-6.3829839999999999E-2</v>
      </c>
      <c r="G17" s="3">
        <v>1.9793272000000001E-2</v>
      </c>
      <c r="H17" s="3">
        <v>4.8630953000000005E-2</v>
      </c>
      <c r="I17" s="3">
        <v>-8.632421500000001E-3</v>
      </c>
      <c r="J17" s="3">
        <v>1.1686444000000001E-2</v>
      </c>
      <c r="K17" s="3">
        <v>-3.2993197000000002E-2</v>
      </c>
      <c r="L17" s="3">
        <v>9.2598680000000003E-2</v>
      </c>
      <c r="M17" s="3">
        <v>4.7914979999999996E-2</v>
      </c>
      <c r="N17" s="3">
        <v>2.0350933000000002E-2</v>
      </c>
      <c r="O17" s="3">
        <v>-4.4353959999999998E-2</v>
      </c>
      <c r="P17" s="3">
        <v>-5.0285396999999996E-2</v>
      </c>
      <c r="Q17" s="3">
        <v>3.6058425999999998E-2</v>
      </c>
      <c r="R17" s="3">
        <v>3.3941627000000002E-2</v>
      </c>
      <c r="S17" s="3">
        <v>-1.7578065E-2</v>
      </c>
      <c r="T17" s="3">
        <v>2.5270819999999999E-2</v>
      </c>
      <c r="U17" s="3">
        <v>-6.0270429999999993E-3</v>
      </c>
      <c r="V17" s="3">
        <v>1.219523E-2</v>
      </c>
      <c r="W17" s="3">
        <v>-4.2880115999999996E-2</v>
      </c>
      <c r="X17" s="3">
        <v>-5.8043599999999997E-3</v>
      </c>
      <c r="Y17" s="3">
        <v>-2.2274017E-2</v>
      </c>
      <c r="Z17" s="3">
        <v>-4.4117629999999998E-2</v>
      </c>
      <c r="AA17" s="3">
        <v>-2.197963E-2</v>
      </c>
      <c r="AB17" s="3">
        <v>-4.0905533000000001E-2</v>
      </c>
      <c r="AC17" s="3">
        <v>1.4611483000000001E-3</v>
      </c>
      <c r="AD17" s="3">
        <v>-5.5871905999999999E-2</v>
      </c>
      <c r="AE17" s="3">
        <v>-2.8024614E-2</v>
      </c>
      <c r="AF17" s="3">
        <v>-2.7734697000000003E-2</v>
      </c>
      <c r="AG17" s="3">
        <v>-5.7406186999999997E-2</v>
      </c>
      <c r="AH17" s="3">
        <v>-8.3371879999999995E-2</v>
      </c>
      <c r="AI17" s="3">
        <v>-1.9530057999999999E-2</v>
      </c>
      <c r="AJ17" s="3"/>
      <c r="AK17" s="3"/>
      <c r="AL17" s="3"/>
    </row>
    <row r="18" spans="1:38" x14ac:dyDescent="0.45">
      <c r="A18" s="2">
        <v>44638</v>
      </c>
      <c r="B18" s="3">
        <v>-6.723928500000001E-2</v>
      </c>
      <c r="C18" s="3">
        <v>8.9396240000000002E-2</v>
      </c>
      <c r="D18" s="3">
        <v>1.8333315999999999E-2</v>
      </c>
      <c r="E18" s="3">
        <v>-7.8383327000000003E-2</v>
      </c>
      <c r="F18" s="3">
        <v>-8.00395E-2</v>
      </c>
      <c r="G18" s="3">
        <v>6.5179585999999998E-2</v>
      </c>
      <c r="H18" s="3">
        <v>-3.8969517000000004E-4</v>
      </c>
      <c r="I18" s="3">
        <v>-4.4912870000000001E-2</v>
      </c>
      <c r="J18" s="3">
        <v>4.7400950000000004E-2</v>
      </c>
      <c r="K18" s="3">
        <v>-2.0279585999999999E-2</v>
      </c>
      <c r="L18" s="3">
        <v>5.2551746000000003E-2</v>
      </c>
      <c r="M18" s="3">
        <v>4.4958829999999998E-2</v>
      </c>
      <c r="N18" s="3">
        <v>-9.4566709999999998E-2</v>
      </c>
      <c r="O18" s="3">
        <v>3.3632517000000001E-3</v>
      </c>
      <c r="P18" s="3">
        <v>-0.10573328</v>
      </c>
      <c r="Q18" s="3">
        <v>5.4309130000000004E-2</v>
      </c>
      <c r="R18" s="3">
        <v>-2.0248651999999999E-2</v>
      </c>
      <c r="S18" s="3">
        <v>-3.0815125000000002E-2</v>
      </c>
      <c r="T18" s="3">
        <v>6.9835543999999999E-2</v>
      </c>
      <c r="U18" s="3">
        <v>-4.7498760000000001E-2</v>
      </c>
      <c r="V18" s="3">
        <v>3.3954023999999999E-2</v>
      </c>
      <c r="W18" s="3">
        <v>5.8241487000000002E-2</v>
      </c>
      <c r="X18" s="3">
        <v>7.1309446999999998E-2</v>
      </c>
      <c r="Y18" s="3">
        <v>5.3774834000000001E-2</v>
      </c>
      <c r="Z18" s="3">
        <v>-7.3397455E-2</v>
      </c>
      <c r="AA18" s="3">
        <v>-2.1373570000000001E-2</v>
      </c>
      <c r="AB18" s="3">
        <v>1.3871670000000001E-2</v>
      </c>
      <c r="AC18" s="3">
        <v>-2.7137458E-2</v>
      </c>
      <c r="AD18" s="3">
        <v>2.9223084E-2</v>
      </c>
      <c r="AE18" s="3">
        <v>2.6842833E-2</v>
      </c>
      <c r="AF18" s="3">
        <v>-6.1583519999999996E-2</v>
      </c>
      <c r="AG18" s="3">
        <v>-4.4898868000000001E-2</v>
      </c>
      <c r="AH18" s="3">
        <v>1.1874675999999999E-2</v>
      </c>
      <c r="AI18" s="3">
        <v>-0.10488642000000001</v>
      </c>
      <c r="AJ18" s="3"/>
      <c r="AK18" s="3"/>
      <c r="AL18" s="3"/>
    </row>
    <row r="19" spans="1:38" x14ac:dyDescent="0.45">
      <c r="A19" s="2">
        <v>44671</v>
      </c>
      <c r="B19" s="3">
        <v>-7.9452695999999989E-2</v>
      </c>
      <c r="C19" s="3">
        <v>6.3943859999999993E-3</v>
      </c>
      <c r="D19" s="3">
        <v>1.8003225000000001E-2</v>
      </c>
      <c r="E19" s="3">
        <v>1.461792E-2</v>
      </c>
      <c r="F19" s="3">
        <v>-2.7389944000000003E-2</v>
      </c>
      <c r="G19" s="3">
        <v>-5.1672580000000003E-2</v>
      </c>
      <c r="H19" s="3">
        <v>-1.1695862E-2</v>
      </c>
      <c r="I19" s="3">
        <v>-6.5738974000000006E-2</v>
      </c>
      <c r="J19" s="3">
        <v>3.4227370000000003E-3</v>
      </c>
      <c r="K19" s="3">
        <v>-2.6993035999999998E-2</v>
      </c>
      <c r="L19" s="3">
        <v>7.6478959999999999E-2</v>
      </c>
      <c r="M19" s="3">
        <v>-6.0051259999999995E-2</v>
      </c>
      <c r="N19" s="3">
        <v>7.5579166000000003E-2</v>
      </c>
      <c r="O19" s="3">
        <v>-6.7037344000000002E-4</v>
      </c>
      <c r="P19" s="3">
        <v>-9.3715960000000001E-2</v>
      </c>
      <c r="Q19" s="3">
        <v>2.0514965E-2</v>
      </c>
      <c r="R19" s="3">
        <v>1.0962486E-3</v>
      </c>
      <c r="S19" s="3">
        <v>0.21794868000000001</v>
      </c>
      <c r="T19" s="3">
        <v>4.3335199999999997E-2</v>
      </c>
      <c r="U19" s="3">
        <v>-7.1087540000000005E-2</v>
      </c>
      <c r="V19" s="3">
        <v>7.0974590000000004E-2</v>
      </c>
      <c r="W19" s="3">
        <v>-5.6447268000000002E-2</v>
      </c>
      <c r="X19" s="3">
        <v>4.3207407000000003E-2</v>
      </c>
      <c r="Y19" s="3">
        <v>1.4077424999999999E-2</v>
      </c>
      <c r="Z19" s="3">
        <v>-4.1508139999999999E-2</v>
      </c>
      <c r="AA19" s="3">
        <v>-6.4557550000000005E-2</v>
      </c>
      <c r="AB19" s="3">
        <v>-7.1472526E-3</v>
      </c>
      <c r="AC19" s="3">
        <v>2.4894953000000001E-2</v>
      </c>
      <c r="AD19" s="3">
        <v>-2.8044283E-2</v>
      </c>
      <c r="AE19" s="3">
        <v>4.2748450000000001E-4</v>
      </c>
      <c r="AF19" s="3">
        <v>-1.1931895999999999E-2</v>
      </c>
      <c r="AG19" s="3">
        <v>-3.9795280000000002E-2</v>
      </c>
      <c r="AH19" s="3">
        <v>-2.3970007999999998E-2</v>
      </c>
      <c r="AI19" s="3">
        <v>2.2600769999999999E-2</v>
      </c>
      <c r="AJ19" s="3"/>
      <c r="AK19" s="3"/>
      <c r="AL19" s="3"/>
    </row>
    <row r="20" spans="1:38" x14ac:dyDescent="0.45">
      <c r="A20" s="2">
        <v>44701</v>
      </c>
      <c r="B20" s="3">
        <v>-2.4578452000000001E-2</v>
      </c>
      <c r="C20" s="3">
        <v>-9.5305440000000002E-3</v>
      </c>
      <c r="D20" s="3">
        <v>-5.3858459999999997E-2</v>
      </c>
      <c r="E20" s="3">
        <v>-4.9115895999999999E-2</v>
      </c>
      <c r="F20" s="3">
        <v>-0.13970183999999999</v>
      </c>
      <c r="G20" s="3">
        <v>-0.14625746000000001</v>
      </c>
      <c r="H20" s="3">
        <v>-5.6410254999999992E-2</v>
      </c>
      <c r="I20" s="3">
        <v>-6.9679855999999998E-2</v>
      </c>
      <c r="J20" s="3">
        <v>-3.1457245000000002E-2</v>
      </c>
      <c r="K20" s="3">
        <v>-4.9590290000000002E-2</v>
      </c>
      <c r="L20" s="3">
        <v>-9.8659520000000001E-2</v>
      </c>
      <c r="M20" s="3">
        <v>-0.11102455999999999</v>
      </c>
      <c r="N20" s="3">
        <v>-0.12076271</v>
      </c>
      <c r="O20" s="3">
        <v>-8.4078730000000004E-2</v>
      </c>
      <c r="P20" s="3">
        <v>-3.2064320000000004E-3</v>
      </c>
      <c r="Q20" s="3">
        <v>-6.4423560000000005E-2</v>
      </c>
      <c r="R20" s="3">
        <v>-3.4159540000000002E-2</v>
      </c>
      <c r="S20" s="3">
        <v>-0.14736842999999999</v>
      </c>
      <c r="T20" s="3">
        <v>-0.10199791</v>
      </c>
      <c r="U20" s="3">
        <v>-0.11593378</v>
      </c>
      <c r="V20" s="3">
        <v>-0.10860533</v>
      </c>
      <c r="W20" s="3">
        <v>-0.11329222</v>
      </c>
      <c r="X20" s="3">
        <v>-0.10298502</v>
      </c>
      <c r="Y20" s="3">
        <v>-0.10237980000000001</v>
      </c>
      <c r="Z20" s="3">
        <v>-5.846262E-2</v>
      </c>
      <c r="AA20" s="3">
        <v>-1.9914149999999999E-2</v>
      </c>
      <c r="AB20" s="3">
        <v>-0.10180998000000001</v>
      </c>
      <c r="AC20" s="3">
        <v>-6.1164674999999995E-2</v>
      </c>
      <c r="AD20" s="3">
        <v>-0.15395212</v>
      </c>
      <c r="AE20" s="3">
        <v>-0.12385595000000001</v>
      </c>
      <c r="AF20" s="3">
        <v>-6.0379505E-2</v>
      </c>
      <c r="AG20" s="3">
        <v>-0.10009688</v>
      </c>
      <c r="AH20" s="3">
        <v>-0.10770017</v>
      </c>
      <c r="AI20" s="3">
        <v>-6.2903760000000003E-2</v>
      </c>
      <c r="AJ20" s="3"/>
      <c r="AK20" s="3"/>
      <c r="AL20" s="3"/>
    </row>
    <row r="21" spans="1:38" x14ac:dyDescent="0.45">
      <c r="A21" s="2">
        <v>44729</v>
      </c>
      <c r="B21" s="3">
        <v>6.9095373000000002E-2</v>
      </c>
      <c r="C21" s="3">
        <v>-4.4397354E-2</v>
      </c>
      <c r="D21" s="3">
        <v>-2.5529027000000003E-2</v>
      </c>
      <c r="E21" s="3">
        <v>-8.5428119999999996E-2</v>
      </c>
      <c r="F21" s="3">
        <v>-5.9554935000000003E-2</v>
      </c>
      <c r="G21" s="3">
        <v>-2.9973447E-2</v>
      </c>
      <c r="H21" s="3">
        <v>-6.6154957E-2</v>
      </c>
      <c r="I21" s="3">
        <v>-3.6805272E-2</v>
      </c>
      <c r="J21" s="3">
        <v>-8.9949429999999997E-2</v>
      </c>
      <c r="K21" s="3">
        <v>-9.7096199999999994E-2</v>
      </c>
      <c r="L21" s="3">
        <v>-0.12999439000000002</v>
      </c>
      <c r="M21" s="3">
        <v>-5.3324339999999998E-2</v>
      </c>
      <c r="N21" s="3">
        <v>-4.4176699999999999E-2</v>
      </c>
      <c r="O21" s="3">
        <v>-5.3344670000000004E-2</v>
      </c>
      <c r="P21" s="3">
        <v>6.7326664999999994E-2</v>
      </c>
      <c r="Q21" s="3">
        <v>-4.0439787000000005E-2</v>
      </c>
      <c r="R21" s="3">
        <v>-3.9274155999999998E-2</v>
      </c>
      <c r="S21" s="3">
        <v>-2.1388649999999999E-2</v>
      </c>
      <c r="T21" s="3">
        <v>-5.0375165999999999E-2</v>
      </c>
      <c r="U21" s="3">
        <v>-4.2635680000000002E-2</v>
      </c>
      <c r="V21" s="3">
        <v>-5.3209962999999999E-2</v>
      </c>
      <c r="W21" s="3">
        <v>-7.5084209999999998E-2</v>
      </c>
      <c r="X21" s="3">
        <v>-0.10639328000000001</v>
      </c>
      <c r="Y21" s="3">
        <v>-7.3231099999999993E-2</v>
      </c>
      <c r="Z21" s="3">
        <v>-6.470352E-2</v>
      </c>
      <c r="AA21" s="3">
        <v>-7.9185304999999997E-2</v>
      </c>
      <c r="AB21" s="3">
        <v>-7.7034290000000005E-2</v>
      </c>
      <c r="AC21" s="3">
        <v>-7.3699180000000003E-2</v>
      </c>
      <c r="AD21" s="3">
        <v>-4.8461914000000002E-2</v>
      </c>
      <c r="AE21" s="3">
        <v>-5.6959570000000001E-2</v>
      </c>
      <c r="AF21" s="3">
        <v>-6.4380527000000007E-2</v>
      </c>
      <c r="AG21" s="3">
        <v>-6.8217754000000005E-2</v>
      </c>
      <c r="AH21" s="3">
        <v>-8.5217949999999987E-2</v>
      </c>
      <c r="AI21" s="3">
        <v>-8.7109799999999987E-2</v>
      </c>
      <c r="AJ21" s="3"/>
      <c r="AK21" s="3"/>
      <c r="AL21" s="3"/>
    </row>
    <row r="22" spans="1:38" x14ac:dyDescent="0.45">
      <c r="A22" s="2">
        <v>44762</v>
      </c>
      <c r="B22" s="3">
        <v>-1.0982931E-2</v>
      </c>
      <c r="C22" s="3">
        <v>-2.8316557000000003E-2</v>
      </c>
      <c r="D22" s="3">
        <v>-7.073462E-3</v>
      </c>
      <c r="E22" s="3">
        <v>-4.8380970000000002E-2</v>
      </c>
      <c r="F22" s="3">
        <v>-4.4765889999999996E-2</v>
      </c>
      <c r="G22" s="3">
        <v>-8.2944340000000005E-2</v>
      </c>
      <c r="H22" s="3">
        <v>-1.2791156999999999E-2</v>
      </c>
      <c r="I22" s="3">
        <v>-4.1459739999999995E-2</v>
      </c>
      <c r="J22" s="3">
        <v>-7.2036979999999997E-3</v>
      </c>
      <c r="K22" s="3">
        <v>-2.4120629999999997E-2</v>
      </c>
      <c r="L22" s="3">
        <v>-6.9126069999999998E-2</v>
      </c>
      <c r="M22" s="3">
        <v>-3.7860809999999995E-2</v>
      </c>
      <c r="N22" s="3">
        <v>-3.8729131E-2</v>
      </c>
      <c r="O22" s="3">
        <v>3.9587378999999999E-2</v>
      </c>
      <c r="P22" s="3">
        <v>-1.0799527E-2</v>
      </c>
      <c r="Q22" s="3">
        <v>7.2350499999999998E-3</v>
      </c>
      <c r="R22" s="3">
        <v>-1.2756467000000001E-2</v>
      </c>
      <c r="S22" s="3">
        <v>-2.0757616E-2</v>
      </c>
      <c r="T22" s="3">
        <v>-6.9356560000000001E-3</v>
      </c>
      <c r="U22" s="3">
        <v>-1.4170050999999999E-2</v>
      </c>
      <c r="V22" s="3">
        <v>6.6115855999999999E-3</v>
      </c>
      <c r="W22" s="3">
        <v>6.0655000000000001E-2</v>
      </c>
      <c r="X22" s="3">
        <v>3.5559772999999996E-2</v>
      </c>
      <c r="Y22" s="3">
        <v>1.7412186E-2</v>
      </c>
      <c r="Z22" s="3">
        <v>-3.1685650000000003E-2</v>
      </c>
      <c r="AA22" s="3">
        <v>3.4383297E-2</v>
      </c>
      <c r="AB22" s="3">
        <v>5.7721495999999997E-2</v>
      </c>
      <c r="AC22" s="3">
        <v>1.4050722E-2</v>
      </c>
      <c r="AD22" s="3">
        <v>0.10524082</v>
      </c>
      <c r="AE22" s="3">
        <v>7.9019310000000009E-2</v>
      </c>
      <c r="AF22" s="3">
        <v>1.7845034999999999E-2</v>
      </c>
      <c r="AG22" s="3">
        <v>5.5051208000000004E-2</v>
      </c>
      <c r="AH22" s="3">
        <v>2.8700351999999998E-2</v>
      </c>
      <c r="AI22" s="3">
        <v>-6.5546930000000003E-2</v>
      </c>
      <c r="AJ22" s="3"/>
      <c r="AK22" s="3"/>
      <c r="AL22" s="3"/>
    </row>
    <row r="23" spans="1:38" x14ac:dyDescent="0.45">
      <c r="A23" s="2">
        <v>44792</v>
      </c>
      <c r="B23" s="3">
        <v>-3.4425378E-2</v>
      </c>
      <c r="C23" s="3">
        <v>2.5948167000000001E-2</v>
      </c>
      <c r="D23" s="3">
        <v>5.1202180000000007E-2</v>
      </c>
      <c r="E23" s="3">
        <v>0.10848677000000001</v>
      </c>
      <c r="F23" s="3">
        <v>-1.297766E-2</v>
      </c>
      <c r="G23" s="3">
        <v>2.2709489999999999E-2</v>
      </c>
      <c r="H23" s="3">
        <v>3.9333581999999999E-2</v>
      </c>
      <c r="I23" s="3">
        <v>4.0462493999999995E-2</v>
      </c>
      <c r="J23" s="3">
        <v>4.4415116000000004E-2</v>
      </c>
      <c r="K23" s="3">
        <v>1.1328578000000001E-2</v>
      </c>
      <c r="L23" s="3">
        <v>0.19930744</v>
      </c>
      <c r="M23" s="3">
        <v>3.1480549999999996E-2</v>
      </c>
      <c r="N23" s="3">
        <v>9.0271709999999991E-2</v>
      </c>
      <c r="O23" s="3">
        <v>7.4175119999999997E-2</v>
      </c>
      <c r="P23" s="3">
        <v>-7.1633760000000005E-2</v>
      </c>
      <c r="Q23" s="3">
        <v>0.10610331000000001</v>
      </c>
      <c r="R23" s="3">
        <v>5.6258679999999998E-2</v>
      </c>
      <c r="S23" s="3">
        <v>0.14944351</v>
      </c>
      <c r="T23" s="3">
        <v>5.7142853999999993E-2</v>
      </c>
      <c r="U23" s="3">
        <v>5.7494880000000005E-2</v>
      </c>
      <c r="V23" s="3">
        <v>7.1545839999999999E-2</v>
      </c>
      <c r="W23" s="3">
        <v>4.0878414999999994E-2</v>
      </c>
      <c r="X23" s="3">
        <v>4.8723935999999995E-2</v>
      </c>
      <c r="Y23" s="3">
        <v>4.8391820000000002E-2</v>
      </c>
      <c r="Z23" s="3">
        <v>3.0541420000000001E-3</v>
      </c>
      <c r="AA23" s="3">
        <v>3.3054829000000001E-2</v>
      </c>
      <c r="AB23" s="3">
        <v>2.5131701999999999E-2</v>
      </c>
      <c r="AC23" s="3">
        <v>3.2443404000000002E-2</v>
      </c>
      <c r="AD23" s="3">
        <v>6.5438986000000005E-2</v>
      </c>
      <c r="AE23" s="3">
        <v>6.9331527000000004E-2</v>
      </c>
      <c r="AF23" s="3">
        <v>4.1680454999999998E-2</v>
      </c>
      <c r="AG23" s="3">
        <v>1.8318057000000002E-2</v>
      </c>
      <c r="AH23" s="3">
        <v>1.0971785000000001E-2</v>
      </c>
      <c r="AI23" s="3">
        <v>6.4007043999999999E-2</v>
      </c>
      <c r="AJ23" s="3"/>
      <c r="AK23" s="3"/>
      <c r="AL23" s="3"/>
    </row>
    <row r="24" spans="1:38" x14ac:dyDescent="0.45">
      <c r="A24" s="2">
        <v>44824</v>
      </c>
      <c r="B24" s="3">
        <v>-7.9355900000000007E-2</v>
      </c>
      <c r="C24" s="3">
        <v>1.1673093000000001E-2</v>
      </c>
      <c r="D24" s="3">
        <v>2.8801321999999997E-2</v>
      </c>
      <c r="E24" s="3">
        <v>-9.4438439999999998E-2</v>
      </c>
      <c r="F24" s="3">
        <v>-0.10883856</v>
      </c>
      <c r="G24" s="3">
        <v>-1.6845345000000001E-2</v>
      </c>
      <c r="H24" s="3">
        <v>-4.3633102999999999E-2</v>
      </c>
      <c r="I24" s="3">
        <v>-9.0996149999999998E-2</v>
      </c>
      <c r="J24" s="3">
        <v>-1.3263166E-2</v>
      </c>
      <c r="K24" s="3">
        <v>-9.0801060000000003E-2</v>
      </c>
      <c r="L24" s="3">
        <v>1.0907887999999999E-2</v>
      </c>
      <c r="M24" s="3">
        <v>-8.1068149999999992E-2</v>
      </c>
      <c r="N24" s="3">
        <v>-7.1141424000000009E-2</v>
      </c>
      <c r="O24" s="3">
        <v>2.7713776E-3</v>
      </c>
      <c r="P24" s="3">
        <v>-5.0546765E-2</v>
      </c>
      <c r="Q24" s="3">
        <v>-7.8926086000000006E-2</v>
      </c>
      <c r="R24" s="3">
        <v>7.7924729999999994E-3</v>
      </c>
      <c r="S24" s="3">
        <v>7.6532959999999997E-2</v>
      </c>
      <c r="T24" s="3">
        <v>-2.7627586999999999E-2</v>
      </c>
      <c r="U24" s="3">
        <v>-6.7961159999999993E-2</v>
      </c>
      <c r="V24" s="3">
        <v>-9.2600710000000003E-2</v>
      </c>
      <c r="W24" s="3">
        <v>-5.9954046999999996E-2</v>
      </c>
      <c r="X24" s="3">
        <v>-6.1946870000000001E-2</v>
      </c>
      <c r="Y24" s="3">
        <v>-6.1919393999999996E-2</v>
      </c>
      <c r="Z24" s="3">
        <v>-7.3945164999999993E-2</v>
      </c>
      <c r="AA24" s="3">
        <v>-7.8554810000000003E-2</v>
      </c>
      <c r="AB24" s="3">
        <v>-7.9150200000000004E-2</v>
      </c>
      <c r="AC24" s="3">
        <v>-8.0523729999999988E-2</v>
      </c>
      <c r="AD24" s="3">
        <v>-0.10411804999999999</v>
      </c>
      <c r="AE24" s="3">
        <v>-8.6368739999999999E-2</v>
      </c>
      <c r="AF24" s="3">
        <v>-8.9869795000000002E-2</v>
      </c>
      <c r="AG24" s="3">
        <v>-0.10411554000000001</v>
      </c>
      <c r="AH24" s="3">
        <v>-0.115969</v>
      </c>
      <c r="AI24" s="3">
        <v>-4.3263315999999996E-2</v>
      </c>
      <c r="AJ24" s="3"/>
      <c r="AK24" s="3"/>
      <c r="AL24" s="3"/>
    </row>
    <row r="25" spans="1:38" x14ac:dyDescent="0.45">
      <c r="A25" s="2">
        <v>44854</v>
      </c>
      <c r="B25" s="3">
        <v>-6.3397884000000002E-2</v>
      </c>
      <c r="C25" s="3">
        <v>-9.4230769999999991E-2</v>
      </c>
      <c r="D25" s="3">
        <v>-4.2404294000000002E-2</v>
      </c>
      <c r="E25" s="3">
        <v>-7.4376940000000002E-2</v>
      </c>
      <c r="F25" s="3">
        <v>-7.7868820000000005E-2</v>
      </c>
      <c r="G25" s="3">
        <v>-1.4797568000000001E-2</v>
      </c>
      <c r="H25" s="3">
        <v>-4.0968299999999999E-2</v>
      </c>
      <c r="I25" s="3">
        <v>-0.11949426</v>
      </c>
      <c r="J25" s="3">
        <v>-1.2588024E-2</v>
      </c>
      <c r="K25" s="3">
        <v>-7.5228634000000003E-2</v>
      </c>
      <c r="L25" s="3">
        <v>4.2843579999999999E-2</v>
      </c>
      <c r="M25" s="3">
        <v>-4.4628979999999999E-2</v>
      </c>
      <c r="N25" s="3">
        <v>5.6252480000000002E-3</v>
      </c>
      <c r="O25" s="3">
        <v>-5.2510320000000006E-2</v>
      </c>
      <c r="P25" s="3">
        <v>-0.14080834</v>
      </c>
      <c r="Q25" s="3">
        <v>-1.0621905000000001E-2</v>
      </c>
      <c r="R25" s="3">
        <v>-2.7987479999999999E-2</v>
      </c>
      <c r="S25" s="3">
        <v>0.15460383999999999</v>
      </c>
      <c r="T25" s="3">
        <v>-4.5707283000000001E-2</v>
      </c>
      <c r="U25" s="3">
        <v>-0.15763885</v>
      </c>
      <c r="V25" s="3">
        <v>6.4897419999999997E-2</v>
      </c>
      <c r="W25" s="3">
        <v>-9.2000010000000007E-2</v>
      </c>
      <c r="X25" s="3">
        <v>-6.0377359999999998E-2</v>
      </c>
      <c r="Y25" s="3">
        <v>-6.4806520000000006E-2</v>
      </c>
      <c r="Z25" s="3">
        <v>-2.6303469999999999E-2</v>
      </c>
      <c r="AA25" s="3">
        <v>-5.5013657000000001E-2</v>
      </c>
      <c r="AB25" s="3">
        <v>-4.4624686000000004E-2</v>
      </c>
      <c r="AC25" s="3">
        <v>-4.663581E-2</v>
      </c>
      <c r="AD25" s="3">
        <v>-6.7952869999999999E-2</v>
      </c>
      <c r="AE25" s="3">
        <v>-4.8634409999999996E-2</v>
      </c>
      <c r="AF25" s="3">
        <v>-9.769738E-3</v>
      </c>
      <c r="AG25" s="3">
        <v>-4.7763880000000002E-2</v>
      </c>
      <c r="AH25" s="3">
        <v>-2.6657343E-2</v>
      </c>
      <c r="AI25" s="3">
        <v>-2.5839746E-2</v>
      </c>
      <c r="AJ25" s="3"/>
      <c r="AK25" s="3"/>
      <c r="AL25" s="3"/>
    </row>
    <row r="26" spans="1:38" x14ac:dyDescent="0.45">
      <c r="A26" s="2">
        <v>44883</v>
      </c>
      <c r="B26" s="3">
        <v>3.1240463E-2</v>
      </c>
      <c r="C26" s="3">
        <v>6.7940592999999994E-2</v>
      </c>
      <c r="D26" s="3">
        <v>-3.0094385000000003E-3</v>
      </c>
      <c r="E26" s="3">
        <v>9.4786759999999998E-2</v>
      </c>
      <c r="F26" s="3">
        <v>0.28533340000000001</v>
      </c>
      <c r="G26" s="3">
        <v>0.14071154999999999</v>
      </c>
      <c r="H26" s="3">
        <v>5.0970793E-2</v>
      </c>
      <c r="I26" s="3">
        <v>0.16347539999999999</v>
      </c>
      <c r="J26" s="3">
        <v>0.15276575000000001</v>
      </c>
      <c r="K26" s="3">
        <v>0.17178035999999999</v>
      </c>
      <c r="L26" s="3">
        <v>-0.10316496999999999</v>
      </c>
      <c r="M26" s="3">
        <v>0.18006516</v>
      </c>
      <c r="N26" s="3">
        <v>9.8537079999999999E-2</v>
      </c>
      <c r="O26" s="3">
        <v>4.350996E-2</v>
      </c>
      <c r="P26" s="3">
        <v>0.11431466999999999</v>
      </c>
      <c r="Q26" s="3">
        <v>-2.8518796000000003E-2</v>
      </c>
      <c r="R26" s="3">
        <v>1.5476584E-2</v>
      </c>
      <c r="S26" s="3">
        <v>0.12017811</v>
      </c>
      <c r="T26" s="3">
        <v>9.7087619999999993E-3</v>
      </c>
      <c r="U26" s="3">
        <v>-6.1830163E-2</v>
      </c>
      <c r="V26" s="3">
        <v>-7.9746246000000007E-2</v>
      </c>
      <c r="W26" s="3">
        <v>0.14023495</v>
      </c>
      <c r="X26" s="3">
        <v>0.14257026</v>
      </c>
      <c r="Y26" s="3">
        <v>0.10811686500000001</v>
      </c>
      <c r="Z26" s="3">
        <v>0.20260502</v>
      </c>
      <c r="AA26" s="3">
        <v>0.11973583</v>
      </c>
      <c r="AB26" s="3">
        <v>0.11730361</v>
      </c>
      <c r="AC26" s="3">
        <v>0.13032114</v>
      </c>
      <c r="AD26" s="3">
        <v>5.8377743000000003E-2</v>
      </c>
      <c r="AE26" s="3">
        <v>8.3796259999999997E-2</v>
      </c>
      <c r="AF26" s="3">
        <v>0.15750527</v>
      </c>
      <c r="AG26" s="3">
        <v>0.20958471000000001</v>
      </c>
      <c r="AH26" s="3">
        <v>0.17621624</v>
      </c>
      <c r="AI26" s="3">
        <v>0.20601236000000001</v>
      </c>
      <c r="AJ26" s="3"/>
      <c r="AK26" s="3"/>
      <c r="AL26" s="3"/>
    </row>
    <row r="27" spans="1:38" x14ac:dyDescent="0.45">
      <c r="A27" s="2">
        <v>44915</v>
      </c>
      <c r="B27" s="3">
        <v>2.0188212000000001E-2</v>
      </c>
      <c r="C27" s="3">
        <v>4.9388885E-2</v>
      </c>
      <c r="D27" s="3">
        <v>-1.5602767E-2</v>
      </c>
      <c r="E27" s="3">
        <v>3.0349493000000002E-2</v>
      </c>
      <c r="F27" s="3">
        <v>6.5395594000000001E-2</v>
      </c>
      <c r="G27" s="3">
        <v>-8.5084439999999987E-3</v>
      </c>
      <c r="H27" s="3">
        <v>4.0460349999999999E-2</v>
      </c>
      <c r="I27" s="3">
        <v>-1.4030814000000001E-2</v>
      </c>
      <c r="J27" s="3">
        <v>-3.7285565999999999E-2</v>
      </c>
      <c r="K27" s="3">
        <v>1.3387202999999999E-3</v>
      </c>
      <c r="L27" s="3">
        <v>1.5300274000000001E-2</v>
      </c>
      <c r="M27" s="3">
        <v>-1.5798867000000001E-2</v>
      </c>
      <c r="N27" s="3">
        <v>5.6795834999999996E-2</v>
      </c>
      <c r="O27" s="3">
        <v>-9.3175169999999991E-3</v>
      </c>
      <c r="P27" s="3">
        <v>6.8022369999999999E-2</v>
      </c>
      <c r="Q27" s="3">
        <v>-9.3397030000000006E-2</v>
      </c>
      <c r="R27" s="3">
        <v>-8.0006120000000007E-3</v>
      </c>
      <c r="S27" s="3">
        <v>0.22329117000000001</v>
      </c>
      <c r="T27" s="3">
        <v>-1.3236284000000001E-2</v>
      </c>
      <c r="U27" s="3">
        <v>6.2306759999999996E-2</v>
      </c>
      <c r="V27" s="3">
        <v>-7.6602400000000001E-2</v>
      </c>
      <c r="W27" s="3">
        <v>3.9573073E-2</v>
      </c>
      <c r="X27" s="3">
        <v>-1.3154626000000001E-2</v>
      </c>
      <c r="Y27" s="3">
        <v>-4.7113657000000003E-2</v>
      </c>
      <c r="Z27" s="3">
        <v>-1.0899186E-2</v>
      </c>
      <c r="AA27" s="3">
        <v>1.5711069000000001E-2</v>
      </c>
      <c r="AB27" s="3">
        <v>-1.1163830999999999E-2</v>
      </c>
      <c r="AC27" s="3">
        <v>2.3680805999999999E-2</v>
      </c>
      <c r="AD27" s="3">
        <v>-5.1348567000000005E-2</v>
      </c>
      <c r="AE27" s="3">
        <v>-3.4647106999999996E-2</v>
      </c>
      <c r="AF27" s="3">
        <v>2.384901E-3</v>
      </c>
      <c r="AG27" s="3">
        <v>-3.8893222999999998E-3</v>
      </c>
      <c r="AH27" s="3">
        <v>-6.6078305E-3</v>
      </c>
      <c r="AI27" s="3">
        <v>-6.9158079999999999E-3</v>
      </c>
      <c r="AJ27" s="3"/>
      <c r="AK27" s="3"/>
      <c r="AL27" s="3"/>
    </row>
    <row r="28" spans="1:38" x14ac:dyDescent="0.45">
      <c r="A28" s="2">
        <v>44946</v>
      </c>
      <c r="B28" s="3">
        <v>0.12305201</v>
      </c>
      <c r="C28" s="3">
        <v>9.288776E-2</v>
      </c>
      <c r="D28" s="3">
        <v>2.3451328E-2</v>
      </c>
      <c r="E28" s="3">
        <v>0.12125862</v>
      </c>
      <c r="F28" s="3">
        <v>0.10171735999999999</v>
      </c>
      <c r="G28" s="3">
        <v>0.11842108</v>
      </c>
      <c r="H28" s="3">
        <v>7.3957800000000004E-2</v>
      </c>
      <c r="I28" s="3">
        <v>8.8155629999999985E-2</v>
      </c>
      <c r="J28" s="3">
        <v>0.12994230000000001</v>
      </c>
      <c r="K28" s="3">
        <v>0.10097504</v>
      </c>
      <c r="L28" s="3">
        <v>4.9640299999999998E-2</v>
      </c>
      <c r="M28" s="3">
        <v>9.6153849999999999E-2</v>
      </c>
      <c r="N28" s="3">
        <v>0.10279727</v>
      </c>
      <c r="O28" s="3">
        <v>3.5269260000000001E-3</v>
      </c>
      <c r="P28" s="3">
        <v>0.17921078000000001</v>
      </c>
      <c r="Q28" s="3">
        <v>9.5794199999999999E-3</v>
      </c>
      <c r="R28" s="3">
        <v>4.5380353999999998E-2</v>
      </c>
      <c r="S28" s="3">
        <v>4.8966408000000001E-3</v>
      </c>
      <c r="T28" s="3">
        <v>-1.0416687000000001E-2</v>
      </c>
      <c r="U28" s="3">
        <v>8.795821999999999E-2</v>
      </c>
      <c r="V28" s="3">
        <v>5.0929665999999998E-2</v>
      </c>
      <c r="W28" s="3">
        <v>7.8423259999999995E-2</v>
      </c>
      <c r="X28" s="3">
        <v>0.10566891</v>
      </c>
      <c r="Y28" s="3">
        <v>8.1997509999999996E-2</v>
      </c>
      <c r="Z28" s="3">
        <v>0.12657202000000001</v>
      </c>
      <c r="AA28" s="3">
        <v>5.2392124999999998E-2</v>
      </c>
      <c r="AB28" s="3">
        <v>7.9269767000000005E-2</v>
      </c>
      <c r="AC28" s="3">
        <v>7.304287000000001E-2</v>
      </c>
      <c r="AD28" s="3">
        <v>4.8749684999999994E-2</v>
      </c>
      <c r="AE28" s="3">
        <v>4.0311100000000002E-2</v>
      </c>
      <c r="AF28" s="3">
        <v>0.11216092</v>
      </c>
      <c r="AG28" s="3">
        <v>0.11499464</v>
      </c>
      <c r="AH28" s="3">
        <v>0.10049618</v>
      </c>
      <c r="AI28" s="3">
        <v>0.10640693000000001</v>
      </c>
      <c r="AJ28" s="3"/>
      <c r="AK28" s="3"/>
      <c r="AL28" s="3"/>
    </row>
    <row r="29" spans="1:38" x14ac:dyDescent="0.45">
      <c r="A29" s="2">
        <v>44974</v>
      </c>
      <c r="B29" s="3">
        <v>-5.4640055E-2</v>
      </c>
      <c r="C29" s="3">
        <v>4.107392E-2</v>
      </c>
      <c r="D29" s="3">
        <v>2.1617413000000001E-3</v>
      </c>
      <c r="E29" s="3">
        <v>-5.2361370000000004E-2</v>
      </c>
      <c r="F29" s="3">
        <v>-4.5563580000000006E-2</v>
      </c>
      <c r="G29" s="3">
        <v>-5.8823529999999999E-2</v>
      </c>
      <c r="H29" s="3">
        <v>-5.8848085000000001E-2</v>
      </c>
      <c r="I29" s="3">
        <v>4.5259000000000002E-3</v>
      </c>
      <c r="J29" s="3">
        <v>2.9365299999999997E-2</v>
      </c>
      <c r="K29" s="3">
        <v>-3.7160039999999998E-2</v>
      </c>
      <c r="L29" s="3">
        <v>-1.6792297000000001E-2</v>
      </c>
      <c r="M29" s="3">
        <v>-7.4723780000000004E-2</v>
      </c>
      <c r="N29" s="3">
        <v>0.10758615000000001</v>
      </c>
      <c r="O29" s="3">
        <v>-5.5295230000000001E-2</v>
      </c>
      <c r="P29" s="3">
        <v>-8.11997E-2</v>
      </c>
      <c r="Q29" s="3">
        <v>-3.6900282E-2</v>
      </c>
      <c r="R29" s="3">
        <v>-1.1662006000000001E-2</v>
      </c>
      <c r="S29" s="3">
        <v>-7.7693520000000002E-2</v>
      </c>
      <c r="T29" s="3">
        <v>-1.7763138000000001E-2</v>
      </c>
      <c r="U29" s="3">
        <v>-8.8257849999999999E-2</v>
      </c>
      <c r="V29" s="3">
        <v>-2.6923059999999999E-2</v>
      </c>
      <c r="W29" s="3">
        <v>-1.8853426E-2</v>
      </c>
      <c r="X29" s="3">
        <v>-2.8301835000000001E-2</v>
      </c>
      <c r="Y29" s="3">
        <v>-3.1338334000000001E-3</v>
      </c>
      <c r="Z29" s="3">
        <v>1.3683796E-2</v>
      </c>
      <c r="AA29" s="3">
        <v>-1.4347433999999999E-2</v>
      </c>
      <c r="AB29" s="3">
        <v>-4.4512749999999998E-4</v>
      </c>
      <c r="AC29" s="3">
        <v>1.5263556999999999E-3</v>
      </c>
      <c r="AD29" s="3">
        <v>6.5374373999999999E-2</v>
      </c>
      <c r="AE29" s="3">
        <v>2.8746127999999999E-2</v>
      </c>
      <c r="AF29" s="3">
        <v>2.9049040000000002E-2</v>
      </c>
      <c r="AG29" s="3">
        <v>1.0768175E-2</v>
      </c>
      <c r="AH29" s="3">
        <v>9.0191363999999989E-3</v>
      </c>
      <c r="AI29" s="3">
        <v>4.3345689999999999E-2</v>
      </c>
      <c r="AJ29" s="3"/>
      <c r="AK29" s="3"/>
      <c r="AL29" s="3"/>
    </row>
    <row r="30" spans="1:38" x14ac:dyDescent="0.45">
      <c r="A30" s="2">
        <v>45005</v>
      </c>
      <c r="B30" s="3">
        <v>-2.4770677000000001E-2</v>
      </c>
      <c r="C30" s="3">
        <v>-8.4201520000000002E-2</v>
      </c>
      <c r="D30" s="3">
        <v>-4.8748969999999996E-2</v>
      </c>
      <c r="E30" s="3">
        <v>-3.7919879999999996E-2</v>
      </c>
      <c r="F30" s="3">
        <v>-8.5427099999999992E-2</v>
      </c>
      <c r="G30" s="3">
        <v>-2.4324358000000001E-2</v>
      </c>
      <c r="H30" s="3">
        <v>-4.5676230000000005E-2</v>
      </c>
      <c r="I30" s="3">
        <v>-9.2363360000000012E-3</v>
      </c>
      <c r="J30" s="3">
        <v>-5.7396649999999994E-2</v>
      </c>
      <c r="K30" s="3">
        <v>-3.4159899000000001E-2</v>
      </c>
      <c r="L30" s="3">
        <v>-8.7138360000000012E-2</v>
      </c>
      <c r="M30" s="3">
        <v>-8.3567379999999997E-2</v>
      </c>
      <c r="N30" s="3">
        <v>-8.5305099999999995E-2</v>
      </c>
      <c r="O30" s="3">
        <v>-4.3898819999999998E-2</v>
      </c>
      <c r="P30" s="3">
        <v>-6.7277073999999992E-2</v>
      </c>
      <c r="Q30" s="3">
        <v>-4.7619103999999995E-2</v>
      </c>
      <c r="R30" s="3">
        <v>-6.1676206999999997E-2</v>
      </c>
      <c r="S30" s="3">
        <v>-2.0545721000000002E-3</v>
      </c>
      <c r="T30" s="3">
        <v>-6.2960505E-2</v>
      </c>
      <c r="U30" s="3">
        <v>-3.3670067999999997E-2</v>
      </c>
      <c r="V30" s="3">
        <v>-2.3715435999999999E-2</v>
      </c>
      <c r="W30" s="3">
        <v>-4.9607810000000002E-2</v>
      </c>
      <c r="X30" s="3">
        <v>-6.3739959999999998E-2</v>
      </c>
      <c r="Y30" s="3">
        <v>-6.2303543000000003E-2</v>
      </c>
      <c r="Z30" s="3">
        <v>-4.5115470000000005E-2</v>
      </c>
      <c r="AA30" s="3">
        <v>-8.7688565E-3</v>
      </c>
      <c r="AB30" s="3">
        <v>-4.5646849999999996E-2</v>
      </c>
      <c r="AC30" s="3">
        <v>-5.2727880000000005E-2</v>
      </c>
      <c r="AD30" s="3">
        <v>1.7539619999999999E-2</v>
      </c>
      <c r="AE30" s="3">
        <v>-2.9463530000000002E-2</v>
      </c>
      <c r="AF30" s="3">
        <v>-4.4474005999999996E-2</v>
      </c>
      <c r="AG30" s="3">
        <v>-5.0662936999999998E-2</v>
      </c>
      <c r="AH30" s="3">
        <v>-5.6703862999999993E-2</v>
      </c>
      <c r="AI30" s="3">
        <v>-6.7510550000000003E-2</v>
      </c>
      <c r="AJ30" s="3"/>
      <c r="AK30" s="3"/>
      <c r="AL30" s="3"/>
    </row>
    <row r="31" spans="1:38" x14ac:dyDescent="0.45">
      <c r="A31" s="2">
        <v>45036</v>
      </c>
      <c r="B31" s="3">
        <v>3.1984924999999997E-2</v>
      </c>
      <c r="C31" s="3">
        <v>8.8772889999999993E-2</v>
      </c>
      <c r="D31" s="3">
        <v>8.299314499999999E-2</v>
      </c>
      <c r="E31" s="3">
        <v>-1.9519447999999998E-2</v>
      </c>
      <c r="F31" s="3">
        <v>0.1875</v>
      </c>
      <c r="G31" s="3">
        <v>9.0720290000000009E-2</v>
      </c>
      <c r="H31" s="3">
        <v>2.3234248000000002E-2</v>
      </c>
      <c r="I31" s="3">
        <v>8.4128380000000006E-3</v>
      </c>
      <c r="J31" s="3">
        <v>8.6987970000000012E-2</v>
      </c>
      <c r="K31" s="3">
        <v>5.6963086000000003E-2</v>
      </c>
      <c r="L31" s="3">
        <v>6.8728446999999998E-2</v>
      </c>
      <c r="M31" s="3">
        <v>0.10804593999999999</v>
      </c>
      <c r="N31" s="3">
        <v>8.1347939999999994E-2</v>
      </c>
      <c r="O31" s="3">
        <v>3.3981919999999999E-2</v>
      </c>
      <c r="P31" s="3">
        <v>4.0759683000000005E-2</v>
      </c>
      <c r="Q31" s="3">
        <v>2.9310345999999998E-2</v>
      </c>
      <c r="R31" s="3">
        <v>6.2040089999999999E-3</v>
      </c>
      <c r="S31" s="3">
        <v>-8.5294246999999997E-3</v>
      </c>
      <c r="T31" s="3">
        <v>5.396712E-2</v>
      </c>
      <c r="U31" s="3">
        <v>4.3554068000000001E-2</v>
      </c>
      <c r="V31" s="3">
        <v>8.8529110000000008E-2</v>
      </c>
      <c r="W31" s="3">
        <v>7.2209835E-3</v>
      </c>
      <c r="X31" s="3">
        <v>5.9513090000000005E-2</v>
      </c>
      <c r="Y31" s="3">
        <v>7.4672219999999997E-2</v>
      </c>
      <c r="Z31" s="3">
        <v>7.8497049999999999E-2</v>
      </c>
      <c r="AA31" s="3">
        <v>3.8216590000000002E-2</v>
      </c>
      <c r="AB31" s="3">
        <v>0.11082589999999999</v>
      </c>
      <c r="AC31" s="3">
        <v>8.4942100000000006E-2</v>
      </c>
      <c r="AD31" s="3">
        <v>3.3696055000000003E-2</v>
      </c>
      <c r="AE31" s="3">
        <v>4.6071053000000001E-2</v>
      </c>
      <c r="AF31" s="3">
        <v>9.6432569999999995E-2</v>
      </c>
      <c r="AG31" s="3">
        <v>5.0623535999999997E-2</v>
      </c>
      <c r="AH31" s="3">
        <v>7.9360366000000002E-2</v>
      </c>
      <c r="AI31" s="3">
        <v>9.5022559999999992E-2</v>
      </c>
      <c r="AJ31" s="3"/>
      <c r="AK31" s="3"/>
      <c r="AL31" s="3"/>
    </row>
    <row r="32" spans="1:38" x14ac:dyDescent="0.45">
      <c r="A32" s="2">
        <v>45065</v>
      </c>
      <c r="B32" s="3">
        <v>-5.4998455000000002E-2</v>
      </c>
      <c r="C32" s="3">
        <v>2.5008560000000003E-2</v>
      </c>
      <c r="D32" s="3">
        <v>-1.2144029000000001E-2</v>
      </c>
      <c r="E32" s="3">
        <v>2.4502277000000003E-2</v>
      </c>
      <c r="F32" s="3">
        <v>3.7015557000000004E-2</v>
      </c>
      <c r="G32" s="3">
        <v>-3.8730145000000001E-2</v>
      </c>
      <c r="H32" s="3">
        <v>-2.0435990000000001E-2</v>
      </c>
      <c r="I32" s="3">
        <v>2.8184890000000001E-2</v>
      </c>
      <c r="J32" s="3">
        <v>1.6005278000000001E-2</v>
      </c>
      <c r="K32" s="3">
        <v>-1.7696618999999999E-3</v>
      </c>
      <c r="L32" s="3">
        <v>6.7881346000000009E-2</v>
      </c>
      <c r="M32" s="3">
        <v>-0.10765332000000001</v>
      </c>
      <c r="N32" s="3">
        <v>6.9247484000000007E-3</v>
      </c>
      <c r="O32" s="3">
        <v>2.5589585000000001E-2</v>
      </c>
      <c r="P32" s="3">
        <v>-5.1466107000000004E-2</v>
      </c>
      <c r="Q32" s="3">
        <v>7.7051996999999997E-2</v>
      </c>
      <c r="R32" s="3">
        <v>-3.2081008000000001E-2</v>
      </c>
      <c r="S32" s="3">
        <v>-0.12726193</v>
      </c>
      <c r="T32" s="3">
        <v>-7.7992680000000007E-3</v>
      </c>
      <c r="U32" s="3">
        <v>3.2554270000000003E-2</v>
      </c>
      <c r="V32" s="3">
        <v>2.5787233999999999E-2</v>
      </c>
      <c r="W32" s="3">
        <v>4.2810319999999999E-2</v>
      </c>
      <c r="X32" s="3">
        <v>-2.1276593E-2</v>
      </c>
      <c r="Y32" s="3">
        <v>-1.3613164000000001E-2</v>
      </c>
      <c r="Z32" s="3">
        <v>1.1383176E-2</v>
      </c>
      <c r="AA32" s="3">
        <v>3.8854837000000003E-2</v>
      </c>
      <c r="AB32" s="3">
        <v>1.3442516E-2</v>
      </c>
      <c r="AC32" s="3">
        <v>-1.1862457E-2</v>
      </c>
      <c r="AD32" s="3">
        <v>6.3962339999999993E-2</v>
      </c>
      <c r="AE32" s="3">
        <v>1.6363977999999998E-2</v>
      </c>
      <c r="AF32" s="3">
        <v>-7.1173905999999997E-3</v>
      </c>
      <c r="AG32" s="3">
        <v>1.7089844E-2</v>
      </c>
      <c r="AH32" s="3">
        <v>-4.3895840000000002E-3</v>
      </c>
      <c r="AI32" s="3">
        <v>-7.3108673000000001E-3</v>
      </c>
      <c r="AJ32" s="3"/>
      <c r="AK32" s="3"/>
      <c r="AL32" s="3"/>
    </row>
    <row r="33" spans="1:38" x14ac:dyDescent="0.45">
      <c r="A33" s="2">
        <v>45097</v>
      </c>
      <c r="B33" s="3">
        <v>-3.6916673000000004E-2</v>
      </c>
      <c r="C33" s="3">
        <v>8.2392690000000005E-3</v>
      </c>
      <c r="D33" s="3">
        <v>-6.0936810000000001E-3</v>
      </c>
      <c r="E33" s="3">
        <v>-3.2160342000000001E-2</v>
      </c>
      <c r="F33" s="3">
        <v>6.8321229999999997E-2</v>
      </c>
      <c r="G33" s="3">
        <v>4.8184036999999999E-2</v>
      </c>
      <c r="H33" s="3">
        <v>-5.1293189999999995E-2</v>
      </c>
      <c r="I33" s="3">
        <v>4.9122810000000003E-2</v>
      </c>
      <c r="J33" s="3">
        <v>3.9306880000000002E-2</v>
      </c>
      <c r="K33" s="3">
        <v>5.0443172000000001E-2</v>
      </c>
      <c r="L33" s="3">
        <v>0.121549015</v>
      </c>
      <c r="M33" s="3">
        <v>8.3055970000000007E-2</v>
      </c>
      <c r="N33" s="3">
        <v>0.13973117000000002</v>
      </c>
      <c r="O33" s="3">
        <v>5.4093720000000005E-2</v>
      </c>
      <c r="P33" s="3">
        <v>-2.6875734000000001E-3</v>
      </c>
      <c r="Q33" s="3">
        <v>-3.3465207000000004E-2</v>
      </c>
      <c r="R33" s="3">
        <v>1.4984608E-2</v>
      </c>
      <c r="S33" s="3">
        <v>-4.8754215000000002E-3</v>
      </c>
      <c r="T33" s="3">
        <v>1.4928222E-2</v>
      </c>
      <c r="U33" s="3">
        <v>5.9822082999999998E-2</v>
      </c>
      <c r="V33" s="3">
        <v>7.4716805999999998E-3</v>
      </c>
      <c r="W33" s="3">
        <v>-4.6332893000000007E-2</v>
      </c>
      <c r="X33" s="3">
        <v>3.1748772000000001E-2</v>
      </c>
      <c r="Y33" s="3">
        <v>-4.9706099999999994E-3</v>
      </c>
      <c r="Z33" s="3">
        <v>-3.0283927999999998E-3</v>
      </c>
      <c r="AA33" s="3">
        <v>2.8040051E-2</v>
      </c>
      <c r="AB33" s="3">
        <v>-3.1586706999999999E-2</v>
      </c>
      <c r="AC33" s="3">
        <v>-4.4386386999999998E-3</v>
      </c>
      <c r="AD33" s="3">
        <v>9.1806889999999988E-2</v>
      </c>
      <c r="AE33" s="3">
        <v>4.8229575000000004E-2</v>
      </c>
      <c r="AF33" s="3">
        <v>-9.3141794000000007E-3</v>
      </c>
      <c r="AG33" s="3">
        <v>3.1800270000000002E-3</v>
      </c>
      <c r="AH33" s="3">
        <v>-3.6924779999999997E-2</v>
      </c>
      <c r="AI33" s="3">
        <v>2.1912694E-2</v>
      </c>
      <c r="AJ33" s="3"/>
      <c r="AK33" s="3"/>
      <c r="AL33" s="3"/>
    </row>
    <row r="34" spans="1:38" x14ac:dyDescent="0.45">
      <c r="A34" s="2">
        <v>45127</v>
      </c>
      <c r="B34" s="3">
        <v>-1.4546633E-2</v>
      </c>
      <c r="C34" s="3">
        <v>9.2726710000000004E-2</v>
      </c>
      <c r="D34" s="3">
        <v>2.1767496999999997E-2</v>
      </c>
      <c r="E34" s="3">
        <v>4.88472E-2</v>
      </c>
      <c r="F34" s="3">
        <v>8.170187000000001E-2</v>
      </c>
      <c r="G34" s="3">
        <v>5.7787179999999994E-2</v>
      </c>
      <c r="H34" s="3">
        <v>4.0796039999999999E-2</v>
      </c>
      <c r="I34" s="3">
        <v>-5.6438445999999996E-3</v>
      </c>
      <c r="J34" s="3">
        <v>4.1356087000000005E-3</v>
      </c>
      <c r="K34" s="3">
        <v>1.2580514000000001E-2</v>
      </c>
      <c r="L34" s="3">
        <v>-1.2224972000000001E-2</v>
      </c>
      <c r="M34" s="3">
        <v>3.7127017999999998E-2</v>
      </c>
      <c r="N34" s="3">
        <v>9.7190740000000012E-2</v>
      </c>
      <c r="O34" s="3">
        <v>3.5805702000000002E-2</v>
      </c>
      <c r="P34" s="3">
        <v>-6.7834260000000004E-3</v>
      </c>
      <c r="Q34" s="3">
        <v>1.2820481999999999E-2</v>
      </c>
      <c r="R34" s="3">
        <v>-1.067251E-2</v>
      </c>
      <c r="S34" s="3">
        <v>0.11217271999999999</v>
      </c>
      <c r="T34" s="3">
        <v>3.1476974000000005E-2</v>
      </c>
      <c r="U34" s="3">
        <v>6.7887187000000002E-2</v>
      </c>
      <c r="V34" s="3">
        <v>2.5977134999999998E-2</v>
      </c>
      <c r="W34" s="3">
        <v>2.6835918E-2</v>
      </c>
      <c r="X34" s="3">
        <v>-3.0056238000000001E-3</v>
      </c>
      <c r="Y34" s="3">
        <v>4.144776E-2</v>
      </c>
      <c r="Z34" s="3">
        <v>2.0386695999999999E-2</v>
      </c>
      <c r="AA34" s="3">
        <v>4.0173530000000004E-3</v>
      </c>
      <c r="AB34" s="3">
        <v>3.6761522000000005E-2</v>
      </c>
      <c r="AC34" s="3">
        <v>2.0589947999999997E-2</v>
      </c>
      <c r="AD34" s="3">
        <v>2.6873827000000003E-2</v>
      </c>
      <c r="AE34" s="3">
        <v>3.4310818E-2</v>
      </c>
      <c r="AF34" s="3">
        <v>3.5402893999999997E-2</v>
      </c>
      <c r="AG34" s="3">
        <v>3.2227754999999997E-2</v>
      </c>
      <c r="AH34" s="3">
        <v>2.3748160000000001E-2</v>
      </c>
      <c r="AI34" s="3">
        <v>5.6500793000000001E-2</v>
      </c>
      <c r="AJ34" s="3"/>
      <c r="AK34" s="3"/>
      <c r="AL34" s="3"/>
    </row>
    <row r="35" spans="1:38" x14ac:dyDescent="0.45">
      <c r="A35" s="2">
        <v>45156</v>
      </c>
      <c r="B35" s="3">
        <v>-3.2089411999999998E-2</v>
      </c>
      <c r="C35" s="3">
        <v>-0.10788643000000001</v>
      </c>
      <c r="D35" s="3">
        <v>-2.8547107999999998E-2</v>
      </c>
      <c r="E35" s="3">
        <v>-7.488823E-2</v>
      </c>
      <c r="F35" s="3">
        <v>-6.9980619999999993E-2</v>
      </c>
      <c r="G35" s="3">
        <v>-5.2495479999999997E-2</v>
      </c>
      <c r="H35" s="3">
        <v>4.7802925000000002E-4</v>
      </c>
      <c r="I35" s="3">
        <v>-5.1503059999999996E-2</v>
      </c>
      <c r="J35" s="3">
        <v>-2.0275652000000002E-2</v>
      </c>
      <c r="K35" s="3">
        <v>-8.0757619999999988E-2</v>
      </c>
      <c r="L35" s="3">
        <v>-5.5074215000000003E-2</v>
      </c>
      <c r="M35" s="3">
        <v>-9.6630809999999998E-2</v>
      </c>
      <c r="N35" s="3">
        <v>-7.5182319999999997E-2</v>
      </c>
      <c r="O35" s="3">
        <v>-2.7384876999999998E-2</v>
      </c>
      <c r="P35" s="3">
        <v>-4.5604763000000006E-2</v>
      </c>
      <c r="Q35" s="3">
        <v>4.402876E-3</v>
      </c>
      <c r="R35" s="3">
        <v>-1.3542771000000001E-3</v>
      </c>
      <c r="S35" s="3">
        <v>0.11517656000000001</v>
      </c>
      <c r="T35" s="3">
        <v>9.389639E-3</v>
      </c>
      <c r="U35" s="3">
        <v>1.2857199E-2</v>
      </c>
      <c r="V35" s="3">
        <v>-3.9043963000000001E-2</v>
      </c>
      <c r="W35" s="3">
        <v>-7.9416570000000006E-2</v>
      </c>
      <c r="X35" s="3">
        <v>-7.579672300000001E-2</v>
      </c>
      <c r="Y35" s="3">
        <v>-5.4652510000000001E-2</v>
      </c>
      <c r="Z35" s="3">
        <v>-5.4770947E-2</v>
      </c>
      <c r="AA35" s="3">
        <v>-5.0576210000000003E-2</v>
      </c>
      <c r="AB35" s="3">
        <v>-4.854369E-2</v>
      </c>
      <c r="AC35" s="3">
        <v>-5.2393856000000003E-2</v>
      </c>
      <c r="AD35" s="3">
        <v>-4.9447956000000001E-2</v>
      </c>
      <c r="AE35" s="3">
        <v>-3.4676433E-2</v>
      </c>
      <c r="AF35" s="3">
        <v>-5.4860888000000003E-2</v>
      </c>
      <c r="AG35" s="3">
        <v>-6.6089389999999998E-2</v>
      </c>
      <c r="AH35" s="3">
        <v>-8.5243110000000011E-2</v>
      </c>
      <c r="AI35" s="3">
        <v>-5.5606184000000003E-2</v>
      </c>
      <c r="AJ35" s="3"/>
      <c r="AK35" s="3"/>
      <c r="AL35" s="3"/>
    </row>
    <row r="36" spans="1:38" x14ac:dyDescent="0.45">
      <c r="A36" s="2">
        <v>45189</v>
      </c>
      <c r="B36" s="3">
        <v>-1.6485393000000001E-2</v>
      </c>
      <c r="C36" s="3">
        <v>-4.2432839999999999E-2</v>
      </c>
      <c r="D36" s="3">
        <v>6.1403509999999996E-3</v>
      </c>
      <c r="E36" s="3">
        <v>-4.0273848000000001E-2</v>
      </c>
      <c r="F36" s="3">
        <v>-7.7322244999999998E-2</v>
      </c>
      <c r="G36" s="3">
        <v>4.5059919999999995E-3</v>
      </c>
      <c r="H36" s="3">
        <v>1.0511159999999999E-2</v>
      </c>
      <c r="I36" s="3">
        <v>2.8812884999999998E-3</v>
      </c>
      <c r="J36" s="3">
        <v>-1.1964381E-2</v>
      </c>
      <c r="K36" s="3">
        <v>2.4229406999999998E-2</v>
      </c>
      <c r="L36" s="3">
        <v>5.7301879999999999E-2</v>
      </c>
      <c r="M36" s="3">
        <v>1.5021919999999999E-2</v>
      </c>
      <c r="N36" s="3">
        <v>-0.10168563999999999</v>
      </c>
      <c r="O36" s="3">
        <v>3.5771966000000002E-2</v>
      </c>
      <c r="P36" s="3">
        <v>4.8476457999999997E-3</v>
      </c>
      <c r="Q36" s="3">
        <v>-3.4520506999999999E-2</v>
      </c>
      <c r="R36" s="3">
        <v>-7.3858500000000002E-3</v>
      </c>
      <c r="S36" s="3">
        <v>3.6234019999999999E-2</v>
      </c>
      <c r="T36" s="3">
        <v>1.9933580999999999E-2</v>
      </c>
      <c r="U36" s="3">
        <v>5.2186130000000004E-2</v>
      </c>
      <c r="V36" s="3">
        <v>-3.5951733999999999E-2</v>
      </c>
      <c r="W36" s="3">
        <v>-1.8045782999999999E-2</v>
      </c>
      <c r="X36" s="3">
        <v>2.7493E-2</v>
      </c>
      <c r="Y36" s="3">
        <v>3.0536531999999998E-2</v>
      </c>
      <c r="Z36" s="3">
        <v>-1.457727E-2</v>
      </c>
      <c r="AA36" s="3">
        <v>5.529332E-2</v>
      </c>
      <c r="AB36" s="3">
        <v>4.8801899999999995E-3</v>
      </c>
      <c r="AC36" s="3">
        <v>2.9869675999999998E-2</v>
      </c>
      <c r="AD36" s="3">
        <v>1.9369245E-2</v>
      </c>
      <c r="AE36" s="3">
        <v>8.4910390000000006E-3</v>
      </c>
      <c r="AF36" s="3">
        <v>-7.0195200000000004E-3</v>
      </c>
      <c r="AG36" s="3">
        <v>-4.9292325999999997E-2</v>
      </c>
      <c r="AH36" s="3">
        <v>9.4714164999999996E-3</v>
      </c>
      <c r="AI36" s="3">
        <v>2.3809551999999998E-2</v>
      </c>
      <c r="AJ36" s="3"/>
      <c r="AK36" s="3"/>
      <c r="AL36" s="3"/>
    </row>
    <row r="37" spans="1:38" x14ac:dyDescent="0.45">
      <c r="A37" s="2">
        <v>45219</v>
      </c>
      <c r="B37" s="3">
        <v>-5.8220444000000003E-2</v>
      </c>
      <c r="C37" s="3">
        <v>-0.11447566999999999</v>
      </c>
      <c r="D37" s="3">
        <v>-8.8055789999999995E-2</v>
      </c>
      <c r="E37" s="3">
        <v>1.3008832999999999E-2</v>
      </c>
      <c r="F37" s="3">
        <v>5.0618650000000001E-2</v>
      </c>
      <c r="G37" s="3">
        <v>-7.0752915999999999E-2</v>
      </c>
      <c r="H37" s="3">
        <v>-2.9787183000000002E-2</v>
      </c>
      <c r="I37" s="3">
        <v>-2.2983432000000002E-2</v>
      </c>
      <c r="J37" s="3">
        <v>-0.12829321999999999</v>
      </c>
      <c r="K37" s="3">
        <v>-8.4647539999999993E-2</v>
      </c>
      <c r="L37" s="3">
        <v>-7.2777987000000002E-2</v>
      </c>
      <c r="M37" s="3">
        <v>-5.2309275000000002E-2</v>
      </c>
      <c r="N37" s="3">
        <v>-4.5400262E-3</v>
      </c>
      <c r="O37" s="3">
        <v>-2.0053505999999999E-2</v>
      </c>
      <c r="P37" s="3">
        <v>-5.9958640000000001E-2</v>
      </c>
      <c r="Q37" s="3">
        <v>-6.5834403E-2</v>
      </c>
      <c r="R37" s="3">
        <v>-7.1987570000000001E-2</v>
      </c>
      <c r="S37" s="3">
        <v>-5.6442737999999999E-2</v>
      </c>
      <c r="T37" s="3">
        <v>-0.11530948000000001</v>
      </c>
      <c r="U37" s="3">
        <v>-0.14477211000000001</v>
      </c>
      <c r="V37" s="3">
        <v>-5.0319314000000004E-2</v>
      </c>
      <c r="W37" s="3">
        <v>-6.0735105999999997E-2</v>
      </c>
      <c r="X37" s="3">
        <v>-6.4399123000000003E-2</v>
      </c>
      <c r="Y37" s="3">
        <v>-6.5592585000000009E-2</v>
      </c>
      <c r="Z37" s="3">
        <v>-6.8417190000000003E-2</v>
      </c>
      <c r="AA37" s="3">
        <v>-7.1405705999999999E-2</v>
      </c>
      <c r="AB37" s="3">
        <v>-6.5342129999999998E-2</v>
      </c>
      <c r="AC37" s="3">
        <v>-4.9367485000000003E-2</v>
      </c>
      <c r="AD37" s="3">
        <v>-2.7267217999999999E-2</v>
      </c>
      <c r="AE37" s="3">
        <v>-3.9782106999999997E-2</v>
      </c>
      <c r="AF37" s="3">
        <v>-7.3953149999999995E-2</v>
      </c>
      <c r="AG37" s="3">
        <v>-6.134498E-2</v>
      </c>
      <c r="AH37" s="3">
        <v>-3.8740933000000005E-2</v>
      </c>
      <c r="AI37" s="3">
        <v>-7.0081710000000005E-2</v>
      </c>
      <c r="AJ37" s="3"/>
      <c r="AK37" s="3"/>
      <c r="AL37" s="3"/>
    </row>
    <row r="38" spans="1:38" x14ac:dyDescent="0.45">
      <c r="A38" s="2">
        <v>45250</v>
      </c>
      <c r="B38" s="3">
        <v>5.765414E-2</v>
      </c>
      <c r="C38" s="3">
        <v>0.1092577</v>
      </c>
      <c r="D38" s="3">
        <v>3.871894E-2</v>
      </c>
      <c r="E38" s="3">
        <v>3.8939595E-2</v>
      </c>
      <c r="F38" s="3">
        <v>0.17987155999999999</v>
      </c>
      <c r="G38" s="3">
        <v>6.9588780000000003E-2</v>
      </c>
      <c r="H38" s="3">
        <v>4.3859599999999999E-2</v>
      </c>
      <c r="I38" s="3">
        <v>9.2739220000000011E-2</v>
      </c>
      <c r="J38" s="3">
        <v>0.17965077999999998</v>
      </c>
      <c r="K38" s="3">
        <v>0.11656117000000001</v>
      </c>
      <c r="L38" s="3">
        <v>0.14094853000000002</v>
      </c>
      <c r="M38" s="3">
        <v>9.4238040000000009E-2</v>
      </c>
      <c r="N38" s="3">
        <v>0.12526596000000001</v>
      </c>
      <c r="O38" s="3">
        <v>2.4329185E-2</v>
      </c>
      <c r="P38" s="3">
        <v>8.06452E-2</v>
      </c>
      <c r="Q38" s="3">
        <v>6.8651320000000002E-2</v>
      </c>
      <c r="R38" s="3">
        <v>1.4356613000000001E-2</v>
      </c>
      <c r="S38" s="3">
        <v>3.8809418999999998E-2</v>
      </c>
      <c r="T38" s="3">
        <v>9.572899E-2</v>
      </c>
      <c r="U38" s="3">
        <v>4.0752290000000004E-2</v>
      </c>
      <c r="V38" s="3">
        <v>7.2350739999999997E-2</v>
      </c>
      <c r="W38" s="3">
        <v>7.5399637000000005E-2</v>
      </c>
      <c r="X38" s="3">
        <v>8.3858490000000008E-2</v>
      </c>
      <c r="Y38" s="3">
        <v>6.3115716000000002E-2</v>
      </c>
      <c r="Z38" s="3">
        <v>0.11433101000000001</v>
      </c>
      <c r="AA38" s="3">
        <v>7.2767973E-2</v>
      </c>
      <c r="AB38" s="3">
        <v>5.1015615E-2</v>
      </c>
      <c r="AC38" s="3">
        <v>4.3167829999999997E-2</v>
      </c>
      <c r="AD38" s="3">
        <v>0.10191763</v>
      </c>
      <c r="AE38" s="3">
        <v>7.8515649999999992E-2</v>
      </c>
      <c r="AF38" s="3">
        <v>9.982371000000001E-2</v>
      </c>
      <c r="AG38" s="3">
        <v>0.15395141000000001</v>
      </c>
      <c r="AH38" s="3">
        <v>0.12846351</v>
      </c>
      <c r="AI38" s="3">
        <v>0.11186218000000001</v>
      </c>
      <c r="AJ38" s="3"/>
      <c r="AK38" s="3"/>
      <c r="AL38" s="3"/>
    </row>
    <row r="39" spans="1:38" x14ac:dyDescent="0.45">
      <c r="A39" s="2">
        <v>45280</v>
      </c>
      <c r="B39" s="3">
        <v>-7.7300430000000003E-2</v>
      </c>
      <c r="C39" s="3">
        <v>3.5945296000000002E-2</v>
      </c>
      <c r="D39" s="3">
        <v>8.5481405000000007E-3</v>
      </c>
      <c r="E39" s="3">
        <v>3.6351680000000004E-2</v>
      </c>
      <c r="F39" s="3">
        <v>3.9505482000000001E-2</v>
      </c>
      <c r="G39" s="3">
        <v>0.11351478999999999</v>
      </c>
      <c r="H39" s="3">
        <v>-1.3291836E-3</v>
      </c>
      <c r="I39" s="3">
        <v>1.3391972E-2</v>
      </c>
      <c r="J39" s="3">
        <v>7.5544952999999998E-2</v>
      </c>
      <c r="K39" s="3">
        <v>1.9855499000000002E-2</v>
      </c>
      <c r="L39" s="3">
        <v>2.4618505999999998E-2</v>
      </c>
      <c r="M39" s="3">
        <v>1.0238766999999999E-2</v>
      </c>
      <c r="N39" s="3">
        <v>1.7562866E-2</v>
      </c>
      <c r="O39" s="3">
        <v>5.2164316000000002E-2</v>
      </c>
      <c r="P39" s="3">
        <v>-8.9232739999999991E-2</v>
      </c>
      <c r="Q39" s="3">
        <v>-9.0960859999999998E-3</v>
      </c>
      <c r="R39" s="3">
        <v>-1.3434827E-2</v>
      </c>
      <c r="S39" s="3">
        <v>-5.4691789999999997E-2</v>
      </c>
      <c r="T39" s="3">
        <v>-2.3232162000000001E-2</v>
      </c>
      <c r="U39" s="3">
        <v>-8.9595319999999992E-3</v>
      </c>
      <c r="V39" s="3">
        <v>3.9959429999999997E-2</v>
      </c>
      <c r="W39" s="3">
        <v>6.7468047000000003E-2</v>
      </c>
      <c r="X39" s="3">
        <v>8.1766489999999997E-2</v>
      </c>
      <c r="Y39" s="3">
        <v>4.6796319999999995E-2</v>
      </c>
      <c r="Z39" s="3">
        <v>3.9598346E-2</v>
      </c>
      <c r="AA39" s="3">
        <v>9.0537069999999994E-3</v>
      </c>
      <c r="AB39" s="3">
        <v>4.9662949999999997E-2</v>
      </c>
      <c r="AC39" s="3">
        <v>3.2889008999999997E-2</v>
      </c>
      <c r="AD39" s="3">
        <v>3.3629298000000002E-2</v>
      </c>
      <c r="AE39" s="3">
        <v>3.5005689E-2</v>
      </c>
      <c r="AF39" s="3">
        <v>3.7546873000000001E-2</v>
      </c>
      <c r="AG39" s="3">
        <v>4.6939135E-2</v>
      </c>
      <c r="AH39" s="3">
        <v>0.10360479</v>
      </c>
      <c r="AI39" s="3">
        <v>2.2465229999999999E-2</v>
      </c>
      <c r="AJ39" s="3"/>
      <c r="AK39" s="3"/>
      <c r="AL39" s="3"/>
    </row>
    <row r="40" spans="1:38" x14ac:dyDescent="0.45">
      <c r="A40" s="2">
        <v>45310</v>
      </c>
      <c r="B40" s="3">
        <v>-1.4551342E-2</v>
      </c>
      <c r="C40" s="3">
        <v>-6.3184795000000002E-2</v>
      </c>
      <c r="D40" s="3">
        <v>2.1619081000000002E-2</v>
      </c>
      <c r="E40" s="3">
        <v>1.9627571E-2</v>
      </c>
      <c r="F40" s="3">
        <v>-4.8517523E-2</v>
      </c>
      <c r="G40" s="3">
        <v>-1.6401589000000001E-2</v>
      </c>
      <c r="H40" s="3">
        <v>-4.7576427E-4</v>
      </c>
      <c r="I40" s="3">
        <v>1.7499328000000001E-2</v>
      </c>
      <c r="J40" s="3">
        <v>-2.1634520000000001E-2</v>
      </c>
      <c r="K40" s="3">
        <v>-6.1153354999999993E-2</v>
      </c>
      <c r="L40" s="3">
        <v>-2.4274707000000003E-2</v>
      </c>
      <c r="M40" s="3">
        <v>-6.0172614999999999E-2</v>
      </c>
      <c r="N40" s="3">
        <v>4.1123032999999996E-2</v>
      </c>
      <c r="O40" s="3">
        <v>4.620254E-2</v>
      </c>
      <c r="P40" s="3">
        <v>-5.7026443000000003E-2</v>
      </c>
      <c r="Q40" s="3">
        <v>8.6058379999999993E-3</v>
      </c>
      <c r="R40" s="3">
        <v>-1.2753785E-2</v>
      </c>
      <c r="S40" s="3">
        <v>1.2012004999999999E-2</v>
      </c>
      <c r="T40" s="3">
        <v>3.3933520000000002E-2</v>
      </c>
      <c r="U40" s="3">
        <v>3.5892725E-2</v>
      </c>
      <c r="V40" s="3">
        <v>3.3480047999999998E-2</v>
      </c>
      <c r="W40" s="3">
        <v>-2.0157040000000001E-2</v>
      </c>
      <c r="X40" s="3">
        <v>-1.7721534000000001E-2</v>
      </c>
      <c r="Y40" s="3">
        <v>1.2058377E-2</v>
      </c>
      <c r="Z40" s="3">
        <v>-9.9383590000000008E-3</v>
      </c>
      <c r="AA40" s="3">
        <v>6.2046766000000003E-2</v>
      </c>
      <c r="AB40" s="3">
        <v>1.0703802E-3</v>
      </c>
      <c r="AC40" s="3">
        <v>-1.5100180999999999E-2</v>
      </c>
      <c r="AD40" s="3">
        <v>4.5452355999999999E-2</v>
      </c>
      <c r="AE40" s="3">
        <v>3.0260919999999997E-2</v>
      </c>
      <c r="AF40" s="3">
        <v>-1.7998277999999999E-2</v>
      </c>
      <c r="AG40" s="3">
        <v>-2.2798776999999998E-4</v>
      </c>
      <c r="AH40" s="3">
        <v>-5.6735697000000002E-2</v>
      </c>
      <c r="AI40" s="3">
        <v>7.8265667000000008E-3</v>
      </c>
      <c r="AJ40" s="3"/>
      <c r="AK40" s="3"/>
      <c r="AL40" s="3"/>
    </row>
    <row r="41" spans="1:38" x14ac:dyDescent="0.45">
      <c r="A41" s="2">
        <v>45342</v>
      </c>
      <c r="B41" s="3">
        <v>3.6915539999999997E-2</v>
      </c>
      <c r="C41" s="3">
        <v>1.2865543E-2</v>
      </c>
      <c r="D41" s="3">
        <v>2.6114464E-2</v>
      </c>
      <c r="E41" s="3">
        <v>4.0858270000000002E-2</v>
      </c>
      <c r="F41" s="3">
        <v>0.10623228</v>
      </c>
      <c r="G41" s="3">
        <v>5.1293373000000003E-2</v>
      </c>
      <c r="H41" s="3">
        <v>3.0937671999999999E-2</v>
      </c>
      <c r="I41" s="3">
        <v>5.0690293000000004E-2</v>
      </c>
      <c r="J41" s="3">
        <v>3.3630133E-2</v>
      </c>
      <c r="K41" s="3">
        <v>8.5049039999999992E-2</v>
      </c>
      <c r="L41" s="3">
        <v>2.2148013000000001E-2</v>
      </c>
      <c r="M41" s="3">
        <v>4.1983127999999995E-3</v>
      </c>
      <c r="N41" s="3">
        <v>5.4124354999999999E-2</v>
      </c>
      <c r="O41" s="3">
        <v>3.9725780000000002E-2</v>
      </c>
      <c r="P41" s="3">
        <v>3.8606881999999995E-2</v>
      </c>
      <c r="Q41" s="3">
        <v>1.2514233999999999E-2</v>
      </c>
      <c r="R41" s="3">
        <v>-1.0416507999999999E-3</v>
      </c>
      <c r="S41" s="3">
        <v>0.14213656999999999</v>
      </c>
      <c r="T41" s="3">
        <v>1.3395547999999998E-3</v>
      </c>
      <c r="U41" s="3">
        <v>4.7177075999999998E-2</v>
      </c>
      <c r="V41" s="3">
        <v>5.6987405000000005E-2</v>
      </c>
      <c r="W41" s="3">
        <v>-3.4430504000000001E-2</v>
      </c>
      <c r="X41" s="3">
        <v>2.0188928000000002E-2</v>
      </c>
      <c r="Y41" s="3">
        <v>1.2468814999999999E-2</v>
      </c>
      <c r="Z41" s="3">
        <v>2.3883700000000001E-2</v>
      </c>
      <c r="AA41" s="3">
        <v>3.0804276000000002E-2</v>
      </c>
      <c r="AB41" s="3">
        <v>9.837508E-3</v>
      </c>
      <c r="AC41" s="3">
        <v>2.8160213999999999E-2</v>
      </c>
      <c r="AD41" s="3">
        <v>1.4578104000000001E-2</v>
      </c>
      <c r="AE41" s="3">
        <v>2.9703856000000001E-2</v>
      </c>
      <c r="AF41" s="3">
        <v>4.1139245000000005E-2</v>
      </c>
      <c r="AG41" s="3">
        <v>7.0141435000000002E-2</v>
      </c>
      <c r="AH41" s="3">
        <v>6.6739916999999996E-2</v>
      </c>
      <c r="AI41" s="3">
        <v>3.6738396E-2</v>
      </c>
      <c r="AJ41" s="3"/>
      <c r="AK41" s="3"/>
      <c r="AL41" s="3"/>
    </row>
    <row r="42" spans="1:38" x14ac:dyDescent="0.45">
      <c r="A42" s="2">
        <v>45371</v>
      </c>
      <c r="B42" s="3">
        <v>5.8544280000000004E-2</v>
      </c>
      <c r="C42" s="3">
        <v>2.8098464E-2</v>
      </c>
      <c r="D42" s="3">
        <v>4.8266649999999999E-3</v>
      </c>
      <c r="E42" s="3">
        <v>3.6549567999999998E-3</v>
      </c>
      <c r="F42" s="3">
        <v>-1.3230860000000001E-2</v>
      </c>
      <c r="G42" s="3">
        <v>0.12911868000000001</v>
      </c>
      <c r="H42" s="3">
        <v>1.0618687E-2</v>
      </c>
      <c r="I42" s="3">
        <v>4.3721676000000001E-2</v>
      </c>
      <c r="J42" s="3">
        <v>8.9141129999999996E-3</v>
      </c>
      <c r="K42" s="3">
        <v>3.9346814000000001E-2</v>
      </c>
      <c r="L42" s="3">
        <v>-2.5823653000000002E-2</v>
      </c>
      <c r="M42" s="3">
        <v>1.3848901E-2</v>
      </c>
      <c r="N42" s="3">
        <v>5.4308175999999994E-3</v>
      </c>
      <c r="O42" s="3">
        <v>-2.2110224000000001E-2</v>
      </c>
      <c r="P42" s="3">
        <v>5.1468610000000005E-2</v>
      </c>
      <c r="Q42" s="3">
        <v>1.4045E-2</v>
      </c>
      <c r="R42" s="3">
        <v>-5.7128669999999999E-3</v>
      </c>
      <c r="S42" s="3">
        <v>-7.9501210000000003E-2</v>
      </c>
      <c r="T42" s="3">
        <v>-2.675593E-3</v>
      </c>
      <c r="U42" s="3">
        <v>2.2156238999999998E-3</v>
      </c>
      <c r="V42" s="3">
        <v>-2.4608374000000001E-3</v>
      </c>
      <c r="W42" s="3">
        <v>2.0183920000000001E-2</v>
      </c>
      <c r="X42" s="3">
        <v>2.8210519999999999E-2</v>
      </c>
      <c r="Y42" s="3">
        <v>4.7071576000000004E-2</v>
      </c>
      <c r="Z42" s="3">
        <v>6.3218473999999997E-2</v>
      </c>
      <c r="AA42" s="3">
        <v>5.2112459999999999E-2</v>
      </c>
      <c r="AB42" s="3">
        <v>1.6730188999999999E-2</v>
      </c>
      <c r="AC42" s="3">
        <v>2.6475906E-2</v>
      </c>
      <c r="AD42" s="3">
        <v>3.9856910000000002E-2</v>
      </c>
      <c r="AE42" s="3">
        <v>5.1027060000000006E-2</v>
      </c>
      <c r="AF42" s="3">
        <v>5.9777139999999999E-2</v>
      </c>
      <c r="AG42" s="3">
        <v>4.6786785000000004E-2</v>
      </c>
      <c r="AH42" s="3">
        <v>5.2523135999999998E-2</v>
      </c>
      <c r="AI42" s="3">
        <v>9.2768669999999998E-2</v>
      </c>
      <c r="AJ42" s="3"/>
      <c r="AK42" s="3"/>
      <c r="AL42" s="3"/>
    </row>
    <row r="43" spans="1:38" x14ac:dyDescent="0.45">
      <c r="A43" s="2">
        <v>45401</v>
      </c>
      <c r="B43" s="3">
        <v>-2.1300435000000003E-2</v>
      </c>
      <c r="C43" s="3">
        <v>-1.7221987000000001E-2</v>
      </c>
      <c r="D43" s="3">
        <v>-9.2576389999999995E-2</v>
      </c>
      <c r="E43" s="3">
        <v>-9.9053140000000012E-2</v>
      </c>
      <c r="F43" s="3">
        <v>8.2179310000000012E-3</v>
      </c>
      <c r="G43" s="3">
        <v>1.3640045999999999E-2</v>
      </c>
      <c r="H43" s="3">
        <v>-5.9387683999999998E-3</v>
      </c>
      <c r="I43" s="3">
        <v>-5.6747855999999999E-2</v>
      </c>
      <c r="J43" s="3">
        <v>-4.4470669999999997E-2</v>
      </c>
      <c r="K43" s="3">
        <v>-8.2448010000000002E-2</v>
      </c>
      <c r="L43" s="3">
        <v>-6.3376006999999998E-2</v>
      </c>
      <c r="M43" s="3">
        <v>-1.0309219000000001E-2</v>
      </c>
      <c r="N43" s="3">
        <v>-4.4929980000000001E-2</v>
      </c>
      <c r="O43" s="3">
        <v>1.8048524999999999E-2</v>
      </c>
      <c r="P43" s="3">
        <v>-2.5710761999999998E-2</v>
      </c>
      <c r="Q43" s="3">
        <v>-3.4902989999999995E-2</v>
      </c>
      <c r="R43" s="3">
        <v>-2.9930591999999999E-2</v>
      </c>
      <c r="S43" s="3">
        <v>7.8464510000000001E-2</v>
      </c>
      <c r="T43" s="3">
        <v>-3.2863855000000004E-2</v>
      </c>
      <c r="U43" s="3">
        <v>-0.12675011</v>
      </c>
      <c r="V43" s="3">
        <v>-3.0948639999999999E-2</v>
      </c>
      <c r="W43" s="3">
        <v>-3.2754480000000002E-2</v>
      </c>
      <c r="X43" s="3">
        <v>-4.3407020000000004E-2</v>
      </c>
      <c r="Y43" s="3">
        <v>-3.005743E-2</v>
      </c>
      <c r="Z43" s="3">
        <v>-4.5786977E-2</v>
      </c>
      <c r="AA43" s="3">
        <v>-6.9679619999999998E-2</v>
      </c>
      <c r="AB43" s="3">
        <v>-4.8114959999999998E-2</v>
      </c>
      <c r="AC43" s="3">
        <v>-7.1152450000000001E-3</v>
      </c>
      <c r="AD43" s="3">
        <v>-6.5619590000000005E-2</v>
      </c>
      <c r="AE43" s="3">
        <v>-4.8647346000000001E-2</v>
      </c>
      <c r="AF43" s="3">
        <v>-4.6128090000000004E-2</v>
      </c>
      <c r="AG43" s="3">
        <v>-4.6833633999999999E-2</v>
      </c>
      <c r="AH43" s="3">
        <v>-6.3600836000000008E-2</v>
      </c>
      <c r="AI43" s="3">
        <v>-4.0601133999999997E-2</v>
      </c>
      <c r="AJ43" s="3"/>
      <c r="AK43" s="3"/>
      <c r="AL43" s="3"/>
    </row>
    <row r="44" spans="1:38" x14ac:dyDescent="0.45">
      <c r="A44" s="2">
        <v>45432</v>
      </c>
      <c r="B44" s="3">
        <v>4.0473460000000003E-2</v>
      </c>
      <c r="C44" s="3">
        <v>0.124190445</v>
      </c>
      <c r="D44" s="3">
        <v>5.7747364000000001E-3</v>
      </c>
      <c r="E44" s="3">
        <v>4.9312829999999995E-2</v>
      </c>
      <c r="F44" s="3">
        <v>0.11668814</v>
      </c>
      <c r="G44" s="3">
        <v>0.12187803000000001</v>
      </c>
      <c r="H44" s="3">
        <v>7.6286793000000006E-2</v>
      </c>
      <c r="I44" s="3">
        <v>0.11201059000000001</v>
      </c>
      <c r="J44" s="3">
        <v>6.1180470000000001E-2</v>
      </c>
      <c r="K44" s="3">
        <v>6.3926935000000004E-2</v>
      </c>
      <c r="L44" s="3">
        <v>2.9928446000000001E-2</v>
      </c>
      <c r="M44" s="3">
        <v>0.14947915000000001</v>
      </c>
      <c r="N44" s="3">
        <v>0.11285341</v>
      </c>
      <c r="O44" s="3">
        <v>3.4872292999999999E-2</v>
      </c>
      <c r="P44" s="3">
        <v>0.19360565000000002</v>
      </c>
      <c r="Q44" s="3">
        <v>-5.1664710000000006E-3</v>
      </c>
      <c r="R44" s="3">
        <v>3.4997939999999998E-2</v>
      </c>
      <c r="S44" s="3">
        <v>0.14027739</v>
      </c>
      <c r="T44" s="3">
        <v>-9.0222359999999995E-3</v>
      </c>
      <c r="U44" s="3">
        <v>9.4514730000000005E-2</v>
      </c>
      <c r="V44" s="3">
        <v>-2.7308523999999997E-2</v>
      </c>
      <c r="W44" s="3">
        <v>2.7045370000000003E-2</v>
      </c>
      <c r="X44" s="3">
        <v>7.4058175000000004E-2</v>
      </c>
      <c r="Y44" s="3">
        <v>4.0689825999999998E-2</v>
      </c>
      <c r="Z44" s="3">
        <v>7.8973649999999992E-2</v>
      </c>
      <c r="AA44" s="3">
        <v>4.1058899999999995E-2</v>
      </c>
      <c r="AB44" s="3">
        <v>7.0897100000000005E-2</v>
      </c>
      <c r="AC44" s="3">
        <v>9.3460669999999996E-2</v>
      </c>
      <c r="AD44" s="3">
        <v>9.709393999999999E-2</v>
      </c>
      <c r="AE44" s="3">
        <v>7.0482253999999994E-2</v>
      </c>
      <c r="AF44" s="3">
        <v>5.8631897000000002E-2</v>
      </c>
      <c r="AG44" s="3">
        <v>0.10596024999999999</v>
      </c>
      <c r="AH44" s="3">
        <v>8.7513079999999993E-2</v>
      </c>
      <c r="AI44" s="3">
        <v>7.1722984000000004E-2</v>
      </c>
      <c r="AJ44" s="3"/>
      <c r="AK44" s="3"/>
      <c r="AL44" s="3"/>
    </row>
    <row r="45" spans="1:38" x14ac:dyDescent="0.45">
      <c r="A45" s="2">
        <v>45463</v>
      </c>
      <c r="B45" s="3">
        <v>-5.3340730000000003E-2</v>
      </c>
      <c r="C45" s="3">
        <v>-7.8020690000000004E-2</v>
      </c>
      <c r="D45" s="3">
        <v>-9.2624960000000006E-2</v>
      </c>
      <c r="E45" s="3">
        <v>-7.795465E-2</v>
      </c>
      <c r="F45" s="3">
        <v>-6.8897904999999995E-2</v>
      </c>
      <c r="G45" s="3">
        <v>-6.9850087000000005E-2</v>
      </c>
      <c r="H45" s="3">
        <v>-2.6497543000000002E-2</v>
      </c>
      <c r="I45" s="3">
        <v>7.9480529999999994E-2</v>
      </c>
      <c r="J45" s="3">
        <v>-0.16279136999999999</v>
      </c>
      <c r="K45" s="3">
        <v>1.8393992999999999E-3</v>
      </c>
      <c r="L45" s="3">
        <v>-0.11462259</v>
      </c>
      <c r="M45" s="3">
        <v>1.6389489E-2</v>
      </c>
      <c r="N45" s="3">
        <v>-7.6627373999999998E-2</v>
      </c>
      <c r="O45" s="3">
        <v>3.4450293E-2</v>
      </c>
      <c r="P45" s="3">
        <v>-6.8409863000000001E-2</v>
      </c>
      <c r="Q45" s="3">
        <v>-1.2213111E-2</v>
      </c>
      <c r="R45" s="3">
        <v>-5.8323026E-2</v>
      </c>
      <c r="S45" s="3">
        <v>-2.3173094000000002E-2</v>
      </c>
      <c r="T45" s="3">
        <v>-1.9536495000000001E-2</v>
      </c>
      <c r="U45" s="3">
        <v>-4.1634560000000001E-2</v>
      </c>
      <c r="V45" s="3">
        <v>-9.1590285000000011E-3</v>
      </c>
      <c r="W45" s="3">
        <v>1.7473816999999999E-2</v>
      </c>
      <c r="X45" s="3">
        <v>-6.1129929999999997E-3</v>
      </c>
      <c r="Y45" s="3">
        <v>-4.4899699999999994E-2</v>
      </c>
      <c r="Z45" s="3">
        <v>-3.9573489999999996E-2</v>
      </c>
      <c r="AA45" s="3">
        <v>-3.2406151000000001E-2</v>
      </c>
      <c r="AB45" s="3">
        <v>2.5566935999999998E-2</v>
      </c>
      <c r="AC45" s="3">
        <v>-1.5776277000000002E-2</v>
      </c>
      <c r="AD45" s="3">
        <v>5.8385133999999998E-2</v>
      </c>
      <c r="AE45" s="3">
        <v>3.19587E-2</v>
      </c>
      <c r="AF45" s="3">
        <v>-6.3471374999999997E-2</v>
      </c>
      <c r="AG45" s="3">
        <v>-4.3934584000000001E-4</v>
      </c>
      <c r="AH45" s="3">
        <v>-1.0979711999999999E-2</v>
      </c>
      <c r="AI45" s="3">
        <v>-4.4340669999999999E-2</v>
      </c>
      <c r="AJ45" s="3"/>
      <c r="AK45" s="3"/>
      <c r="AL45" s="3"/>
    </row>
    <row r="46" spans="1:38" x14ac:dyDescent="0.45">
      <c r="A46" s="2">
        <v>45492</v>
      </c>
      <c r="B46" s="3">
        <v>6.2208176000000002E-3</v>
      </c>
      <c r="C46" s="3">
        <v>-1.0558069000000002E-2</v>
      </c>
      <c r="D46" s="3">
        <v>0.10207426</v>
      </c>
      <c r="E46" s="3">
        <v>8.4393499999999996E-2</v>
      </c>
      <c r="F46" s="3">
        <v>2.5220633000000003E-2</v>
      </c>
      <c r="G46" s="3">
        <v>5.8852434000000002E-3</v>
      </c>
      <c r="H46" s="3">
        <v>3.7433147E-2</v>
      </c>
      <c r="I46" s="3">
        <v>-3.1529069999999999E-2</v>
      </c>
      <c r="J46" s="3">
        <v>2.4838209999999999E-2</v>
      </c>
      <c r="K46" s="3">
        <v>-1.9889473999999997E-3</v>
      </c>
      <c r="L46" s="3">
        <v>3.1687617000000001E-2</v>
      </c>
      <c r="M46" s="3">
        <v>-2.0375787999999999E-2</v>
      </c>
      <c r="N46" s="3">
        <v>6.0975789999999995E-2</v>
      </c>
      <c r="O46" s="3">
        <v>2.2383928000000001E-2</v>
      </c>
      <c r="P46" s="3">
        <v>-3.6901236000000004E-2</v>
      </c>
      <c r="Q46" s="3">
        <v>3.6697267999999998E-2</v>
      </c>
      <c r="R46" s="3">
        <v>1.4519094999999999E-2</v>
      </c>
      <c r="S46" s="3">
        <v>4.0199756999999996E-2</v>
      </c>
      <c r="T46" s="3">
        <v>5.8605432999999998E-2</v>
      </c>
      <c r="U46" s="3">
        <v>-3.0571221999999999E-2</v>
      </c>
      <c r="V46" s="3">
        <v>2.4616240999999997E-2</v>
      </c>
      <c r="W46" s="3">
        <v>1.205349E-2</v>
      </c>
      <c r="X46" s="3">
        <v>2.0032762999999999E-2</v>
      </c>
      <c r="Y46" s="3">
        <v>5.0355790000000004E-2</v>
      </c>
      <c r="Z46" s="3">
        <v>1.7133473999999999E-2</v>
      </c>
      <c r="AA46" s="3">
        <v>5.2346469999999999E-2</v>
      </c>
      <c r="AB46" s="3">
        <v>4.4752360000000005E-3</v>
      </c>
      <c r="AC46" s="3">
        <v>4.5261382999999995E-3</v>
      </c>
      <c r="AD46" s="3">
        <v>-1.1353611999999999E-2</v>
      </c>
      <c r="AE46" s="3">
        <v>6.8802834000000002E-3</v>
      </c>
      <c r="AF46" s="3">
        <v>-1.5515089000000001E-3</v>
      </c>
      <c r="AG46" s="3">
        <v>-3.1463682999999999E-2</v>
      </c>
      <c r="AH46" s="3">
        <v>-1.135242E-2</v>
      </c>
      <c r="AI46" s="3">
        <v>2.9969811000000002E-2</v>
      </c>
      <c r="AJ46" s="3"/>
      <c r="AK46" s="3"/>
      <c r="AL46" s="3"/>
    </row>
    <row r="47" spans="1:38" x14ac:dyDescent="0.45">
      <c r="A47" s="2">
        <v>45524</v>
      </c>
      <c r="B47" s="3">
        <v>-3.3029318000000002E-2</v>
      </c>
      <c r="C47" s="3">
        <v>1.1813998000000001E-2</v>
      </c>
      <c r="D47" s="3">
        <v>8.420002E-2</v>
      </c>
      <c r="E47" s="3">
        <v>7.5870155999999994E-2</v>
      </c>
      <c r="F47" s="3">
        <v>-8.1992149999999999E-4</v>
      </c>
      <c r="G47" s="3">
        <v>-1.0726451999999999E-2</v>
      </c>
      <c r="H47" s="3">
        <v>7.5601340000000003E-2</v>
      </c>
      <c r="I47" s="3">
        <v>1.8818259E-2</v>
      </c>
      <c r="J47" s="3">
        <v>-4.4034839999999999E-2</v>
      </c>
      <c r="K47" s="3">
        <v>1.6710043000000001E-2</v>
      </c>
      <c r="L47" s="3">
        <v>9.1071369999999999E-2</v>
      </c>
      <c r="M47" s="3">
        <v>9.2673889999999995E-2</v>
      </c>
      <c r="N47" s="3">
        <v>-5.2033660000000001E-3</v>
      </c>
      <c r="O47" s="3">
        <v>7.297993E-3</v>
      </c>
      <c r="P47" s="3">
        <v>-2.6178360000000001E-3</v>
      </c>
      <c r="Q47" s="3">
        <v>2.6548624E-2</v>
      </c>
      <c r="R47" s="3">
        <v>8.336186399999999E-3</v>
      </c>
      <c r="S47" s="3">
        <v>-0.12988794000000001</v>
      </c>
      <c r="T47" s="3">
        <v>2.8030753000000002E-2</v>
      </c>
      <c r="U47" s="3">
        <v>3.485477E-2</v>
      </c>
      <c r="V47" s="3">
        <v>-5.2331686000000001E-3</v>
      </c>
      <c r="W47" s="3">
        <v>5.2403570000000003E-2</v>
      </c>
      <c r="X47" s="3">
        <v>1.2424827000000001E-2</v>
      </c>
      <c r="Y47" s="3">
        <v>2.787912E-2</v>
      </c>
      <c r="Z47" s="3">
        <v>2.7210831999999997E-2</v>
      </c>
      <c r="AA47" s="3">
        <v>8.5759159999999998E-4</v>
      </c>
      <c r="AB47" s="3">
        <v>4.6375035999999994E-2</v>
      </c>
      <c r="AC47" s="3">
        <v>2.7316332000000002E-2</v>
      </c>
      <c r="AD47" s="3">
        <v>1.0563135E-2</v>
      </c>
      <c r="AE47" s="3">
        <v>1.7687082E-2</v>
      </c>
      <c r="AF47" s="3">
        <v>1.7352939000000001E-2</v>
      </c>
      <c r="AG47" s="3">
        <v>1.2106538E-2</v>
      </c>
      <c r="AH47" s="3">
        <v>2.5961040999999997E-2</v>
      </c>
      <c r="AI47" s="3">
        <v>2.6702879999999999E-4</v>
      </c>
      <c r="AJ47" s="3"/>
      <c r="AK47" s="3"/>
      <c r="AL47" s="3"/>
    </row>
    <row r="48" spans="1:38" x14ac:dyDescent="0.45">
      <c r="A48" s="2">
        <v>45555</v>
      </c>
      <c r="B48" s="3">
        <v>-2.5782048999999998E-2</v>
      </c>
      <c r="C48" s="3">
        <v>-2.8248608000000001E-2</v>
      </c>
      <c r="D48" s="3">
        <v>5.9387920000000004E-2</v>
      </c>
      <c r="E48" s="3">
        <v>6.5430760000000004E-2</v>
      </c>
      <c r="F48" s="3">
        <v>-2.0517050999999998E-2</v>
      </c>
      <c r="G48" s="3">
        <v>1.8955112E-2</v>
      </c>
      <c r="H48" s="3">
        <v>7.5878620000000008E-2</v>
      </c>
      <c r="I48" s="3">
        <v>-1.8101215E-2</v>
      </c>
      <c r="J48" s="3">
        <v>-3.6243497999999999E-2</v>
      </c>
      <c r="K48" s="3">
        <v>-4.5235213999999996E-2</v>
      </c>
      <c r="L48" s="3">
        <v>-4.451716E-2</v>
      </c>
      <c r="M48" s="3">
        <v>2.474618E-2</v>
      </c>
      <c r="N48" s="3">
        <v>4.7552586E-4</v>
      </c>
      <c r="O48" s="3">
        <v>3.7992596999999996E-2</v>
      </c>
      <c r="P48" s="3">
        <v>1.7895460000000002E-2</v>
      </c>
      <c r="Q48" s="3">
        <v>4.3103455999999998E-2</v>
      </c>
      <c r="R48" s="3">
        <v>9.3041310000000002E-2</v>
      </c>
      <c r="S48" s="3">
        <v>-1.9973695E-2</v>
      </c>
      <c r="T48" s="3">
        <v>4.9761414999999996E-2</v>
      </c>
      <c r="U48" s="3">
        <v>5.6134459999999994E-3</v>
      </c>
      <c r="V48" s="3">
        <v>1.1955976E-2</v>
      </c>
      <c r="W48" s="3">
        <v>1.3374566999999999E-2</v>
      </c>
      <c r="X48" s="3">
        <v>4.9485326000000003E-2</v>
      </c>
      <c r="Y48" s="3">
        <v>4.2078613999999993E-2</v>
      </c>
      <c r="Z48" s="3">
        <v>3.0905008000000001E-2</v>
      </c>
      <c r="AA48" s="3">
        <v>1.7852068000000002E-2</v>
      </c>
      <c r="AB48" s="3">
        <v>-1.9547104999999999E-2</v>
      </c>
      <c r="AC48" s="3">
        <v>1.5350938000000001E-2</v>
      </c>
      <c r="AD48" s="3">
        <v>4.5392512999999999E-3</v>
      </c>
      <c r="AE48" s="3">
        <v>2.0217419E-2</v>
      </c>
      <c r="AF48" s="3">
        <v>1.0692477000000001E-2</v>
      </c>
      <c r="AG48" s="3">
        <v>-1.5550196000000001E-2</v>
      </c>
      <c r="AH48" s="3">
        <v>2.773726E-2</v>
      </c>
      <c r="AI48" s="3">
        <v>2.9623746999999999E-2</v>
      </c>
      <c r="AJ48" s="3"/>
      <c r="AK48" s="3"/>
      <c r="AL48" s="3"/>
    </row>
    <row r="49" spans="1:38" x14ac:dyDescent="0.45">
      <c r="A49" s="2">
        <v>45583</v>
      </c>
      <c r="B49" s="3">
        <v>0.20713709999999999</v>
      </c>
      <c r="C49" s="3">
        <v>1.9767403999999999E-2</v>
      </c>
      <c r="D49" s="3">
        <v>-2.7166902999999999E-2</v>
      </c>
      <c r="E49" s="3">
        <v>-1.5694261000000001E-2</v>
      </c>
      <c r="F49" s="3">
        <v>-2.5974034999999999E-2</v>
      </c>
      <c r="G49" s="3">
        <v>7.7408909999999997E-2</v>
      </c>
      <c r="H49" s="3">
        <v>-3.7861943000000002E-2</v>
      </c>
      <c r="I49" s="3">
        <v>6.5838933000000002E-2</v>
      </c>
      <c r="J49" s="3">
        <v>3.7050247E-4</v>
      </c>
      <c r="K49" s="3">
        <v>-1.9740998999999999E-2</v>
      </c>
      <c r="L49" s="3">
        <v>-3.3915699000000001E-2</v>
      </c>
      <c r="M49" s="3">
        <v>4.3137309999999998E-2</v>
      </c>
      <c r="N49" s="3">
        <v>-4.7528744E-3</v>
      </c>
      <c r="O49" s="3">
        <v>-3.7112712999999999E-2</v>
      </c>
      <c r="P49" s="3">
        <v>0.18354439</v>
      </c>
      <c r="Q49" s="3">
        <v>1.9283771999999998E-2</v>
      </c>
      <c r="R49" s="3">
        <v>2.6265980000000001E-2</v>
      </c>
      <c r="S49" s="3">
        <v>-0.11048543999999999</v>
      </c>
      <c r="T49" s="3">
        <v>-3.3766209999999998E-2</v>
      </c>
      <c r="U49" s="3">
        <v>-2.3126006000000001E-2</v>
      </c>
      <c r="V49" s="3">
        <v>-1.5831708999999999E-2</v>
      </c>
      <c r="W49" s="3">
        <v>-8.1217289999999998E-4</v>
      </c>
      <c r="X49" s="3">
        <v>1.8860102000000001E-3</v>
      </c>
      <c r="Y49" s="3">
        <v>2.2622228000000001E-2</v>
      </c>
      <c r="Z49" s="3">
        <v>2.0495652999999999E-2</v>
      </c>
      <c r="AA49" s="3">
        <v>-1.5995501999999998E-2</v>
      </c>
      <c r="AB49" s="3">
        <v>1.6778469000000001E-2</v>
      </c>
      <c r="AC49" s="3">
        <v>-8.1002710000000009E-4</v>
      </c>
      <c r="AD49" s="3">
        <v>2.6371956000000002E-2</v>
      </c>
      <c r="AE49" s="3">
        <v>2.8754949999999998E-2</v>
      </c>
      <c r="AF49" s="3">
        <v>-1.1335014999999999E-2</v>
      </c>
      <c r="AG49" s="3">
        <v>-1.6808449999999999E-2</v>
      </c>
      <c r="AH49" s="3">
        <v>-2.4621247999999998E-2</v>
      </c>
      <c r="AI49" s="3">
        <v>1.5811204999999998E-2</v>
      </c>
      <c r="AJ49" s="3"/>
      <c r="AK49" s="3"/>
      <c r="AL49" s="3"/>
    </row>
    <row r="50" spans="1:38" x14ac:dyDescent="0.45">
      <c r="A50" s="2">
        <v>45616</v>
      </c>
      <c r="B50" s="3">
        <v>-3.7376880000000003E-3</v>
      </c>
      <c r="C50" s="3">
        <v>-3.0406653999999998E-2</v>
      </c>
      <c r="D50" s="3">
        <v>-0.11569141999999999</v>
      </c>
      <c r="E50" s="3">
        <v>-9.3587509999999999E-2</v>
      </c>
      <c r="F50" s="3">
        <v>-8.559137E-2</v>
      </c>
      <c r="G50" s="3">
        <v>-2.5420845000000001E-2</v>
      </c>
      <c r="H50" s="3">
        <v>-6.4814806000000003E-2</v>
      </c>
      <c r="I50" s="3">
        <v>-5.3123893999999998E-2</v>
      </c>
      <c r="J50" s="3">
        <v>-6.8703710000000001E-2</v>
      </c>
      <c r="K50" s="3">
        <v>-7.5398740000000006E-2</v>
      </c>
      <c r="L50" s="3">
        <v>-3.6879479999999999E-2</v>
      </c>
      <c r="M50" s="3">
        <v>-6.1139703000000004E-2</v>
      </c>
      <c r="N50" s="3">
        <v>-7.712513E-2</v>
      </c>
      <c r="O50" s="3">
        <v>-5.1803410000000001E-2</v>
      </c>
      <c r="P50" s="3">
        <v>-4.9712840000000001E-2</v>
      </c>
      <c r="Q50" s="3">
        <v>-1.405406E-2</v>
      </c>
      <c r="R50" s="3">
        <v>-1.8351197E-2</v>
      </c>
      <c r="S50" s="3">
        <v>2.6228547000000001E-2</v>
      </c>
      <c r="T50" s="3">
        <v>4.7715069999999998E-2</v>
      </c>
      <c r="U50" s="3">
        <v>-6.1224460000000001E-2</v>
      </c>
      <c r="V50" s="3">
        <v>-4.3217539999999997E-3</v>
      </c>
      <c r="W50" s="3">
        <v>-4.2877492999999996E-2</v>
      </c>
      <c r="X50" s="3">
        <v>-2.1837354000000003E-2</v>
      </c>
      <c r="Y50" s="3">
        <v>4.0436982999999998E-3</v>
      </c>
      <c r="Z50" s="3">
        <v>-6.0551586000000004E-2</v>
      </c>
      <c r="AA50" s="3">
        <v>-4.0638804000000001E-2</v>
      </c>
      <c r="AB50" s="3">
        <v>-8.3867189999999994E-2</v>
      </c>
      <c r="AC50" s="3">
        <v>-6.106454E-2</v>
      </c>
      <c r="AD50" s="3">
        <v>1.7594576000000001E-2</v>
      </c>
      <c r="AE50" s="3">
        <v>1.0109544E-2</v>
      </c>
      <c r="AF50" s="3">
        <v>-8.1528659999999989E-2</v>
      </c>
      <c r="AG50" s="3">
        <v>-8.1785789999999997E-2</v>
      </c>
      <c r="AH50" s="3">
        <v>-8.3009780000000005E-2</v>
      </c>
      <c r="AI50" s="3">
        <v>-7.6805295999999995E-2</v>
      </c>
      <c r="AJ50" s="3"/>
      <c r="AK50" s="3"/>
      <c r="AL50" s="3"/>
    </row>
    <row r="51" spans="1:38" x14ac:dyDescent="0.45">
      <c r="A51" s="2">
        <v>45646</v>
      </c>
      <c r="B51" s="3">
        <v>-1.3915479E-2</v>
      </c>
      <c r="C51" s="3">
        <v>-9.6583366000000011E-3</v>
      </c>
      <c r="D51" s="3">
        <v>-6.4153075000000004E-2</v>
      </c>
      <c r="E51" s="3">
        <v>-4.4529795999999996E-2</v>
      </c>
      <c r="F51" s="3">
        <v>2.9679655999999999E-2</v>
      </c>
      <c r="G51" s="3">
        <v>-4.5155525000000002E-2</v>
      </c>
      <c r="H51" s="3">
        <v>-2.2474526999999998E-3</v>
      </c>
      <c r="I51" s="3">
        <v>5.1575900000000001E-3</v>
      </c>
      <c r="J51" s="3">
        <v>2.7130841999999998E-3</v>
      </c>
      <c r="K51" s="3">
        <v>-6.5894246000000004E-2</v>
      </c>
      <c r="L51" s="3">
        <v>-0.111172085</v>
      </c>
      <c r="M51" s="3">
        <v>-2.9680908000000002E-2</v>
      </c>
      <c r="N51" s="3">
        <v>5.4333686999999999E-2</v>
      </c>
      <c r="O51" s="3">
        <v>3.3740997E-3</v>
      </c>
      <c r="P51" s="3">
        <v>1.835823E-4</v>
      </c>
      <c r="Q51" s="3">
        <v>-9.1175437000000012E-3</v>
      </c>
      <c r="R51" s="3">
        <v>-6.6606045000000003E-2</v>
      </c>
      <c r="S51" s="3">
        <v>5.7032109999999997E-2</v>
      </c>
      <c r="T51" s="3">
        <v>4.6098590000000002E-2</v>
      </c>
      <c r="U51" s="3">
        <v>1.3043404000000001E-2</v>
      </c>
      <c r="V51" s="3">
        <v>-2.5982260000000004E-3</v>
      </c>
      <c r="W51" s="3">
        <v>-2.9653489999999998E-2</v>
      </c>
      <c r="X51" s="3">
        <v>-6.9701250000000006E-2</v>
      </c>
      <c r="Y51" s="3">
        <v>-4.1319250000000002E-2</v>
      </c>
      <c r="Z51" s="3">
        <v>2.1059393999999999E-2</v>
      </c>
      <c r="AA51" s="3">
        <v>-4.7171115999999999E-4</v>
      </c>
      <c r="AB51" s="3">
        <v>-2.6912509999999997E-2</v>
      </c>
      <c r="AC51" s="3">
        <v>-1.0153054999999999E-2</v>
      </c>
      <c r="AD51" s="3">
        <v>3.0784725999999998E-2</v>
      </c>
      <c r="AE51" s="3">
        <v>4.4293403999999996E-3</v>
      </c>
      <c r="AF51" s="3">
        <v>-3.9779543999999998E-3</v>
      </c>
      <c r="AG51" s="3">
        <v>1.2084961E-2</v>
      </c>
      <c r="AH51" s="3">
        <v>-1.0852276999999999E-2</v>
      </c>
      <c r="AI51" s="3">
        <v>-9.5385309999999998E-4</v>
      </c>
      <c r="AJ51" s="3"/>
      <c r="AK51" s="3"/>
      <c r="AL51" s="3"/>
    </row>
    <row r="52" spans="1:38" x14ac:dyDescent="0.45">
      <c r="A52" s="2">
        <v>45674</v>
      </c>
      <c r="B52" s="3">
        <v>-3.5701692E-2</v>
      </c>
      <c r="C52" s="3">
        <v>2.3828505999999999E-2</v>
      </c>
      <c r="D52" s="3">
        <v>6.4268110000000002E-3</v>
      </c>
      <c r="E52" s="3">
        <v>-8.0746410000000007E-4</v>
      </c>
      <c r="F52" s="3">
        <v>4.7935485999999999E-2</v>
      </c>
      <c r="G52" s="3">
        <v>6.3155889999999999E-3</v>
      </c>
      <c r="H52" s="3">
        <v>-1.263684E-2</v>
      </c>
      <c r="I52" s="3">
        <v>-3.6385060000000001E-3</v>
      </c>
      <c r="J52" s="3">
        <v>-2.8647363000000002E-2</v>
      </c>
      <c r="K52" s="3">
        <v>4.7573565999999998E-2</v>
      </c>
      <c r="L52" s="3">
        <v>1.9922018E-2</v>
      </c>
      <c r="M52" s="3">
        <v>-2.379322E-2</v>
      </c>
      <c r="N52" s="3">
        <v>3.3999442999999997E-2</v>
      </c>
      <c r="O52" s="3">
        <v>-4.193181E-2</v>
      </c>
      <c r="P52" s="3">
        <v>-1.8895923999999998E-2</v>
      </c>
      <c r="Q52" s="3">
        <v>5.6207179999999998E-4</v>
      </c>
      <c r="R52" s="3">
        <v>-1.7999053000000001E-2</v>
      </c>
      <c r="S52" s="3">
        <v>1.5345931E-2</v>
      </c>
      <c r="T52" s="3">
        <v>4.2357205999999994E-2</v>
      </c>
      <c r="U52" s="3">
        <v>-2.3175894999999998E-2</v>
      </c>
      <c r="V52" s="3">
        <v>3.3407688000000005E-2</v>
      </c>
      <c r="W52" s="3">
        <v>7.5498819999999999E-3</v>
      </c>
      <c r="X52" s="3">
        <v>1.9772768E-2</v>
      </c>
      <c r="Y52" s="3">
        <v>1.5527128999999999E-2</v>
      </c>
      <c r="Z52" s="3">
        <v>3.5937548E-2</v>
      </c>
      <c r="AA52" s="3">
        <v>-4.5311450000000002E-4</v>
      </c>
      <c r="AB52" s="3">
        <v>2.7221202999999999E-2</v>
      </c>
      <c r="AC52" s="3">
        <v>2.0480871000000001E-2</v>
      </c>
      <c r="AD52" s="3">
        <v>7.5441599999999994E-3</v>
      </c>
      <c r="AE52" s="3">
        <v>1.0877132000000001E-2</v>
      </c>
      <c r="AF52" s="3">
        <v>4.6296359999999995E-2</v>
      </c>
      <c r="AG52" s="3">
        <v>3.1298995000000003E-2</v>
      </c>
      <c r="AH52" s="3">
        <v>5.0040244999999997E-2</v>
      </c>
      <c r="AI52" s="3">
        <v>6.0955167000000005E-2</v>
      </c>
      <c r="AJ52" s="3"/>
      <c r="AK52" s="3"/>
      <c r="AL52" s="3"/>
    </row>
    <row r="53" spans="1:38" x14ac:dyDescent="0.45">
      <c r="A53" s="2">
        <v>45708</v>
      </c>
      <c r="B53" s="3">
        <v>4.9486755999999993E-2</v>
      </c>
      <c r="C53" s="3">
        <v>0.12102402</v>
      </c>
      <c r="D53" s="3">
        <v>-3.5675644999999999E-2</v>
      </c>
      <c r="E53" s="3">
        <v>-1.5757561E-2</v>
      </c>
      <c r="F53" s="3">
        <v>0.18614138</v>
      </c>
      <c r="G53" s="3">
        <v>4.1790365999999995E-2</v>
      </c>
      <c r="H53" s="3">
        <v>3.5836220000000002E-2</v>
      </c>
      <c r="I53" s="3">
        <v>2.1910430000000002E-2</v>
      </c>
      <c r="J53" s="3">
        <v>0.11354542000000001</v>
      </c>
      <c r="K53" s="3">
        <v>6.6204550000000001E-2</v>
      </c>
      <c r="L53" s="3">
        <v>0.112526655</v>
      </c>
      <c r="M53" s="3">
        <v>9.7492459999999989E-2</v>
      </c>
      <c r="N53" s="3">
        <v>7.0813179999999989E-2</v>
      </c>
      <c r="O53" s="3">
        <v>-2.149272E-2</v>
      </c>
      <c r="P53" s="3">
        <v>0.18437565</v>
      </c>
      <c r="Q53" s="3">
        <v>1.5730381000000002E-2</v>
      </c>
      <c r="R53" s="3">
        <v>-7.0787009999999997E-2</v>
      </c>
      <c r="S53" s="3">
        <v>-4.4242916E-2</v>
      </c>
      <c r="T53" s="3">
        <v>4.1813969999999999E-2</v>
      </c>
      <c r="U53" s="3">
        <v>3.8664339999999998E-2</v>
      </c>
      <c r="V53" s="3">
        <v>1.1924624E-2</v>
      </c>
      <c r="W53" s="3">
        <v>-4.8524140000000002E-3</v>
      </c>
      <c r="X53" s="3">
        <v>3.5066009000000002E-2</v>
      </c>
      <c r="Y53" s="3">
        <v>4.1183829999999998E-2</v>
      </c>
      <c r="Z53" s="3">
        <v>9.1704250000000001E-2</v>
      </c>
      <c r="AA53" s="3">
        <v>5.3339359999999995E-2</v>
      </c>
      <c r="AB53" s="3">
        <v>8.7343689999999988E-2</v>
      </c>
      <c r="AC53" s="3">
        <v>6.311797999999999E-2</v>
      </c>
      <c r="AD53" s="3">
        <v>2.9689073999999999E-2</v>
      </c>
      <c r="AE53" s="3">
        <v>2.1419763999999997E-2</v>
      </c>
      <c r="AF53" s="3">
        <v>7.5087189999999998E-2</v>
      </c>
      <c r="AG53" s="3">
        <v>5.2026870000000003E-2</v>
      </c>
      <c r="AH53" s="3">
        <v>0.12512743000000001</v>
      </c>
      <c r="AI53" s="3">
        <v>8.1016654999999993E-2</v>
      </c>
      <c r="AJ53" s="3"/>
      <c r="AK53" s="3"/>
      <c r="AL53" s="3"/>
    </row>
    <row r="54" spans="1:38" x14ac:dyDescent="0.45">
      <c r="A54" s="2">
        <v>45736</v>
      </c>
      <c r="B54" s="3">
        <v>-5.9378149999999999E-3</v>
      </c>
      <c r="C54" s="3">
        <v>5.6055426999999998E-2</v>
      </c>
      <c r="D54" s="3">
        <v>-0.10818386000000001</v>
      </c>
      <c r="E54" s="3">
        <v>6.3628909999999997E-2</v>
      </c>
      <c r="F54" s="3">
        <v>8.2474229999999996E-2</v>
      </c>
      <c r="G54" s="3">
        <v>5.837643E-2</v>
      </c>
      <c r="H54" s="3">
        <v>-5.5189490000000001E-2</v>
      </c>
      <c r="I54" s="3">
        <v>-5.4353952000000004E-2</v>
      </c>
      <c r="J54" s="3">
        <v>-1.1350809999999999E-2</v>
      </c>
      <c r="K54" s="3">
        <v>-2.9592871999999999E-2</v>
      </c>
      <c r="L54" s="3">
        <v>1.4503836999999999E-2</v>
      </c>
      <c r="M54" s="3">
        <v>2.5624514000000001E-2</v>
      </c>
      <c r="N54" s="3">
        <v>0.10644949000000001</v>
      </c>
      <c r="O54" s="3">
        <v>1.3578175999999999E-2</v>
      </c>
      <c r="P54" s="3">
        <v>3.5812139999999999E-2</v>
      </c>
      <c r="Q54" s="3">
        <v>-8.8495610000000006E-3</v>
      </c>
      <c r="R54" s="3">
        <v>-5.1300169999999999E-2</v>
      </c>
      <c r="S54" s="3">
        <v>-4.312825E-2</v>
      </c>
      <c r="T54" s="3">
        <v>-4.1831550000000002E-2</v>
      </c>
      <c r="U54" s="3">
        <v>4.9069405000000003E-2</v>
      </c>
      <c r="V54" s="3">
        <v>-4.9021960000000003E-2</v>
      </c>
      <c r="W54" s="3">
        <v>-7.6735972999999999E-2</v>
      </c>
      <c r="X54" s="3">
        <v>-6.2176169999999996E-2</v>
      </c>
      <c r="Y54" s="3">
        <v>-2.8185725000000002E-2</v>
      </c>
      <c r="Z54" s="3">
        <v>5.9961320000000005E-2</v>
      </c>
      <c r="AA54" s="3">
        <v>2.3095727E-2</v>
      </c>
      <c r="AB54" s="3">
        <v>3.8798927999999996E-2</v>
      </c>
      <c r="AC54" s="3">
        <v>3.6388516000000003E-2</v>
      </c>
      <c r="AD54" s="3">
        <v>-0.10790532999999999</v>
      </c>
      <c r="AE54" s="3">
        <v>-7.3544383000000005E-2</v>
      </c>
      <c r="AF54" s="3">
        <v>2.9683232E-2</v>
      </c>
      <c r="AG54" s="3">
        <v>7.0059300000000005E-3</v>
      </c>
      <c r="AH54" s="3">
        <v>5.8889389999999993E-3</v>
      </c>
      <c r="AI54" s="3">
        <v>5.9515000000000005E-2</v>
      </c>
      <c r="AJ54" s="3"/>
      <c r="AK54" s="3"/>
      <c r="AL54" s="3"/>
    </row>
    <row r="55" spans="1:38" x14ac:dyDescent="0.45">
      <c r="A55" s="2">
        <v>45764</v>
      </c>
      <c r="B55" s="3">
        <v>-5.7624700000000001E-2</v>
      </c>
      <c r="C55" s="3">
        <v>-1.8676280999999999E-2</v>
      </c>
      <c r="D55" s="3">
        <v>1.3827681999999999E-2</v>
      </c>
      <c r="E55" s="3">
        <v>-2.3469687000000003E-2</v>
      </c>
      <c r="F55" s="3">
        <v>-2.1163821E-3</v>
      </c>
      <c r="G55" s="3">
        <v>-3.1159878000000002E-2</v>
      </c>
      <c r="H55" s="3">
        <v>-7.4106455000000002E-3</v>
      </c>
      <c r="I55" s="3">
        <v>-0.10739851</v>
      </c>
      <c r="J55" s="3">
        <v>5.1090717000000001E-2</v>
      </c>
      <c r="K55" s="3">
        <v>-4.2658149999999999E-2</v>
      </c>
      <c r="L55" s="3">
        <v>-5.1166296000000007E-2</v>
      </c>
      <c r="M55" s="3">
        <v>-2.7065873E-3</v>
      </c>
      <c r="N55" s="3">
        <v>-1.0968387E-2</v>
      </c>
      <c r="O55" s="3">
        <v>2.955079E-2</v>
      </c>
      <c r="P55" s="3">
        <v>-0.13053447000000001</v>
      </c>
      <c r="Q55" s="3">
        <v>-1.1160731E-2</v>
      </c>
      <c r="R55" s="3">
        <v>-2.6030063999999999E-2</v>
      </c>
      <c r="S55" s="3">
        <v>-4.116583E-2</v>
      </c>
      <c r="T55" s="3">
        <v>-1.1209488E-2</v>
      </c>
      <c r="U55" s="3">
        <v>-5.403227E-2</v>
      </c>
      <c r="V55" s="3">
        <v>-3.9653181999999999E-3</v>
      </c>
      <c r="W55" s="3">
        <v>4.1916130000000003E-2</v>
      </c>
      <c r="X55" s="3">
        <v>3.3999679999999997E-3</v>
      </c>
      <c r="Y55" s="3">
        <v>1.7060041000000001E-3</v>
      </c>
      <c r="Z55" s="3">
        <v>-2.5026022999999998E-2</v>
      </c>
      <c r="AA55" s="3">
        <v>-4.5569240000000004E-2</v>
      </c>
      <c r="AB55" s="3">
        <v>-2.4962425E-2</v>
      </c>
      <c r="AC55" s="3">
        <v>-2.4023235E-2</v>
      </c>
      <c r="AD55" s="3">
        <v>-7.2011413999999996E-2</v>
      </c>
      <c r="AE55" s="3">
        <v>-6.6309690000000004E-2</v>
      </c>
      <c r="AF55" s="3">
        <v>-4.9903034999999998E-2</v>
      </c>
      <c r="AG55" s="3">
        <v>-4.7472896999999993E-2</v>
      </c>
      <c r="AH55" s="3">
        <v>-5.6518792999999998E-2</v>
      </c>
      <c r="AI55" s="3">
        <v>-2.6121080000000001E-2</v>
      </c>
      <c r="AJ55" s="3"/>
      <c r="AK55" s="3"/>
      <c r="AL55" s="3"/>
    </row>
    <row r="56" spans="1:38" x14ac:dyDescent="0.45">
      <c r="A56" s="2">
        <v>45797</v>
      </c>
      <c r="B56" s="3">
        <v>5.4437040000000006E-2</v>
      </c>
      <c r="C56" s="3">
        <v>9.3489169999999996E-2</v>
      </c>
      <c r="D56" s="3">
        <v>0.14879120000000001</v>
      </c>
      <c r="E56" s="3">
        <v>8.1341739999999996E-2</v>
      </c>
      <c r="F56" s="3">
        <v>8.7663410000000011E-2</v>
      </c>
      <c r="G56" s="3">
        <v>5.4861069999999998E-2</v>
      </c>
      <c r="H56" s="3">
        <v>7.5977086999999999E-2</v>
      </c>
      <c r="I56" s="3">
        <v>0.19162199999999999</v>
      </c>
      <c r="J56" s="3">
        <v>0.10194789999999999</v>
      </c>
      <c r="K56" s="3">
        <v>7.5308440000000004E-2</v>
      </c>
      <c r="L56" s="3">
        <v>0.11657417</v>
      </c>
      <c r="M56" s="3">
        <v>7.7453016999999999E-2</v>
      </c>
      <c r="N56" s="3">
        <v>0.13836074000000001</v>
      </c>
      <c r="O56" s="3">
        <v>3.463459E-2</v>
      </c>
      <c r="P56" s="3">
        <v>0.11990261000000001</v>
      </c>
      <c r="Q56" s="3">
        <v>7.5620770000000004E-2</v>
      </c>
      <c r="R56" s="3">
        <v>3.3181309999999999E-2</v>
      </c>
      <c r="S56" s="3">
        <v>-1.5668868999999998E-3</v>
      </c>
      <c r="T56" s="3">
        <v>0.11634838</v>
      </c>
      <c r="U56" s="3">
        <v>0.11594212000000001</v>
      </c>
      <c r="V56" s="3">
        <v>-7.4645280000000007E-3</v>
      </c>
      <c r="W56" s="3">
        <v>3.9080499999999997E-2</v>
      </c>
      <c r="X56" s="3">
        <v>8.5556870000000007E-2</v>
      </c>
      <c r="Y56" s="3">
        <v>7.5182440000000003E-2</v>
      </c>
      <c r="Z56" s="3">
        <v>0.11684488999999999</v>
      </c>
      <c r="AA56" s="3">
        <v>7.2278499999999996E-2</v>
      </c>
      <c r="AB56" s="3">
        <v>6.1982629999999997E-2</v>
      </c>
      <c r="AC56" s="3">
        <v>7.1409225000000007E-2</v>
      </c>
      <c r="AD56" s="3">
        <v>0.17151546000000001</v>
      </c>
      <c r="AE56" s="3">
        <v>0.12621344000000001</v>
      </c>
      <c r="AF56" s="3">
        <v>9.8929039999999996E-2</v>
      </c>
      <c r="AG56" s="3">
        <v>0.13426422999999998</v>
      </c>
      <c r="AH56" s="3">
        <v>0.106205225</v>
      </c>
      <c r="AI56" s="3">
        <v>0.13553286</v>
      </c>
      <c r="AJ56" s="3"/>
      <c r="AK56" s="3"/>
      <c r="AL56" s="3"/>
    </row>
    <row r="57" spans="1:38" x14ac:dyDescent="0.45">
      <c r="A57" s="2">
        <v>45828</v>
      </c>
      <c r="B57" s="3">
        <v>-8.6173415000000003E-3</v>
      </c>
      <c r="C57" s="3">
        <v>-6.1052619999999995E-2</v>
      </c>
      <c r="D57" s="3">
        <v>-4.7903357000000001E-2</v>
      </c>
      <c r="E57" s="3">
        <v>-1.9889057000000002E-2</v>
      </c>
      <c r="F57" s="3">
        <v>-1.7270863000000001E-2</v>
      </c>
      <c r="G57" s="3">
        <v>5.2537560000000004E-2</v>
      </c>
      <c r="H57" s="3">
        <v>-2.4207770000000003E-2</v>
      </c>
      <c r="I57" s="3">
        <v>2.5430082999999999E-2</v>
      </c>
      <c r="J57" s="3">
        <v>-2.2595166999999999E-2</v>
      </c>
      <c r="K57" s="3">
        <v>0.17345881999999999</v>
      </c>
      <c r="L57" s="3">
        <v>4.8089026999999999E-4</v>
      </c>
      <c r="M57" s="3">
        <v>1.4149666E-2</v>
      </c>
      <c r="N57" s="3">
        <v>1.5216231E-2</v>
      </c>
      <c r="O57" s="3">
        <v>-3.1440257999999998E-3</v>
      </c>
      <c r="P57" s="3">
        <v>-2.1361232000000001E-2</v>
      </c>
      <c r="Q57" s="3">
        <v>-4.795021E-2</v>
      </c>
      <c r="R57" s="3">
        <v>-0.10218310000000001</v>
      </c>
      <c r="S57" s="3">
        <v>-4.5323552999999996E-2</v>
      </c>
      <c r="T57" s="3">
        <v>-4.6189127000000003E-2</v>
      </c>
      <c r="U57" s="3">
        <v>1.9480586000000001E-2</v>
      </c>
      <c r="V57" s="3">
        <v>-6.7991494999999999E-2</v>
      </c>
      <c r="W57" s="3">
        <v>-3.9316415999999998E-3</v>
      </c>
      <c r="X57" s="3">
        <v>1.2060761E-2</v>
      </c>
      <c r="Y57" s="3">
        <v>2.741623E-2</v>
      </c>
      <c r="Z57" s="3">
        <v>-1.8284261E-2</v>
      </c>
      <c r="AA57" s="3">
        <v>-8.9060664000000008E-3</v>
      </c>
      <c r="AB57" s="3">
        <v>-2.6961148000000001E-2</v>
      </c>
      <c r="AC57" s="3">
        <v>2.1786689999999998E-3</v>
      </c>
      <c r="AD57" s="3">
        <v>1.2608886E-2</v>
      </c>
      <c r="AE57" s="3">
        <v>5.3827760000000006E-3</v>
      </c>
      <c r="AF57" s="3">
        <v>-2.0335375999999999E-2</v>
      </c>
      <c r="AG57" s="3">
        <v>-4.0637255000000004E-3</v>
      </c>
      <c r="AH57" s="3">
        <v>-3.3533691999999997E-2</v>
      </c>
      <c r="AI57" s="3">
        <v>-1.4071703E-2</v>
      </c>
      <c r="AJ57" s="3"/>
      <c r="AK57" s="3"/>
      <c r="AL57" s="3"/>
    </row>
    <row r="58" spans="1:38" x14ac:dyDescent="0.45">
      <c r="A58" s="2">
        <v>45856</v>
      </c>
      <c r="B58" s="3">
        <v>6.4637422999999999E-2</v>
      </c>
      <c r="C58" s="3">
        <v>1.9932984999999999E-3</v>
      </c>
      <c r="D58" s="3">
        <v>2.9685736000000001E-2</v>
      </c>
      <c r="E58" s="3">
        <v>-1.4716982999999999E-2</v>
      </c>
      <c r="F58" s="3">
        <v>0.10565281</v>
      </c>
      <c r="G58" s="3">
        <v>2.63381E-2</v>
      </c>
      <c r="H58" s="3">
        <v>2.2212744E-2</v>
      </c>
      <c r="I58" s="3">
        <v>8.0233460000000006E-2</v>
      </c>
      <c r="J58" s="3">
        <v>2.3231744999999998E-2</v>
      </c>
      <c r="K58" s="3">
        <v>5.6325673999999999E-2</v>
      </c>
      <c r="L58" s="3">
        <v>-2.9634952999999999E-2</v>
      </c>
      <c r="M58" s="3">
        <v>5.9539913999999999E-2</v>
      </c>
      <c r="N58" s="3">
        <v>0.13559675000000002</v>
      </c>
      <c r="O58" s="3">
        <v>1.1131644000000001E-2</v>
      </c>
      <c r="P58" s="3">
        <v>7.3831797000000005E-2</v>
      </c>
      <c r="Q58" s="3">
        <v>6.7155839999999994E-2</v>
      </c>
      <c r="R58" s="3">
        <v>0.13014805000000002</v>
      </c>
      <c r="S58" s="3">
        <v>0.10130178000000001</v>
      </c>
      <c r="T58" s="3">
        <v>0.1575898</v>
      </c>
      <c r="U58" s="3">
        <v>0.16710377000000001</v>
      </c>
      <c r="V58" s="3">
        <v>4.2943119999999994E-2</v>
      </c>
      <c r="W58" s="3">
        <v>2.4551630000000001E-2</v>
      </c>
      <c r="X58" s="3">
        <v>3.5225152999999995E-2</v>
      </c>
      <c r="Y58" s="3">
        <v>3.3037782000000002E-2</v>
      </c>
      <c r="Z58" s="3">
        <v>4.4372797000000005E-2</v>
      </c>
      <c r="AA58" s="3">
        <v>6.9665910000000001E-4</v>
      </c>
      <c r="AB58" s="3">
        <v>3.41686E-2</v>
      </c>
      <c r="AC58" s="3">
        <v>2.3136139999999999E-2</v>
      </c>
      <c r="AD58" s="3">
        <v>6.6537620000000006E-2</v>
      </c>
      <c r="AE58" s="3">
        <v>5.6034207000000003E-2</v>
      </c>
      <c r="AF58" s="3">
        <v>3.9476751999999997E-2</v>
      </c>
      <c r="AG58" s="3">
        <v>3.0202626999999999E-2</v>
      </c>
      <c r="AH58" s="3">
        <v>1.9173741000000001E-2</v>
      </c>
      <c r="AI58" s="3">
        <v>3.0845523E-2</v>
      </c>
      <c r="AJ58" s="3"/>
      <c r="AK58" s="3"/>
      <c r="AL58" s="3"/>
    </row>
    <row r="59" spans="1:38" x14ac:dyDescent="0.45">
      <c r="A59" s="2">
        <v>45889</v>
      </c>
      <c r="B59" s="3">
        <v>6.7608476000000001E-2</v>
      </c>
      <c r="C59" s="3">
        <v>6.2334300000000002E-2</v>
      </c>
      <c r="D59" s="3">
        <v>5.1441429999999996E-2</v>
      </c>
      <c r="E59" s="3">
        <v>9.1918707000000002E-3</v>
      </c>
      <c r="F59" s="3">
        <v>2.7997494000000001E-2</v>
      </c>
      <c r="G59" s="3">
        <v>7.0985079999999992E-2</v>
      </c>
      <c r="H59" s="3">
        <v>5.2653549999999993E-2</v>
      </c>
      <c r="I59" s="3">
        <v>-7.7650549999999999E-3</v>
      </c>
      <c r="J59" s="3">
        <v>2.8758764000000003E-2</v>
      </c>
      <c r="K59" s="3">
        <v>-1.4228463E-2</v>
      </c>
      <c r="L59" s="3">
        <v>3.1284928000000004E-2</v>
      </c>
      <c r="M59" s="3">
        <v>4.1963100000000003E-2</v>
      </c>
      <c r="N59" s="3">
        <v>6.8627476999999992E-2</v>
      </c>
      <c r="O59" s="3">
        <v>-1.2844026E-2</v>
      </c>
      <c r="P59" s="3">
        <v>4.2993903E-2</v>
      </c>
      <c r="Q59" s="3">
        <v>6.1872005000000001E-2</v>
      </c>
      <c r="R59" s="3">
        <v>3.4436226E-2</v>
      </c>
      <c r="S59" s="3">
        <v>6.1979174999999997E-2</v>
      </c>
      <c r="T59" s="3">
        <v>-9.0090035999999991E-3</v>
      </c>
      <c r="U59" s="3">
        <v>0.13579463999999999</v>
      </c>
      <c r="V59" s="3">
        <v>-6.29431E-3</v>
      </c>
      <c r="W59" s="3">
        <v>-4.376769E-4</v>
      </c>
      <c r="X59" s="3">
        <v>9.4517469999999999E-3</v>
      </c>
      <c r="Y59" s="3">
        <v>1.1161208000000001E-2</v>
      </c>
      <c r="Z59" s="3">
        <v>6.1713459999999994E-3</v>
      </c>
      <c r="AA59" s="3">
        <v>0.10903776000000001</v>
      </c>
      <c r="AB59" s="3">
        <v>1.9089579999999998E-2</v>
      </c>
      <c r="AC59" s="3">
        <v>4.8241259999999994E-2</v>
      </c>
      <c r="AD59" s="3">
        <v>8.2671640000000005E-3</v>
      </c>
      <c r="AE59" s="3">
        <v>1.6778708E-2</v>
      </c>
      <c r="AF59" s="3">
        <v>2.446425E-2</v>
      </c>
      <c r="AG59" s="3">
        <v>2.2447109000000003E-3</v>
      </c>
      <c r="AH59" s="3">
        <v>4.0313480000000006E-2</v>
      </c>
      <c r="AI59" s="3">
        <v>8.1606979999999996E-2</v>
      </c>
      <c r="AJ59" s="3"/>
      <c r="AK59" s="3"/>
      <c r="AL59" s="3"/>
    </row>
    <row r="60" spans="1:38" x14ac:dyDescent="0.45">
      <c r="A60" s="2">
        <v>45919</v>
      </c>
      <c r="B60" s="3">
        <v>5.3875327000000001E-2</v>
      </c>
      <c r="C60" s="3">
        <v>4.8377036999999998E-2</v>
      </c>
      <c r="D60" s="3">
        <v>-4.3548346000000002E-2</v>
      </c>
      <c r="E60" s="3">
        <v>1.7077804000000002E-2</v>
      </c>
      <c r="F60" s="3">
        <v>-5.9798660000000003E-2</v>
      </c>
      <c r="G60" s="3">
        <v>0.11712467</v>
      </c>
      <c r="H60" s="3">
        <v>1.5879272999999999E-2</v>
      </c>
      <c r="I60" s="3">
        <v>7.8257919999999995E-2</v>
      </c>
      <c r="J60" s="3">
        <v>8.0595020000000003E-2</v>
      </c>
      <c r="K60" s="3">
        <v>0.12177694</v>
      </c>
      <c r="L60" s="3">
        <v>0.11700975</v>
      </c>
      <c r="M60" s="3">
        <v>9.5079659999999996E-2</v>
      </c>
      <c r="N60" s="3">
        <v>-1.9266069E-2</v>
      </c>
      <c r="O60" s="3">
        <v>2.6022195999999996E-3</v>
      </c>
      <c r="P60" s="3">
        <v>7.5433970000000003E-2</v>
      </c>
      <c r="Q60" s="3">
        <v>-6.9720744999999997E-3</v>
      </c>
      <c r="R60" s="3">
        <v>3.5725474E-2</v>
      </c>
      <c r="S60" s="3">
        <v>9.7031592999999999E-3</v>
      </c>
      <c r="T60" s="3">
        <v>-1.6666650999999998E-2</v>
      </c>
      <c r="U60" s="3">
        <v>-5.6529045000000002E-4</v>
      </c>
      <c r="V60" s="3">
        <v>-1.5834570000000001E-3</v>
      </c>
      <c r="W60" s="3">
        <v>1.6091943000000001E-2</v>
      </c>
      <c r="X60" s="3">
        <v>7.1160792999999996E-3</v>
      </c>
      <c r="Y60" s="3">
        <v>7.6841354000000001E-2</v>
      </c>
      <c r="Z60" s="3">
        <v>-2.7600825000000002E-2</v>
      </c>
      <c r="AA60" s="3">
        <v>1.443994E-2</v>
      </c>
      <c r="AB60" s="3">
        <v>-4.6830177000000001E-3</v>
      </c>
      <c r="AC60" s="3">
        <v>-8.6289643999999995E-3</v>
      </c>
      <c r="AD60" s="3">
        <v>5.9109330000000002E-2</v>
      </c>
      <c r="AE60" s="3">
        <v>4.2972444999999998E-2</v>
      </c>
      <c r="AF60" s="3">
        <v>-6.5954330000000004E-3</v>
      </c>
      <c r="AG60" s="3">
        <v>6.0843587000000005E-2</v>
      </c>
      <c r="AH60" s="3">
        <v>2.1097898E-2</v>
      </c>
      <c r="AI60" s="3">
        <v>-6.1907170000000001E-3</v>
      </c>
      <c r="AJ60" s="3"/>
      <c r="AK60" s="3"/>
      <c r="AL60" s="3"/>
    </row>
    <row r="61" spans="1:38" x14ac:dyDescent="0.45">
      <c r="A61" s="2">
        <v>45950</v>
      </c>
      <c r="B61" s="3">
        <v>5.6800839999999993E-3</v>
      </c>
      <c r="C61" s="3">
        <v>7.7403784000000002E-3</v>
      </c>
      <c r="D61" s="3">
        <v>1.6862153999999999E-3</v>
      </c>
      <c r="E61" s="3">
        <v>-5.4850697999999996E-2</v>
      </c>
      <c r="F61" s="3">
        <v>5.4471135000000004E-2</v>
      </c>
      <c r="G61" s="3">
        <v>0.10705196</v>
      </c>
      <c r="H61" s="3">
        <v>8.9879035999999995E-3</v>
      </c>
      <c r="I61" s="3">
        <v>4.4020175999999994E-2</v>
      </c>
      <c r="J61" s="3">
        <v>-2.4205445999999999E-3</v>
      </c>
      <c r="K61" s="3">
        <v>0.12966895000000001</v>
      </c>
      <c r="L61" s="3">
        <v>-2.2955119999999999E-2</v>
      </c>
      <c r="M61" s="3">
        <v>5.8682439999999995E-2</v>
      </c>
      <c r="N61" s="3">
        <v>-1.7929494000000001E-2</v>
      </c>
      <c r="O61" s="3">
        <v>1.4831304999999999E-2</v>
      </c>
      <c r="P61" s="3">
        <v>-4.9658417999999998E-3</v>
      </c>
      <c r="Q61" s="3">
        <v>-4.0371119999999996E-2</v>
      </c>
      <c r="R61" s="3">
        <v>-6.3818693000000006E-3</v>
      </c>
      <c r="S61" s="3">
        <v>-7.4053229999999998E-2</v>
      </c>
      <c r="T61" s="3">
        <v>5.1361319999999999E-3</v>
      </c>
      <c r="U61" s="3">
        <v>2.9411792999999999E-2</v>
      </c>
      <c r="V61" s="3">
        <v>8.0888160000000001E-2</v>
      </c>
      <c r="W61" s="3">
        <v>-1.8314957999999999E-2</v>
      </c>
      <c r="X61" s="3">
        <v>1.3759851E-2</v>
      </c>
      <c r="Y61" s="3">
        <v>-1.9711256E-4</v>
      </c>
      <c r="Z61" s="3">
        <v>1.6011595999999999E-2</v>
      </c>
      <c r="AA61" s="3">
        <v>3.4038900999999996E-2</v>
      </c>
      <c r="AB61" s="3">
        <v>4.3792962999999997E-2</v>
      </c>
      <c r="AC61" s="3">
        <v>1.9342303000000002E-2</v>
      </c>
      <c r="AD61" s="3">
        <v>2.1514535000000001E-2</v>
      </c>
      <c r="AE61" s="3">
        <v>1.1450887E-2</v>
      </c>
      <c r="AF61" s="3">
        <v>3.4798503000000001E-2</v>
      </c>
      <c r="AG61" s="3">
        <v>3.5362363000000001E-2</v>
      </c>
      <c r="AH61" s="3">
        <v>1.3915181E-2</v>
      </c>
      <c r="AI61" s="3">
        <v>-2.5306343999999996E-3</v>
      </c>
      <c r="AJ61" s="3"/>
      <c r="AK61" s="3"/>
      <c r="AL61" s="3"/>
    </row>
    <row r="62" spans="1:38" x14ac:dyDescent="0.45">
      <c r="A62" s="2">
        <v>45981</v>
      </c>
      <c r="B62" s="3">
        <v>-5.3507685999999999E-3</v>
      </c>
      <c r="C62" s="3">
        <v>8.0945379999999997E-2</v>
      </c>
      <c r="D62" s="3">
        <v>2.8619528000000002E-2</v>
      </c>
      <c r="E62" s="3">
        <v>-3.7899672999999995E-2</v>
      </c>
      <c r="F62" s="3">
        <v>-2.7769506000000003E-2</v>
      </c>
      <c r="G62" s="3">
        <v>-7.03125E-2</v>
      </c>
      <c r="H62" s="3">
        <v>8.9077949999999996E-3</v>
      </c>
      <c r="I62" s="3">
        <v>-6.7855476999999997E-2</v>
      </c>
      <c r="J62" s="3">
        <v>1.21319294E-3</v>
      </c>
      <c r="K62" s="3">
        <v>-2.1010756000000002E-2</v>
      </c>
      <c r="L62" s="3">
        <v>5.5592300000000004E-2</v>
      </c>
      <c r="M62" s="3">
        <v>-1.9332408999999998E-2</v>
      </c>
      <c r="N62" s="3">
        <v>-3.6514400000000002E-3</v>
      </c>
      <c r="O62" s="3">
        <v>-3.6537647000000001E-4</v>
      </c>
      <c r="P62" s="3">
        <v>-5.0530252000000005E-2</v>
      </c>
      <c r="Q62" s="3">
        <v>-2.7175367000000002E-2</v>
      </c>
      <c r="R62" s="3">
        <v>-2.0708441999999997E-3</v>
      </c>
      <c r="S62" s="3">
        <v>2.5030613E-2</v>
      </c>
      <c r="T62" s="3">
        <v>-4.1481852999999999E-2</v>
      </c>
      <c r="U62" s="3">
        <v>-4.1208799999999997E-2</v>
      </c>
      <c r="V62" s="3">
        <v>-6.6030859999999997E-2</v>
      </c>
      <c r="W62" s="3">
        <v>-3.9727867E-2</v>
      </c>
      <c r="X62" s="3">
        <v>-8.4739500000000009E-2</v>
      </c>
      <c r="Y62" s="3">
        <v>-1.5970050999999999E-2</v>
      </c>
      <c r="Z62" s="3">
        <v>-7.13945E-2</v>
      </c>
      <c r="AA62" s="3">
        <v>-4.8479794999999999E-2</v>
      </c>
      <c r="AB62" s="3">
        <v>-3.4500718E-2</v>
      </c>
      <c r="AC62" s="3">
        <v>-1.9449711000000001E-2</v>
      </c>
      <c r="AD62" s="3">
        <v>-4.2303029999999998E-2</v>
      </c>
      <c r="AE62" s="3">
        <v>-2.7960598E-2</v>
      </c>
      <c r="AF62" s="3">
        <v>-4.8893810000000003E-2</v>
      </c>
      <c r="AG62" s="3">
        <v>-5.6584477000000001E-2</v>
      </c>
      <c r="AH62" s="3">
        <v>-5.6352672999999999E-2</v>
      </c>
      <c r="AI62" s="3">
        <v>-8.3919170000000005E-3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-5.3507685999999999E-3</v>
      </c>
      <c r="C67" s="3">
        <f t="shared" ref="C67:AI67" si="2">C62</f>
        <v>8.0945379999999997E-2</v>
      </c>
      <c r="D67" s="3">
        <f t="shared" si="2"/>
        <v>2.8619528000000002E-2</v>
      </c>
      <c r="E67" s="3">
        <f t="shared" si="2"/>
        <v>-3.7899672999999995E-2</v>
      </c>
      <c r="F67" s="3">
        <f t="shared" si="2"/>
        <v>-2.7769506000000003E-2</v>
      </c>
      <c r="G67" s="3">
        <f t="shared" si="2"/>
        <v>-7.03125E-2</v>
      </c>
      <c r="H67" s="3">
        <f t="shared" si="2"/>
        <v>8.9077949999999996E-3</v>
      </c>
      <c r="I67" s="3">
        <f t="shared" si="2"/>
        <v>-6.7855476999999997E-2</v>
      </c>
      <c r="J67" s="3">
        <f t="shared" si="2"/>
        <v>1.21319294E-3</v>
      </c>
      <c r="K67" s="3">
        <f t="shared" si="2"/>
        <v>-2.1010756000000002E-2</v>
      </c>
      <c r="L67" s="3">
        <f t="shared" si="2"/>
        <v>5.5592300000000004E-2</v>
      </c>
      <c r="M67" s="3">
        <f t="shared" si="2"/>
        <v>-1.9332408999999998E-2</v>
      </c>
      <c r="N67" s="3">
        <f t="shared" si="2"/>
        <v>-3.6514400000000002E-3</v>
      </c>
      <c r="O67" s="3">
        <f t="shared" si="2"/>
        <v>-3.6537647000000001E-4</v>
      </c>
      <c r="P67" s="3">
        <f t="shared" si="2"/>
        <v>-5.0530252000000005E-2</v>
      </c>
      <c r="Q67" s="3">
        <f t="shared" si="2"/>
        <v>-2.7175367000000002E-2</v>
      </c>
      <c r="R67" s="3">
        <f t="shared" si="2"/>
        <v>-2.0708441999999997E-3</v>
      </c>
      <c r="S67" s="3">
        <f t="shared" si="2"/>
        <v>2.5030613E-2</v>
      </c>
      <c r="T67" s="3">
        <f t="shared" si="2"/>
        <v>-4.1481852999999999E-2</v>
      </c>
      <c r="U67" s="3">
        <f t="shared" si="2"/>
        <v>-4.1208799999999997E-2</v>
      </c>
      <c r="V67" s="3">
        <f t="shared" si="2"/>
        <v>-6.6030859999999997E-2</v>
      </c>
      <c r="W67" s="3">
        <f t="shared" si="2"/>
        <v>-3.9727867E-2</v>
      </c>
      <c r="X67" s="3">
        <f t="shared" si="2"/>
        <v>-8.4739500000000009E-2</v>
      </c>
      <c r="Y67" s="3">
        <f t="shared" si="2"/>
        <v>-1.5970050999999999E-2</v>
      </c>
      <c r="Z67" s="3">
        <f t="shared" si="2"/>
        <v>-7.13945E-2</v>
      </c>
      <c r="AA67" s="3">
        <f t="shared" si="2"/>
        <v>-4.8479794999999999E-2</v>
      </c>
      <c r="AB67" s="3">
        <f t="shared" si="2"/>
        <v>-3.4500718E-2</v>
      </c>
      <c r="AC67" s="3">
        <f t="shared" si="2"/>
        <v>-1.9449711000000001E-2</v>
      </c>
      <c r="AD67" s="3">
        <f t="shared" si="2"/>
        <v>-4.2303029999999998E-2</v>
      </c>
      <c r="AE67" s="3">
        <f t="shared" si="2"/>
        <v>-2.7960598E-2</v>
      </c>
      <c r="AF67" s="3">
        <f t="shared" si="2"/>
        <v>-4.8893810000000003E-2</v>
      </c>
      <c r="AG67" s="3">
        <f t="shared" si="2"/>
        <v>-5.6584477000000001E-2</v>
      </c>
      <c r="AH67" s="3">
        <f t="shared" si="2"/>
        <v>-5.6352672999999999E-2</v>
      </c>
      <c r="AI67" s="3">
        <f t="shared" si="2"/>
        <v>-8.3919170000000005E-3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1.0756087213114743E-3</v>
      </c>
      <c r="C68" s="4">
        <f t="shared" si="3"/>
        <v>1.2774768709836062E-2</v>
      </c>
      <c r="D68" s="4">
        <f t="shared" si="3"/>
        <v>4.149158509836064E-3</v>
      </c>
      <c r="E68" s="4">
        <f t="shared" si="3"/>
        <v>1.0491519819672138E-3</v>
      </c>
      <c r="F68" s="4">
        <f t="shared" si="3"/>
        <v>1.7718765288524591E-2</v>
      </c>
      <c r="G68" s="4">
        <f t="shared" si="3"/>
        <v>1.7742862121311473E-2</v>
      </c>
      <c r="H68" s="4">
        <f t="shared" si="3"/>
        <v>3.4715846706557369E-3</v>
      </c>
      <c r="I68" s="4">
        <f t="shared" si="3"/>
        <v>1.2648003778688525E-2</v>
      </c>
      <c r="J68" s="4">
        <f t="shared" si="3"/>
        <v>1.4512113857540984E-2</v>
      </c>
      <c r="K68" s="4">
        <f t="shared" si="3"/>
        <v>8.2005713868852463E-3</v>
      </c>
      <c r="L68" s="4">
        <f t="shared" si="3"/>
        <v>1.0233998604426231E-2</v>
      </c>
      <c r="M68" s="4">
        <f t="shared" si="3"/>
        <v>1.4195848831147544E-2</v>
      </c>
      <c r="N68" s="4">
        <f t="shared" si="3"/>
        <v>2.416729356983606E-2</v>
      </c>
      <c r="O68" s="4">
        <f t="shared" si="3"/>
        <v>9.3345172145901639E-3</v>
      </c>
      <c r="P68" s="4">
        <f t="shared" si="3"/>
        <v>7.9821517081967537E-4</v>
      </c>
      <c r="Q68" s="4">
        <f t="shared" si="3"/>
        <v>4.6153313049180338E-3</v>
      </c>
      <c r="R68" s="4">
        <f t="shared" si="3"/>
        <v>1.8732871081967226E-3</v>
      </c>
      <c r="S68" s="4">
        <f t="shared" si="3"/>
        <v>1.4207687790163934E-2</v>
      </c>
      <c r="T68" s="4">
        <f t="shared" si="3"/>
        <v>1.3776273163770492E-2</v>
      </c>
      <c r="U68" s="4">
        <f t="shared" si="3"/>
        <v>5.5914970221311476E-3</v>
      </c>
      <c r="V68" s="4">
        <f t="shared" si="3"/>
        <v>6.6237731459016357E-3</v>
      </c>
      <c r="W68" s="4">
        <f t="shared" si="3"/>
        <v>-2.539253490163935E-3</v>
      </c>
      <c r="X68" s="4">
        <f t="shared" si="3"/>
        <v>7.8477657459016369E-3</v>
      </c>
      <c r="Y68" s="4">
        <f t="shared" si="3"/>
        <v>1.2362596538360655E-2</v>
      </c>
      <c r="Z68" s="4">
        <f t="shared" si="3"/>
        <v>8.2403797360655721E-3</v>
      </c>
      <c r="AA68" s="4">
        <f t="shared" si="3"/>
        <v>7.4178409367213101E-3</v>
      </c>
      <c r="AB68" s="4">
        <f t="shared" si="3"/>
        <v>7.4892483081967203E-3</v>
      </c>
      <c r="AC68" s="4">
        <f t="shared" si="3"/>
        <v>1.2031748249180328E-2</v>
      </c>
      <c r="AD68" s="4">
        <f t="shared" si="3"/>
        <v>1.411847092786885E-2</v>
      </c>
      <c r="AE68" s="4">
        <f t="shared" si="3"/>
        <v>1.2744860673770491E-2</v>
      </c>
      <c r="AF68" s="4">
        <f t="shared" si="3"/>
        <v>1.0391382940983603E-2</v>
      </c>
      <c r="AG68" s="4">
        <f t="shared" si="3"/>
        <v>1.0129381653934426E-2</v>
      </c>
      <c r="AH68" s="4">
        <f t="shared" si="3"/>
        <v>7.9076140614754119E-3</v>
      </c>
      <c r="AI68" s="4">
        <f t="shared" si="3"/>
        <v>1.6214483995081966E-2</v>
      </c>
    </row>
    <row r="69" spans="1:38" x14ac:dyDescent="0.45">
      <c r="A69" t="s">
        <v>21</v>
      </c>
      <c r="B69" s="4">
        <f t="shared" ref="B69:AI69" si="4">STDEV(B40:B62)</f>
        <v>5.6748210995441487E-2</v>
      </c>
      <c r="C69" s="4">
        <f t="shared" si="4"/>
        <v>5.5225572474988827E-2</v>
      </c>
      <c r="D69" s="4">
        <f t="shared" si="4"/>
        <v>6.7902832476587197E-2</v>
      </c>
      <c r="E69" s="4">
        <f t="shared" si="4"/>
        <v>5.4534187066392535E-2</v>
      </c>
      <c r="F69" s="4">
        <f t="shared" si="4"/>
        <v>6.8079534706138339E-2</v>
      </c>
      <c r="G69" s="4">
        <f t="shared" si="4"/>
        <v>5.8811640459869363E-2</v>
      </c>
      <c r="H69" s="4">
        <f t="shared" si="4"/>
        <v>4.1047466739095123E-2</v>
      </c>
      <c r="I69" s="4">
        <f t="shared" si="4"/>
        <v>6.709774613891252E-2</v>
      </c>
      <c r="J69" s="4">
        <f t="shared" si="4"/>
        <v>5.9305826390249713E-2</v>
      </c>
      <c r="K69" s="4">
        <f t="shared" si="4"/>
        <v>7.0429022106940423E-2</v>
      </c>
      <c r="L69" s="4">
        <f t="shared" si="4"/>
        <v>6.5463385161773788E-2</v>
      </c>
      <c r="M69" s="4">
        <f t="shared" si="4"/>
        <v>5.3412532254075551E-2</v>
      </c>
      <c r="N69" s="4">
        <f t="shared" si="4"/>
        <v>6.0697088045105582E-2</v>
      </c>
      <c r="O69" s="4">
        <f t="shared" si="4"/>
        <v>2.7709653337510715E-2</v>
      </c>
      <c r="P69" s="4">
        <f t="shared" si="4"/>
        <v>8.472921981785729E-2</v>
      </c>
      <c r="Q69" s="4">
        <f t="shared" si="4"/>
        <v>3.3330753299416788E-2</v>
      </c>
      <c r="R69" s="4">
        <f t="shared" si="4"/>
        <v>5.2049085834558834E-2</v>
      </c>
      <c r="S69" s="4">
        <f t="shared" si="4"/>
        <v>7.2542743020067052E-2</v>
      </c>
      <c r="T69" s="4">
        <f t="shared" si="4"/>
        <v>5.0988083415501637E-2</v>
      </c>
      <c r="U69" s="4">
        <f t="shared" si="4"/>
        <v>6.758817324492862E-2</v>
      </c>
      <c r="V69" s="4">
        <f t="shared" si="4"/>
        <v>3.5903009058922596E-2</v>
      </c>
      <c r="W69" s="4">
        <f t="shared" si="4"/>
        <v>3.1546977004465598E-2</v>
      </c>
      <c r="X69" s="4">
        <f t="shared" si="4"/>
        <v>4.1742741572052017E-2</v>
      </c>
      <c r="Y69" s="4">
        <f t="shared" si="4"/>
        <v>3.3455369733293813E-2</v>
      </c>
      <c r="Z69" s="4">
        <f t="shared" si="4"/>
        <v>4.8436797855032708E-2</v>
      </c>
      <c r="AA69" s="4">
        <f t="shared" si="4"/>
        <v>4.3946748192945591E-2</v>
      </c>
      <c r="AB69" s="4">
        <f t="shared" si="4"/>
        <v>4.0621203590230935E-2</v>
      </c>
      <c r="AC69" s="4">
        <f t="shared" si="4"/>
        <v>3.4580235471305835E-2</v>
      </c>
      <c r="AD69" s="4">
        <f t="shared" si="4"/>
        <v>5.7617946505208482E-2</v>
      </c>
      <c r="AE69" s="4">
        <f t="shared" si="4"/>
        <v>4.3088182600976577E-2</v>
      </c>
      <c r="AF69" s="4">
        <f t="shared" si="4"/>
        <v>4.6742226182364087E-2</v>
      </c>
      <c r="AG69" s="4">
        <f t="shared" si="4"/>
        <v>5.1451804401056886E-2</v>
      </c>
      <c r="AH69" s="4">
        <f t="shared" si="4"/>
        <v>5.5860810128585327E-2</v>
      </c>
      <c r="AI69" s="4">
        <f t="shared" si="4"/>
        <v>5.0453902064120294E-2</v>
      </c>
    </row>
    <row r="70" spans="1:38" x14ac:dyDescent="0.45">
      <c r="A70" t="s">
        <v>36</v>
      </c>
      <c r="B70" s="3">
        <f>B69*2</f>
        <v>0.11349642199088297</v>
      </c>
      <c r="C70" s="3">
        <f t="shared" ref="C70:AI70" si="5">C69*2</f>
        <v>0.11045114494997765</v>
      </c>
      <c r="D70" s="3">
        <f t="shared" si="5"/>
        <v>0.13580566495317439</v>
      </c>
      <c r="E70" s="3">
        <f t="shared" si="5"/>
        <v>0.10906837413278507</v>
      </c>
      <c r="F70" s="3">
        <f t="shared" si="5"/>
        <v>0.13615906941227668</v>
      </c>
      <c r="G70" s="3">
        <f t="shared" si="5"/>
        <v>0.11762328091973873</v>
      </c>
      <c r="H70" s="3">
        <f t="shared" si="5"/>
        <v>8.2094933478190246E-2</v>
      </c>
      <c r="I70" s="3">
        <f t="shared" si="5"/>
        <v>0.13419549227782504</v>
      </c>
      <c r="J70" s="3">
        <f t="shared" si="5"/>
        <v>0.11861165278049943</v>
      </c>
      <c r="K70" s="3">
        <f t="shared" si="5"/>
        <v>0.14085804421388085</v>
      </c>
      <c r="L70" s="3">
        <f t="shared" si="5"/>
        <v>0.13092677032354758</v>
      </c>
      <c r="M70" s="3">
        <f t="shared" si="5"/>
        <v>0.1068250645081511</v>
      </c>
      <c r="N70" s="3">
        <f t="shared" si="5"/>
        <v>0.12139417609021116</v>
      </c>
      <c r="O70" s="3">
        <f t="shared" si="5"/>
        <v>5.5419306675021429E-2</v>
      </c>
      <c r="P70" s="3">
        <f t="shared" si="5"/>
        <v>0.16945843963571458</v>
      </c>
      <c r="Q70" s="3">
        <f t="shared" si="5"/>
        <v>6.6661506598833575E-2</v>
      </c>
      <c r="R70" s="3">
        <f t="shared" si="5"/>
        <v>0.10409817166911767</v>
      </c>
      <c r="S70" s="3">
        <f t="shared" si="5"/>
        <v>0.1450854860401341</v>
      </c>
      <c r="T70" s="3">
        <f t="shared" si="5"/>
        <v>0.10197616683100327</v>
      </c>
      <c r="U70" s="3">
        <f t="shared" si="5"/>
        <v>0.13517634648985724</v>
      </c>
      <c r="V70" s="3">
        <f t="shared" si="5"/>
        <v>7.1806018117845191E-2</v>
      </c>
      <c r="W70" s="3">
        <f t="shared" si="5"/>
        <v>6.3093954008931197E-2</v>
      </c>
      <c r="X70" s="3">
        <f t="shared" si="5"/>
        <v>8.3485483144104033E-2</v>
      </c>
      <c r="Y70" s="3">
        <f t="shared" si="5"/>
        <v>6.6910739466587627E-2</v>
      </c>
      <c r="Z70" s="3">
        <f t="shared" si="5"/>
        <v>9.6873595710065416E-2</v>
      </c>
      <c r="AA70" s="3">
        <f t="shared" si="5"/>
        <v>8.7893496385891182E-2</v>
      </c>
      <c r="AB70" s="3">
        <f t="shared" si="5"/>
        <v>8.124240718046187E-2</v>
      </c>
      <c r="AC70" s="3">
        <f t="shared" si="5"/>
        <v>6.9160470942611671E-2</v>
      </c>
      <c r="AD70" s="3">
        <f t="shared" si="5"/>
        <v>0.11523589301041696</v>
      </c>
      <c r="AE70" s="3">
        <f t="shared" si="5"/>
        <v>8.6176365201953153E-2</v>
      </c>
      <c r="AF70" s="3">
        <f t="shared" si="5"/>
        <v>9.3484452364728174E-2</v>
      </c>
      <c r="AG70" s="3">
        <f t="shared" si="5"/>
        <v>0.10290360880211377</v>
      </c>
      <c r="AH70" s="3">
        <f t="shared" si="5"/>
        <v>0.11172162025717065</v>
      </c>
      <c r="AI70" s="3">
        <f t="shared" si="5"/>
        <v>0.10090780412824059</v>
      </c>
    </row>
    <row r="71" spans="1:38" x14ac:dyDescent="0.45">
      <c r="A71" t="s">
        <v>79</v>
      </c>
      <c r="B71">
        <f>PRICE_DATA!B2</f>
        <v>33.46</v>
      </c>
      <c r="C71">
        <f>PRICE_DATA!C2</f>
        <v>36.590000000000003</v>
      </c>
      <c r="D71">
        <f>PRICE_DATA!D2</f>
        <v>18.329999999999998</v>
      </c>
      <c r="E71">
        <f>PRICE_DATA!E2</f>
        <v>24.37</v>
      </c>
      <c r="F71">
        <f>PRICE_DATA!F2</f>
        <v>32.56</v>
      </c>
      <c r="G71">
        <f>PRICE_DATA!G2</f>
        <v>59.5</v>
      </c>
      <c r="H71">
        <f>PRICE_DATA!H2</f>
        <v>26.05</v>
      </c>
      <c r="I71">
        <f>PRICE_DATA!I2</f>
        <v>61.68</v>
      </c>
      <c r="J71">
        <f>PRICE_DATA!J2</f>
        <v>66.02</v>
      </c>
      <c r="K71">
        <f>PRICE_DATA!K2</f>
        <v>88.53</v>
      </c>
      <c r="L71">
        <f>PRICE_DATA!L2</f>
        <v>31.9</v>
      </c>
      <c r="M71">
        <f>PRICE_DATA!M2</f>
        <v>64.930000000000007</v>
      </c>
      <c r="N71">
        <f>PRICE_DATA!N2</f>
        <v>62.76</v>
      </c>
      <c r="O71">
        <f>PRICE_DATA!O2</f>
        <v>54.72</v>
      </c>
      <c r="P71">
        <f>PRICE_DATA!P2</f>
        <v>60.88</v>
      </c>
      <c r="Q71">
        <f>PRICE_DATA!Q2</f>
        <v>18.614999999999998</v>
      </c>
      <c r="R71">
        <f>PRICE_DATA!R2</f>
        <v>1281.81</v>
      </c>
      <c r="S71">
        <f>PRICE_DATA!S2</f>
        <v>33.58</v>
      </c>
      <c r="T71">
        <f>PRICE_DATA!T2</f>
        <v>18.758199999999999</v>
      </c>
      <c r="U71">
        <f>PRICE_DATA!U2</f>
        <v>17.45</v>
      </c>
      <c r="V71">
        <f>PRICE_DATA!V2</f>
        <v>38.19</v>
      </c>
      <c r="W71">
        <f>PRICE_DATA!W2</f>
        <v>43.75</v>
      </c>
      <c r="X71">
        <f>PRICE_DATA!X2</f>
        <v>24.95</v>
      </c>
      <c r="Y71">
        <f>PRICE_DATA!Y2</f>
        <v>49.91</v>
      </c>
      <c r="Z71">
        <f>PRICE_DATA!Z2</f>
        <v>38.89</v>
      </c>
      <c r="AA71">
        <f>PRICE_DATA!AA2</f>
        <v>79.489999999999995</v>
      </c>
      <c r="AB71">
        <f>PRICE_DATA!AB2</f>
        <v>55.69</v>
      </c>
      <c r="AC71">
        <f>PRICE_DATA!AC2</f>
        <v>41.34</v>
      </c>
      <c r="AD71">
        <f>PRICE_DATA!AD2</f>
        <v>585.66999999999996</v>
      </c>
      <c r="AE71">
        <f>PRICE_DATA!AE2</f>
        <v>652.53</v>
      </c>
      <c r="AF71">
        <f>PRICE_DATA!AF2</f>
        <v>42.99</v>
      </c>
      <c r="AG71">
        <f>PRICE_DATA!AG2</f>
        <v>55.52</v>
      </c>
      <c r="AH71">
        <f>PRICE_DATA!AH2</f>
        <v>45.38</v>
      </c>
      <c r="AI71">
        <f>PRICE_DATA!AI2</f>
        <v>50.81</v>
      </c>
    </row>
    <row r="72" spans="1:38" x14ac:dyDescent="0.45">
      <c r="A72" t="s">
        <v>80</v>
      </c>
      <c r="B72" s="7">
        <f>PRICE_DATA!B204</f>
        <v>30.204643781094532</v>
      </c>
      <c r="C72" s="7">
        <f>PRICE_DATA!C204</f>
        <v>31.633233830845779</v>
      </c>
      <c r="D72" s="7">
        <f>PRICE_DATA!D204</f>
        <v>17.55671641791044</v>
      </c>
      <c r="E72" s="7">
        <f>PRICE_DATA!E204</f>
        <v>25.850399004975124</v>
      </c>
      <c r="F72" s="7">
        <f>PRICE_DATA!F204</f>
        <v>30.673532338308444</v>
      </c>
      <c r="G72" s="7">
        <f>PRICE_DATA!G204</f>
        <v>50.302721393034787</v>
      </c>
      <c r="H72" s="7">
        <f>PRICE_DATA!H204</f>
        <v>24.476666666666656</v>
      </c>
      <c r="I72" s="7">
        <f>PRICE_DATA!I204</f>
        <v>56.581691542288546</v>
      </c>
      <c r="J72" s="7">
        <f>PRICE_DATA!J204</f>
        <v>59.606815920398063</v>
      </c>
      <c r="K72" s="7">
        <f>PRICE_DATA!K204</f>
        <v>69.43348258706466</v>
      </c>
      <c r="L72" s="7">
        <f>PRICE_DATA!L204</f>
        <v>27.967213930348237</v>
      </c>
      <c r="M72" s="7">
        <f>PRICE_DATA!M204</f>
        <v>54.49621890547261</v>
      </c>
      <c r="N72" s="7">
        <f>PRICE_DATA!N204</f>
        <v>56.369433333333369</v>
      </c>
      <c r="O72" s="7">
        <f>PRICE_DATA!O204</f>
        <v>52.86654228855722</v>
      </c>
      <c r="P72" s="7">
        <f>PRICE_DATA!P204</f>
        <v>57.546691542288549</v>
      </c>
      <c r="Q72" s="7">
        <f>PRICE_DATA!Q204</f>
        <v>18.843310447761194</v>
      </c>
      <c r="R72" s="7">
        <f>PRICE_DATA!R204</f>
        <v>1220.3717910447754</v>
      </c>
      <c r="S72" s="7">
        <f>PRICE_DATA!S204</f>
        <v>33.28228756218904</v>
      </c>
      <c r="T72" s="7">
        <f>PRICE_DATA!T204</f>
        <v>18.526414925373132</v>
      </c>
      <c r="U72" s="7">
        <f>PRICE_DATA!U204</f>
        <v>14.874203980099489</v>
      </c>
      <c r="V72" s="7">
        <f>PRICE_DATA!V204</f>
        <v>39.357711442786069</v>
      </c>
      <c r="W72" s="7">
        <f>PRICE_DATA!W204</f>
        <v>44.774539303482598</v>
      </c>
      <c r="X72" s="7">
        <f>PRICE_DATA!X204</f>
        <v>25.678507462686586</v>
      </c>
      <c r="Y72" s="7">
        <f>PRICE_DATA!Y204</f>
        <v>45.683034825870642</v>
      </c>
      <c r="Z72" s="7">
        <f>PRICE_DATA!Z204</f>
        <v>40.262835820895539</v>
      </c>
      <c r="AA72" s="7">
        <f>PRICE_DATA!AA204</f>
        <v>74.872985074626868</v>
      </c>
      <c r="AB72" s="7">
        <f>PRICE_DATA!AB204</f>
        <v>54.138507462686583</v>
      </c>
      <c r="AC72" s="7">
        <f>PRICE_DATA!AC204</f>
        <v>39.715323383084574</v>
      </c>
      <c r="AD72" s="7">
        <f>PRICE_DATA!AD204</f>
        <v>543.11452736318381</v>
      </c>
      <c r="AE72" s="7">
        <f>PRICE_DATA!AE204</f>
        <v>614.27860696517405</v>
      </c>
      <c r="AF72" s="7">
        <f>PRICE_DATA!AF204</f>
        <v>42.268159203980105</v>
      </c>
      <c r="AG72" s="7">
        <f>PRICE_DATA!AG204</f>
        <v>52.595530845771123</v>
      </c>
      <c r="AH72" s="7">
        <f>PRICE_DATA!AH204</f>
        <v>45.269701492537294</v>
      </c>
      <c r="AI72" s="7">
        <f>PRICE_DATA!AI204</f>
        <v>47.295621890547288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0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1</v>
      </c>
      <c r="W74">
        <f t="shared" si="7"/>
        <v>0</v>
      </c>
      <c r="X74">
        <f t="shared" si="7"/>
        <v>1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45981</v>
      </c>
      <c r="B2" cm="1">
        <f t="array" ref="B2:B202">_xll.FDS(B1,"FG_PRICE(0,-200D)")</f>
        <v>33.46</v>
      </c>
      <c r="C2" cm="1">
        <f t="array" ref="C2:C202">_xll.FDS(C1,"FG_PRICE(0,-200D)")</f>
        <v>36.590000000000003</v>
      </c>
      <c r="D2" cm="1">
        <f t="array" ref="D2:D202">_xll.FDS(D1,"FG_PRICE(0,-200D)")</f>
        <v>18.329999999999998</v>
      </c>
      <c r="E2" cm="1">
        <f t="array" ref="E2:E202">_xll.FDS(E1,"FG_PRICE(0,-200D)")</f>
        <v>24.37</v>
      </c>
      <c r="F2" cm="1">
        <f t="array" ref="F2:F202">_xll.FDS(F1,"FG_PRICE(0,-200D)")</f>
        <v>32.56</v>
      </c>
      <c r="G2" cm="1">
        <f t="array" ref="G2:G202">_xll.FDS(G1,"FG_PRICE(0,-200D)")</f>
        <v>59.5</v>
      </c>
      <c r="H2" cm="1">
        <f t="array" ref="H2:H202">_xll.FDS(H1,"FG_PRICE(0,-200D)")</f>
        <v>26.05</v>
      </c>
      <c r="I2" cm="1">
        <f t="array" ref="I2:I202">_xll.FDS(I1,"FG_PRICE(0,-200D)")</f>
        <v>61.68</v>
      </c>
      <c r="J2" cm="1">
        <f t="array" ref="J2:J202">_xll.FDS(J1,"FG_PRICE(0,-200D)")</f>
        <v>66.02</v>
      </c>
      <c r="K2" cm="1">
        <f t="array" ref="K2:K202">_xll.FDS(K1,"FG_PRICE(0,-200D)")</f>
        <v>88.53</v>
      </c>
      <c r="L2" cm="1">
        <f t="array" ref="L2:L202">_xll.FDS(L1,"FG_PRICE(0,-200D)")</f>
        <v>31.9</v>
      </c>
      <c r="M2" cm="1">
        <f t="array" ref="M2:M202">_xll.FDS(M1,"FG_PRICE(0,-200D)")</f>
        <v>64.930000000000007</v>
      </c>
      <c r="N2" cm="1">
        <f t="array" ref="N2:N202">_xll.FDS(N1,"FG_PRICE(0,-200D)")</f>
        <v>62.76</v>
      </c>
      <c r="O2" cm="1">
        <f t="array" ref="O2:O202">_xll.FDS(O1,"FG_PRICE(0,-200D)")</f>
        <v>54.72</v>
      </c>
      <c r="P2" cm="1">
        <f t="array" ref="P2:P202">_xll.FDS(P1,"FG_PRICE(0,-200D)")</f>
        <v>60.88</v>
      </c>
      <c r="Q2" cm="1">
        <f t="array" ref="Q2:Q202">_xll.FDS(Q1,"FG_PRICE(0,-200D)")</f>
        <v>18.614999999999998</v>
      </c>
      <c r="R2" cm="1">
        <f t="array" ref="R2:R202">_xll.FDS(R1,"FG_PRICE(0,-200D)")</f>
        <v>1281.81</v>
      </c>
      <c r="S2" cm="1">
        <f t="array" ref="S2:S202">_xll.FDS(S1,"FG_PRICE(0,-200D)")</f>
        <v>33.58</v>
      </c>
      <c r="T2" cm="1">
        <f t="array" ref="T2:T202">_xll.FDS(T1,"FG_PRICE(0,-200D)")</f>
        <v>18.758199999999999</v>
      </c>
      <c r="U2" cm="1">
        <f t="array" ref="U2:U202">_xll.FDS(U1,"FG_PRICE(0,-200D)")</f>
        <v>17.45</v>
      </c>
      <c r="V2" cm="1">
        <f t="array" ref="V2:V202">_xll.FDS(V1,"FG_PRICE(0,-200D)")</f>
        <v>38.19</v>
      </c>
      <c r="W2" cm="1">
        <f t="array" ref="W2:W202">_xll.FDS(W1,"FG_PRICE(0,-200D)")</f>
        <v>43.75</v>
      </c>
      <c r="X2" cm="1">
        <f t="array" ref="X2:X202">_xll.FDS(X1,"FG_PRICE(0,-200D)")</f>
        <v>24.95</v>
      </c>
      <c r="Y2" cm="1">
        <f t="array" ref="Y2:Y202">_xll.FDS(Y1,"FG_PRICE(0,-200D)")</f>
        <v>49.91</v>
      </c>
      <c r="Z2" cm="1">
        <f t="array" ref="Z2:Z202">_xll.FDS(Z1,"FG_PRICE(0,-200D)")</f>
        <v>38.89</v>
      </c>
      <c r="AA2" cm="1">
        <f t="array" ref="AA2:AA202">_xll.FDS(AA1,"FG_PRICE(0,-200D)")</f>
        <v>79.489999999999995</v>
      </c>
      <c r="AB2" cm="1">
        <f t="array" ref="AB2:AB202">_xll.FDS(AB1,"FG_PRICE(0,-200D)")</f>
        <v>55.69</v>
      </c>
      <c r="AC2" cm="1">
        <f t="array" ref="AC2:AC202">_xll.FDS(AC1,"FG_PRICE(0,-200D)")</f>
        <v>41.34</v>
      </c>
      <c r="AD2" cm="1">
        <f t="array" ref="AD2:AD202">_xll.FDS(AD1,"FG_PRICE(0,-200D)")</f>
        <v>585.66999999999996</v>
      </c>
      <c r="AE2" cm="1">
        <f t="array" ref="AE2:AE202">_xll.FDS(AE1,"FG_PRICE(0,-200D)")</f>
        <v>652.53</v>
      </c>
      <c r="AF2" cm="1">
        <f t="array" ref="AF2:AF202">_xll.FDS(AF1,"FG_PRICE(0,-200D)")</f>
        <v>42.99</v>
      </c>
      <c r="AG2" cm="1">
        <f t="array" ref="AG2:AG202">_xll.FDS(AG1,"FG_PRICE(0,-200D)")</f>
        <v>55.52</v>
      </c>
      <c r="AH2" cm="1">
        <f t="array" ref="AH2:AH202">_xll.FDS(AH1,"FG_PRICE(0,-200D)")</f>
        <v>45.38</v>
      </c>
      <c r="AI2" cm="1">
        <f t="array" ref="AI2:AI202">_xll.FDS(AI1,"FG_PRICE(0,-200D)")</f>
        <v>50.81</v>
      </c>
    </row>
    <row r="3" spans="1:35" x14ac:dyDescent="0.45">
      <c r="A3" s="2">
        <v>45980</v>
      </c>
      <c r="B3">
        <v>33.880000000000003</v>
      </c>
      <c r="C3">
        <v>37.11</v>
      </c>
      <c r="D3">
        <v>18.48</v>
      </c>
      <c r="E3">
        <v>24.23</v>
      </c>
      <c r="F3">
        <v>33.29</v>
      </c>
      <c r="G3">
        <v>61.25</v>
      </c>
      <c r="H3">
        <v>26.33</v>
      </c>
      <c r="I3">
        <v>62.5</v>
      </c>
      <c r="J3">
        <v>66.77</v>
      </c>
      <c r="K3">
        <v>90.56</v>
      </c>
      <c r="L3">
        <v>32.49</v>
      </c>
      <c r="M3">
        <v>66.569999999999993</v>
      </c>
      <c r="N3">
        <v>63.34</v>
      </c>
      <c r="O3">
        <v>54.83</v>
      </c>
      <c r="P3">
        <v>61.91</v>
      </c>
      <c r="Q3">
        <v>18.954999999999998</v>
      </c>
      <c r="R3">
        <v>1272.17</v>
      </c>
      <c r="S3">
        <v>33.659999999999997</v>
      </c>
      <c r="T3">
        <v>18.87</v>
      </c>
      <c r="U3">
        <v>17.61</v>
      </c>
      <c r="V3">
        <v>38.43</v>
      </c>
      <c r="W3">
        <v>43.6663</v>
      </c>
      <c r="X3">
        <v>25.3</v>
      </c>
      <c r="Y3">
        <v>50.62</v>
      </c>
      <c r="Z3">
        <v>39.51</v>
      </c>
      <c r="AA3">
        <v>80.680000000000007</v>
      </c>
      <c r="AB3">
        <v>56.36</v>
      </c>
      <c r="AC3">
        <v>41.73</v>
      </c>
      <c r="AD3">
        <v>599.87</v>
      </c>
      <c r="AE3">
        <v>662.63</v>
      </c>
      <c r="AF3">
        <v>43.44</v>
      </c>
      <c r="AG3">
        <v>57.05</v>
      </c>
      <c r="AH3">
        <v>46.17</v>
      </c>
      <c r="AI3">
        <v>51.34</v>
      </c>
    </row>
    <row r="4" spans="1:35" x14ac:dyDescent="0.45">
      <c r="A4" s="2">
        <v>45979</v>
      </c>
      <c r="B4">
        <v>33.93</v>
      </c>
      <c r="C4">
        <v>36.83</v>
      </c>
      <c r="D4">
        <v>18.260000000000002</v>
      </c>
      <c r="E4">
        <v>24.02</v>
      </c>
      <c r="F4">
        <v>32.869999999999997</v>
      </c>
      <c r="G4">
        <v>60.32</v>
      </c>
      <c r="H4">
        <v>26.16</v>
      </c>
      <c r="I4">
        <v>62.67</v>
      </c>
      <c r="J4">
        <v>66.67</v>
      </c>
      <c r="K4">
        <v>91.59</v>
      </c>
      <c r="L4">
        <v>32.71</v>
      </c>
      <c r="M4">
        <v>66.16</v>
      </c>
      <c r="N4">
        <v>63.2</v>
      </c>
      <c r="O4">
        <v>54.61</v>
      </c>
      <c r="P4">
        <v>62.42</v>
      </c>
      <c r="Q4">
        <v>18.815000000000001</v>
      </c>
      <c r="R4">
        <v>1270.04</v>
      </c>
      <c r="S4">
        <v>33.299999999999997</v>
      </c>
      <c r="T4">
        <v>18.850000000000001</v>
      </c>
      <c r="U4">
        <v>17.73</v>
      </c>
      <c r="V4">
        <v>38.79</v>
      </c>
      <c r="W4">
        <v>44.235900000000001</v>
      </c>
      <c r="X4">
        <v>25.4</v>
      </c>
      <c r="Y4">
        <v>50.53</v>
      </c>
      <c r="Z4">
        <v>39.53</v>
      </c>
      <c r="AA4">
        <v>80.78</v>
      </c>
      <c r="AB4">
        <v>56.58</v>
      </c>
      <c r="AC4">
        <v>42.19</v>
      </c>
      <c r="AD4">
        <v>596.30999999999995</v>
      </c>
      <c r="AE4">
        <v>660.08</v>
      </c>
      <c r="AF4">
        <v>43.63</v>
      </c>
      <c r="AG4">
        <v>56.63</v>
      </c>
      <c r="AH4">
        <v>46.49</v>
      </c>
      <c r="AI4">
        <v>51.81</v>
      </c>
    </row>
    <row r="5" spans="1:35" x14ac:dyDescent="0.45">
      <c r="A5" s="2">
        <v>45978</v>
      </c>
      <c r="B5">
        <v>33.89</v>
      </c>
      <c r="C5">
        <v>37.31</v>
      </c>
      <c r="D5">
        <v>18.38</v>
      </c>
      <c r="E5">
        <v>23.95</v>
      </c>
      <c r="F5">
        <v>33.39</v>
      </c>
      <c r="G5">
        <v>61.163600000000002</v>
      </c>
      <c r="H5">
        <v>26.23</v>
      </c>
      <c r="I5">
        <v>63.16</v>
      </c>
      <c r="J5">
        <v>65.87</v>
      </c>
      <c r="K5">
        <v>93.02</v>
      </c>
      <c r="L5">
        <v>32.78</v>
      </c>
      <c r="M5">
        <v>66.13</v>
      </c>
      <c r="N5">
        <v>64.5</v>
      </c>
      <c r="O5">
        <v>54.65</v>
      </c>
      <c r="P5">
        <v>62.78</v>
      </c>
      <c r="Q5">
        <v>18.89</v>
      </c>
      <c r="R5">
        <v>1280.07</v>
      </c>
      <c r="S5">
        <v>33.08</v>
      </c>
      <c r="T5">
        <v>18.93</v>
      </c>
      <c r="U5">
        <v>17.66</v>
      </c>
      <c r="V5">
        <v>38.450000000000003</v>
      </c>
      <c r="W5">
        <v>44.493200000000002</v>
      </c>
      <c r="X5">
        <v>25.64</v>
      </c>
      <c r="Y5">
        <v>50.34</v>
      </c>
      <c r="Z5">
        <v>40.01</v>
      </c>
      <c r="AA5">
        <v>82.47</v>
      </c>
      <c r="AB5">
        <v>56.81</v>
      </c>
      <c r="AC5">
        <v>42.44</v>
      </c>
      <c r="AD5">
        <v>603.66</v>
      </c>
      <c r="AE5">
        <v>665.67</v>
      </c>
      <c r="AF5">
        <v>44.2</v>
      </c>
      <c r="AG5">
        <v>57.36</v>
      </c>
      <c r="AH5">
        <v>47.22</v>
      </c>
      <c r="AI5">
        <v>52.56</v>
      </c>
    </row>
    <row r="6" spans="1:35" x14ac:dyDescent="0.45">
      <c r="A6" s="2">
        <v>45975</v>
      </c>
      <c r="B6">
        <v>34.19</v>
      </c>
      <c r="C6">
        <v>36.369999999999997</v>
      </c>
      <c r="D6">
        <v>18.38</v>
      </c>
      <c r="E6">
        <v>23.28</v>
      </c>
      <c r="F6">
        <v>34.159999999999997</v>
      </c>
      <c r="G6">
        <v>62.34</v>
      </c>
      <c r="H6">
        <v>26.45</v>
      </c>
      <c r="I6">
        <v>65.17</v>
      </c>
      <c r="J6">
        <v>67.22</v>
      </c>
      <c r="K6">
        <v>94.13</v>
      </c>
      <c r="L6">
        <v>33.18</v>
      </c>
      <c r="M6">
        <v>66.989999999999995</v>
      </c>
      <c r="N6">
        <v>65</v>
      </c>
      <c r="O6">
        <v>54.62</v>
      </c>
      <c r="P6">
        <v>63.5</v>
      </c>
      <c r="Q6">
        <v>19.285</v>
      </c>
      <c r="R6">
        <v>1269.26</v>
      </c>
      <c r="S6">
        <v>32.85</v>
      </c>
      <c r="T6">
        <v>19.170000000000002</v>
      </c>
      <c r="U6">
        <v>17.59</v>
      </c>
      <c r="V6">
        <v>38.83</v>
      </c>
      <c r="W6">
        <v>44.844999999999999</v>
      </c>
      <c r="X6">
        <v>25.95</v>
      </c>
      <c r="Y6">
        <v>50.89</v>
      </c>
      <c r="Z6">
        <v>40.86</v>
      </c>
      <c r="AA6">
        <v>83.98</v>
      </c>
      <c r="AB6">
        <v>57.55</v>
      </c>
      <c r="AC6">
        <v>42.77</v>
      </c>
      <c r="AD6">
        <v>608.86</v>
      </c>
      <c r="AE6">
        <v>671.93</v>
      </c>
      <c r="AF6">
        <v>44.84</v>
      </c>
      <c r="AG6">
        <v>58.13</v>
      </c>
      <c r="AH6">
        <v>47.65</v>
      </c>
      <c r="AI6">
        <v>53.2</v>
      </c>
    </row>
    <row r="7" spans="1:35" x14ac:dyDescent="0.45">
      <c r="A7" s="2">
        <v>45974</v>
      </c>
      <c r="B7">
        <v>34.64</v>
      </c>
      <c r="C7">
        <v>36.71</v>
      </c>
      <c r="D7">
        <v>18.28</v>
      </c>
      <c r="E7">
        <v>23.69</v>
      </c>
      <c r="F7">
        <v>34.130000000000003</v>
      </c>
      <c r="G7">
        <v>62.52</v>
      </c>
      <c r="H7">
        <v>26.5</v>
      </c>
      <c r="I7">
        <v>63.99</v>
      </c>
      <c r="J7">
        <v>67.38</v>
      </c>
      <c r="K7">
        <v>94.07</v>
      </c>
      <c r="L7">
        <v>32.979999999999997</v>
      </c>
      <c r="M7">
        <v>67.83</v>
      </c>
      <c r="N7">
        <v>64.67</v>
      </c>
      <c r="O7">
        <v>54.2</v>
      </c>
      <c r="P7">
        <v>64.459999999999994</v>
      </c>
      <c r="Q7">
        <v>19.25</v>
      </c>
      <c r="R7">
        <v>1287.44</v>
      </c>
      <c r="S7">
        <v>32.78</v>
      </c>
      <c r="T7">
        <v>19.190000000000001</v>
      </c>
      <c r="U7">
        <v>17.420000000000002</v>
      </c>
      <c r="V7">
        <v>38.729999999999997</v>
      </c>
      <c r="W7">
        <v>44.943399999999997</v>
      </c>
      <c r="X7">
        <v>25.94</v>
      </c>
      <c r="Y7">
        <v>50.64</v>
      </c>
      <c r="Z7">
        <v>41.25</v>
      </c>
      <c r="AA7">
        <v>83.01</v>
      </c>
      <c r="AB7">
        <v>57.85</v>
      </c>
      <c r="AC7">
        <v>43.04</v>
      </c>
      <c r="AD7">
        <v>608.4</v>
      </c>
      <c r="AE7">
        <v>672.04</v>
      </c>
      <c r="AF7">
        <v>45.04</v>
      </c>
      <c r="AG7">
        <v>58.61</v>
      </c>
      <c r="AH7">
        <v>48.27</v>
      </c>
      <c r="AI7">
        <v>53.98</v>
      </c>
    </row>
    <row r="8" spans="1:35" x14ac:dyDescent="0.45">
      <c r="A8" s="2">
        <v>45973</v>
      </c>
      <c r="B8">
        <v>34.43</v>
      </c>
      <c r="C8">
        <v>37.26</v>
      </c>
      <c r="D8">
        <v>18.440000000000001</v>
      </c>
      <c r="E8">
        <v>23.6</v>
      </c>
      <c r="F8">
        <v>34.42</v>
      </c>
      <c r="G8">
        <v>64.38</v>
      </c>
      <c r="H8">
        <v>26.53</v>
      </c>
      <c r="I8">
        <v>65.41</v>
      </c>
      <c r="J8">
        <v>68.16</v>
      </c>
      <c r="K8">
        <v>95.92</v>
      </c>
      <c r="L8">
        <v>33.22</v>
      </c>
      <c r="M8">
        <v>68.08</v>
      </c>
      <c r="N8">
        <v>64.319999999999993</v>
      </c>
      <c r="O8">
        <v>54.56</v>
      </c>
      <c r="P8">
        <v>64.58</v>
      </c>
      <c r="Q8">
        <v>19.555</v>
      </c>
      <c r="R8">
        <v>1284.81</v>
      </c>
      <c r="S8">
        <v>33.03</v>
      </c>
      <c r="T8">
        <v>19.48</v>
      </c>
      <c r="U8">
        <v>17.53</v>
      </c>
      <c r="V8">
        <v>39.17</v>
      </c>
      <c r="W8">
        <v>45.657200000000003</v>
      </c>
      <c r="X8">
        <v>26.58</v>
      </c>
      <c r="Y8">
        <v>51.75</v>
      </c>
      <c r="Z8">
        <v>41.68</v>
      </c>
      <c r="AA8">
        <v>84.34</v>
      </c>
      <c r="AB8">
        <v>58.06</v>
      </c>
      <c r="AC8">
        <v>43.51</v>
      </c>
      <c r="AD8">
        <v>621.08000000000004</v>
      </c>
      <c r="AE8">
        <v>683.38</v>
      </c>
      <c r="AF8">
        <v>45.14</v>
      </c>
      <c r="AG8">
        <v>59.03</v>
      </c>
      <c r="AH8">
        <v>48.82</v>
      </c>
      <c r="AI8">
        <v>54.12</v>
      </c>
    </row>
    <row r="9" spans="1:35" x14ac:dyDescent="0.45">
      <c r="A9" s="2">
        <v>45972</v>
      </c>
      <c r="B9">
        <v>34.47</v>
      </c>
      <c r="C9">
        <v>36.5</v>
      </c>
      <c r="D9">
        <v>18.45</v>
      </c>
      <c r="E9">
        <v>23.41</v>
      </c>
      <c r="F9">
        <v>34.56</v>
      </c>
      <c r="G9">
        <v>63.04</v>
      </c>
      <c r="H9">
        <v>26.78</v>
      </c>
      <c r="I9">
        <v>65.39</v>
      </c>
      <c r="J9">
        <v>69.34</v>
      </c>
      <c r="K9">
        <v>95.29</v>
      </c>
      <c r="L9">
        <v>33.49</v>
      </c>
      <c r="M9">
        <v>66.53</v>
      </c>
      <c r="N9">
        <v>63.63</v>
      </c>
      <c r="O9">
        <v>54.74</v>
      </c>
      <c r="P9">
        <v>64.53</v>
      </c>
      <c r="Q9">
        <v>19.6479</v>
      </c>
      <c r="R9">
        <v>1300.47</v>
      </c>
      <c r="S9">
        <v>32.85</v>
      </c>
      <c r="T9">
        <v>19.690000000000001</v>
      </c>
      <c r="U9">
        <v>16.93</v>
      </c>
      <c r="V9">
        <v>39.39</v>
      </c>
      <c r="W9">
        <v>45.674999999999997</v>
      </c>
      <c r="X9">
        <v>26.63</v>
      </c>
      <c r="Y9">
        <v>51.04</v>
      </c>
      <c r="Z9">
        <v>41.23</v>
      </c>
      <c r="AA9">
        <v>83.75</v>
      </c>
      <c r="AB9">
        <v>57.67</v>
      </c>
      <c r="AC9">
        <v>43.65</v>
      </c>
      <c r="AD9">
        <v>621.57000000000005</v>
      </c>
      <c r="AE9">
        <v>683</v>
      </c>
      <c r="AF9">
        <v>44.71</v>
      </c>
      <c r="AG9">
        <v>58.73</v>
      </c>
      <c r="AH9">
        <v>48.48</v>
      </c>
      <c r="AI9">
        <v>53.75</v>
      </c>
    </row>
    <row r="10" spans="1:35" x14ac:dyDescent="0.45">
      <c r="A10" s="2">
        <v>45971</v>
      </c>
      <c r="B10">
        <v>34.770000000000003</v>
      </c>
      <c r="C10">
        <v>36.299999999999997</v>
      </c>
      <c r="D10">
        <v>18.55</v>
      </c>
      <c r="E10">
        <v>23.7</v>
      </c>
      <c r="F10">
        <v>34.44</v>
      </c>
      <c r="G10">
        <v>63.13</v>
      </c>
      <c r="H10">
        <v>26.47</v>
      </c>
      <c r="I10">
        <v>65.75</v>
      </c>
      <c r="J10">
        <v>67.91</v>
      </c>
      <c r="K10">
        <v>95.67</v>
      </c>
      <c r="L10">
        <v>32.72</v>
      </c>
      <c r="M10">
        <v>66.62</v>
      </c>
      <c r="N10">
        <v>63.69</v>
      </c>
      <c r="O10">
        <v>54.15</v>
      </c>
      <c r="P10">
        <v>64.7</v>
      </c>
      <c r="Q10">
        <v>19.48</v>
      </c>
      <c r="R10">
        <v>1306.26</v>
      </c>
      <c r="S10">
        <v>33.549999999999997</v>
      </c>
      <c r="T10">
        <v>19.53</v>
      </c>
      <c r="U10">
        <v>16.71</v>
      </c>
      <c r="V10">
        <v>39.32</v>
      </c>
      <c r="W10">
        <v>45.684100000000001</v>
      </c>
      <c r="X10">
        <v>26.81</v>
      </c>
      <c r="Y10">
        <v>50.89</v>
      </c>
      <c r="Z10">
        <v>40.96</v>
      </c>
      <c r="AA10">
        <v>83.68</v>
      </c>
      <c r="AB10">
        <v>56.36</v>
      </c>
      <c r="AC10">
        <v>43.44</v>
      </c>
      <c r="AD10">
        <v>623.23</v>
      </c>
      <c r="AE10">
        <v>681.44</v>
      </c>
      <c r="AF10">
        <v>44.19</v>
      </c>
      <c r="AG10">
        <v>58.56</v>
      </c>
      <c r="AH10">
        <v>47.74</v>
      </c>
      <c r="AI10">
        <v>53.15</v>
      </c>
    </row>
    <row r="11" spans="1:35" x14ac:dyDescent="0.45">
      <c r="A11" s="2">
        <v>45968</v>
      </c>
      <c r="B11">
        <v>34.6</v>
      </c>
      <c r="C11">
        <v>35.799999999999997</v>
      </c>
      <c r="D11">
        <v>18.53</v>
      </c>
      <c r="E11">
        <v>23.79</v>
      </c>
      <c r="F11">
        <v>33.840000000000003</v>
      </c>
      <c r="G11">
        <v>61.77</v>
      </c>
      <c r="H11">
        <v>26.23</v>
      </c>
      <c r="I11">
        <v>64.61</v>
      </c>
      <c r="J11">
        <v>67.819999999999993</v>
      </c>
      <c r="K11">
        <v>91.8</v>
      </c>
      <c r="L11">
        <v>32.299999999999997</v>
      </c>
      <c r="M11">
        <v>64.239999999999995</v>
      </c>
      <c r="N11">
        <v>62.35</v>
      </c>
      <c r="O11">
        <v>53.75</v>
      </c>
      <c r="P11">
        <v>63.61</v>
      </c>
      <c r="Q11">
        <v>19.420000000000002</v>
      </c>
      <c r="R11">
        <v>1302.9100000000001</v>
      </c>
      <c r="S11">
        <v>33.86</v>
      </c>
      <c r="T11">
        <v>19.43</v>
      </c>
      <c r="U11">
        <v>16.88</v>
      </c>
      <c r="V11">
        <v>39.28</v>
      </c>
      <c r="W11">
        <v>45.580800000000004</v>
      </c>
      <c r="X11">
        <v>26.44</v>
      </c>
      <c r="Y11">
        <v>50.1</v>
      </c>
      <c r="Z11">
        <v>40.479999999999997</v>
      </c>
      <c r="AA11">
        <v>83.29</v>
      </c>
      <c r="AB11">
        <v>55.74</v>
      </c>
      <c r="AC11">
        <v>42.87</v>
      </c>
      <c r="AD11">
        <v>609.74</v>
      </c>
      <c r="AE11">
        <v>670.97</v>
      </c>
      <c r="AF11">
        <v>43.78</v>
      </c>
      <c r="AG11">
        <v>57.74</v>
      </c>
      <c r="AH11">
        <v>47.24</v>
      </c>
      <c r="AI11">
        <v>52.19</v>
      </c>
    </row>
    <row r="12" spans="1:35" x14ac:dyDescent="0.45">
      <c r="A12" s="2">
        <v>45967</v>
      </c>
      <c r="B12">
        <v>34.590000000000003</v>
      </c>
      <c r="C12">
        <v>35.25</v>
      </c>
      <c r="D12">
        <v>18.440000000000001</v>
      </c>
      <c r="E12">
        <v>24.11</v>
      </c>
      <c r="F12">
        <v>33.950000000000003</v>
      </c>
      <c r="G12">
        <v>61.75</v>
      </c>
      <c r="H12">
        <v>26.01</v>
      </c>
      <c r="I12">
        <v>64.94</v>
      </c>
      <c r="J12">
        <v>66.97</v>
      </c>
      <c r="K12">
        <v>93.51</v>
      </c>
      <c r="L12">
        <v>32.04</v>
      </c>
      <c r="M12">
        <v>63.7</v>
      </c>
      <c r="N12">
        <v>62.47</v>
      </c>
      <c r="O12">
        <v>53.62</v>
      </c>
      <c r="P12">
        <v>63.97</v>
      </c>
      <c r="Q12">
        <v>19.46</v>
      </c>
      <c r="R12">
        <v>1313.31</v>
      </c>
      <c r="S12">
        <v>34.25</v>
      </c>
      <c r="T12">
        <v>19.309999999999999</v>
      </c>
      <c r="U12">
        <v>17.32</v>
      </c>
      <c r="V12">
        <v>39.299999999999997</v>
      </c>
      <c r="W12">
        <v>45.333100000000002</v>
      </c>
      <c r="X12">
        <v>26.46</v>
      </c>
      <c r="Y12">
        <v>49.75</v>
      </c>
      <c r="Z12">
        <v>40.39</v>
      </c>
      <c r="AA12">
        <v>82.96</v>
      </c>
      <c r="AB12">
        <v>55.22</v>
      </c>
      <c r="AC12">
        <v>42.62</v>
      </c>
      <c r="AD12">
        <v>611.66999999999996</v>
      </c>
      <c r="AE12">
        <v>670.31</v>
      </c>
      <c r="AF12">
        <v>43.42</v>
      </c>
      <c r="AG12">
        <v>57.96</v>
      </c>
      <c r="AH12">
        <v>46.98</v>
      </c>
      <c r="AI12">
        <v>51.75</v>
      </c>
    </row>
    <row r="13" spans="1:35" x14ac:dyDescent="0.45">
      <c r="A13" s="2">
        <v>45966</v>
      </c>
      <c r="B13">
        <v>34.380000000000003</v>
      </c>
      <c r="C13">
        <v>35.299999999999997</v>
      </c>
      <c r="D13">
        <v>18.54</v>
      </c>
      <c r="E13">
        <v>24.19</v>
      </c>
      <c r="F13">
        <v>33.51</v>
      </c>
      <c r="G13">
        <v>61.39</v>
      </c>
      <c r="H13">
        <v>26.2</v>
      </c>
      <c r="I13">
        <v>66.03</v>
      </c>
      <c r="J13">
        <v>67.180000000000007</v>
      </c>
      <c r="K13">
        <v>96.62</v>
      </c>
      <c r="L13">
        <v>32.1</v>
      </c>
      <c r="M13">
        <v>63.4</v>
      </c>
      <c r="N13">
        <v>62.68</v>
      </c>
      <c r="O13">
        <v>54.3</v>
      </c>
      <c r="P13">
        <v>63.36</v>
      </c>
      <c r="Q13">
        <v>19.414999999999999</v>
      </c>
      <c r="R13">
        <v>1295.29</v>
      </c>
      <c r="S13">
        <v>34.130000000000003</v>
      </c>
      <c r="T13">
        <v>19.350000000000001</v>
      </c>
      <c r="U13">
        <v>17.57</v>
      </c>
      <c r="V13">
        <v>39.35</v>
      </c>
      <c r="W13">
        <v>45.91</v>
      </c>
      <c r="X13">
        <v>26.67</v>
      </c>
      <c r="Y13">
        <v>50.26</v>
      </c>
      <c r="Z13">
        <v>40.729999999999997</v>
      </c>
      <c r="AA13">
        <v>82.8</v>
      </c>
      <c r="AB13">
        <v>55.4</v>
      </c>
      <c r="AC13">
        <v>42.61</v>
      </c>
      <c r="AD13">
        <v>623.28</v>
      </c>
      <c r="AE13">
        <v>677.58</v>
      </c>
      <c r="AF13">
        <v>43.88</v>
      </c>
      <c r="AG13">
        <v>58.26</v>
      </c>
      <c r="AH13">
        <v>47.29</v>
      </c>
      <c r="AI13">
        <v>52</v>
      </c>
    </row>
    <row r="14" spans="1:35" x14ac:dyDescent="0.45">
      <c r="A14" s="2">
        <v>45965</v>
      </c>
      <c r="B14">
        <v>33.97</v>
      </c>
      <c r="C14">
        <v>34.5</v>
      </c>
      <c r="D14">
        <v>18.36</v>
      </c>
      <c r="E14">
        <v>24.38</v>
      </c>
      <c r="F14">
        <v>33.31</v>
      </c>
      <c r="G14">
        <v>60.31</v>
      </c>
      <c r="H14">
        <v>25.98</v>
      </c>
      <c r="I14">
        <v>65.430000000000007</v>
      </c>
      <c r="J14">
        <v>65.650000000000006</v>
      </c>
      <c r="K14">
        <v>95.76</v>
      </c>
      <c r="L14">
        <v>31.18</v>
      </c>
      <c r="M14">
        <v>61.44</v>
      </c>
      <c r="N14">
        <v>62.17</v>
      </c>
      <c r="O14">
        <v>54.02</v>
      </c>
      <c r="P14">
        <v>62.73</v>
      </c>
      <c r="Q14">
        <v>19.434999999999999</v>
      </c>
      <c r="R14">
        <v>1298.5999999999999</v>
      </c>
      <c r="S14">
        <v>33.909999999999997</v>
      </c>
      <c r="T14">
        <v>19.36</v>
      </c>
      <c r="U14">
        <v>17.53</v>
      </c>
      <c r="V14">
        <v>39.68</v>
      </c>
      <c r="W14">
        <v>45.38</v>
      </c>
      <c r="X14">
        <v>26.41</v>
      </c>
      <c r="Y14">
        <v>49.72</v>
      </c>
      <c r="Z14">
        <v>40.340000000000003</v>
      </c>
      <c r="AA14">
        <v>82.83</v>
      </c>
      <c r="AB14">
        <v>55.06</v>
      </c>
      <c r="AC14">
        <v>42.18</v>
      </c>
      <c r="AD14">
        <v>619.25</v>
      </c>
      <c r="AE14">
        <v>675.24</v>
      </c>
      <c r="AF14">
        <v>43.63</v>
      </c>
      <c r="AG14">
        <v>57.82</v>
      </c>
      <c r="AH14">
        <v>46.87</v>
      </c>
      <c r="AI14">
        <v>51.38</v>
      </c>
    </row>
    <row r="15" spans="1:35" x14ac:dyDescent="0.45">
      <c r="A15" s="2">
        <v>45964</v>
      </c>
      <c r="B15">
        <v>34.377099999999999</v>
      </c>
      <c r="C15">
        <v>35.93</v>
      </c>
      <c r="D15">
        <v>18.45</v>
      </c>
      <c r="E15">
        <v>24.15</v>
      </c>
      <c r="F15">
        <v>33.78</v>
      </c>
      <c r="G15">
        <v>62.16</v>
      </c>
      <c r="H15">
        <v>26.06</v>
      </c>
      <c r="I15">
        <v>66.900000000000006</v>
      </c>
      <c r="J15">
        <v>66.23</v>
      </c>
      <c r="K15">
        <v>100.78</v>
      </c>
      <c r="L15">
        <v>31.52</v>
      </c>
      <c r="M15">
        <v>63.76</v>
      </c>
      <c r="N15">
        <v>63.18</v>
      </c>
      <c r="O15">
        <v>54.24</v>
      </c>
      <c r="P15">
        <v>63.55</v>
      </c>
      <c r="Q15">
        <v>19.315000000000001</v>
      </c>
      <c r="R15">
        <v>1308.8599999999999</v>
      </c>
      <c r="S15">
        <v>34.450000000000003</v>
      </c>
      <c r="T15">
        <v>19.579999999999998</v>
      </c>
      <c r="U15">
        <v>17.09</v>
      </c>
      <c r="V15">
        <v>40</v>
      </c>
      <c r="W15">
        <v>45.705599999999997</v>
      </c>
      <c r="X15">
        <v>26.84</v>
      </c>
      <c r="Y15">
        <v>50.67</v>
      </c>
      <c r="Z15">
        <v>40.909999999999997</v>
      </c>
      <c r="AA15">
        <v>83.64</v>
      </c>
      <c r="AB15">
        <v>55.12</v>
      </c>
      <c r="AC15">
        <v>42.53</v>
      </c>
      <c r="AD15">
        <v>632.08000000000004</v>
      </c>
      <c r="AE15">
        <v>683.34</v>
      </c>
      <c r="AF15">
        <v>44.07</v>
      </c>
      <c r="AG15">
        <v>58.68</v>
      </c>
      <c r="AH15">
        <v>47.7</v>
      </c>
      <c r="AI15">
        <v>51.79</v>
      </c>
    </row>
    <row r="16" spans="1:35" x14ac:dyDescent="0.45">
      <c r="A16" s="2">
        <v>45961</v>
      </c>
      <c r="B16">
        <v>34.299999999999997</v>
      </c>
      <c r="C16">
        <v>35.32</v>
      </c>
      <c r="D16">
        <v>18.28</v>
      </c>
      <c r="E16">
        <v>24.55</v>
      </c>
      <c r="F16">
        <v>33.71</v>
      </c>
      <c r="G16">
        <v>62.78</v>
      </c>
      <c r="H16">
        <v>25.85</v>
      </c>
      <c r="I16">
        <v>66.650000000000006</v>
      </c>
      <c r="J16">
        <v>66.53</v>
      </c>
      <c r="K16">
        <v>97</v>
      </c>
      <c r="L16">
        <v>31.17</v>
      </c>
      <c r="M16">
        <v>63.77</v>
      </c>
      <c r="N16">
        <v>62.22</v>
      </c>
      <c r="O16">
        <v>53.97</v>
      </c>
      <c r="P16">
        <v>63.57</v>
      </c>
      <c r="Q16">
        <v>19.3</v>
      </c>
      <c r="R16">
        <v>1309.5</v>
      </c>
      <c r="S16">
        <v>34.15</v>
      </c>
      <c r="T16">
        <v>19.68</v>
      </c>
      <c r="U16">
        <v>17.43</v>
      </c>
      <c r="V16">
        <v>40.28</v>
      </c>
      <c r="W16">
        <v>45.89</v>
      </c>
      <c r="X16">
        <v>26.77</v>
      </c>
      <c r="Y16">
        <v>50.74</v>
      </c>
      <c r="Z16">
        <v>40.729999999999997</v>
      </c>
      <c r="AA16">
        <v>83.45</v>
      </c>
      <c r="AB16">
        <v>55.36</v>
      </c>
      <c r="AC16">
        <v>42.67</v>
      </c>
      <c r="AD16">
        <v>629.07000000000005</v>
      </c>
      <c r="AE16">
        <v>682.06</v>
      </c>
      <c r="AF16">
        <v>44.28</v>
      </c>
      <c r="AG16">
        <v>58.8</v>
      </c>
      <c r="AH16">
        <v>47.99</v>
      </c>
      <c r="AI16">
        <v>51.81</v>
      </c>
    </row>
    <row r="17" spans="1:35" x14ac:dyDescent="0.45">
      <c r="A17" s="2">
        <v>45960</v>
      </c>
      <c r="B17">
        <v>34.9</v>
      </c>
      <c r="C17">
        <v>35.340000000000003</v>
      </c>
      <c r="D17">
        <v>18.27</v>
      </c>
      <c r="E17">
        <v>24.4</v>
      </c>
      <c r="F17">
        <v>34.22</v>
      </c>
      <c r="G17">
        <v>63.11</v>
      </c>
      <c r="H17">
        <v>25.88</v>
      </c>
      <c r="I17">
        <v>66.540000000000006</v>
      </c>
      <c r="J17">
        <v>66.73</v>
      </c>
      <c r="K17">
        <v>95.26</v>
      </c>
      <c r="L17">
        <v>31.05</v>
      </c>
      <c r="M17">
        <v>64.37</v>
      </c>
      <c r="N17">
        <v>62.69</v>
      </c>
      <c r="O17">
        <v>54.27</v>
      </c>
      <c r="P17">
        <v>64.38</v>
      </c>
      <c r="Q17">
        <v>19.289100000000001</v>
      </c>
      <c r="R17">
        <v>1314.65</v>
      </c>
      <c r="S17">
        <v>33.64</v>
      </c>
      <c r="T17">
        <v>20.149999999999999</v>
      </c>
      <c r="U17">
        <v>17.71</v>
      </c>
      <c r="V17">
        <v>40.229999999999997</v>
      </c>
      <c r="W17">
        <v>45.755000000000003</v>
      </c>
      <c r="X17">
        <v>26.89</v>
      </c>
      <c r="Y17">
        <v>50.67</v>
      </c>
      <c r="Z17">
        <v>41</v>
      </c>
      <c r="AA17">
        <v>83.21</v>
      </c>
      <c r="AB17">
        <v>55.6</v>
      </c>
      <c r="AC17">
        <v>42.75</v>
      </c>
      <c r="AD17">
        <v>626.04999999999995</v>
      </c>
      <c r="AE17">
        <v>679.83</v>
      </c>
      <c r="AF17">
        <v>44.44</v>
      </c>
      <c r="AG17">
        <v>59.48</v>
      </c>
      <c r="AH17">
        <v>48.49</v>
      </c>
      <c r="AI17">
        <v>51.82</v>
      </c>
    </row>
    <row r="18" spans="1:35" x14ac:dyDescent="0.45">
      <c r="A18" s="2">
        <v>45959</v>
      </c>
      <c r="B18">
        <v>35.270000000000003</v>
      </c>
      <c r="C18">
        <v>34.97</v>
      </c>
      <c r="D18">
        <v>18.32</v>
      </c>
      <c r="E18">
        <v>24.74</v>
      </c>
      <c r="F18">
        <v>34.53</v>
      </c>
      <c r="G18">
        <v>63.12</v>
      </c>
      <c r="H18">
        <v>25.91</v>
      </c>
      <c r="I18">
        <v>67.13</v>
      </c>
      <c r="J18">
        <v>67.430000000000007</v>
      </c>
      <c r="K18">
        <v>96.9</v>
      </c>
      <c r="L18">
        <v>31.18</v>
      </c>
      <c r="M18">
        <v>64.75</v>
      </c>
      <c r="N18">
        <v>63.76</v>
      </c>
      <c r="O18">
        <v>54.61</v>
      </c>
      <c r="P18">
        <v>65.489999999999995</v>
      </c>
      <c r="Q18">
        <v>19.25</v>
      </c>
      <c r="R18">
        <v>1315.64</v>
      </c>
      <c r="S18">
        <v>33.909999999999997</v>
      </c>
      <c r="T18">
        <v>20</v>
      </c>
      <c r="U18">
        <v>18.149999999999999</v>
      </c>
      <c r="V18">
        <v>41.03</v>
      </c>
      <c r="W18">
        <v>45.674999999999997</v>
      </c>
      <c r="X18">
        <v>27</v>
      </c>
      <c r="Y18">
        <v>50.75</v>
      </c>
      <c r="Z18">
        <v>41.27</v>
      </c>
      <c r="AA18">
        <v>83.23</v>
      </c>
      <c r="AB18">
        <v>55.66</v>
      </c>
      <c r="AC18">
        <v>42.83</v>
      </c>
      <c r="AD18">
        <v>635.77</v>
      </c>
      <c r="AE18">
        <v>687.39</v>
      </c>
      <c r="AF18">
        <v>44.86</v>
      </c>
      <c r="AG18">
        <v>59.366</v>
      </c>
      <c r="AH18">
        <v>48.74</v>
      </c>
      <c r="AI18">
        <v>52.11</v>
      </c>
    </row>
    <row r="19" spans="1:35" x14ac:dyDescent="0.45">
      <c r="A19" s="2">
        <v>45958</v>
      </c>
      <c r="B19">
        <v>34.950000000000003</v>
      </c>
      <c r="C19">
        <v>34.630000000000003</v>
      </c>
      <c r="D19">
        <v>18.05</v>
      </c>
      <c r="E19">
        <v>24.44</v>
      </c>
      <c r="F19">
        <v>34.85</v>
      </c>
      <c r="G19">
        <v>62.53</v>
      </c>
      <c r="H19">
        <v>26.01</v>
      </c>
      <c r="I19">
        <v>67.09</v>
      </c>
      <c r="J19">
        <v>67.099999999999994</v>
      </c>
      <c r="K19">
        <v>94.45</v>
      </c>
      <c r="L19">
        <v>30.92</v>
      </c>
      <c r="M19">
        <v>65.23</v>
      </c>
      <c r="N19">
        <v>62.89</v>
      </c>
      <c r="O19">
        <v>54.54</v>
      </c>
      <c r="P19">
        <v>65.12</v>
      </c>
      <c r="Q19">
        <v>19.195</v>
      </c>
      <c r="R19">
        <v>1314.28</v>
      </c>
      <c r="S19">
        <v>33.979999999999997</v>
      </c>
      <c r="T19">
        <v>20.010000000000002</v>
      </c>
      <c r="U19">
        <v>18.18</v>
      </c>
      <c r="V19">
        <v>40.89</v>
      </c>
      <c r="W19">
        <v>45.844999999999999</v>
      </c>
      <c r="X19">
        <v>27.52</v>
      </c>
      <c r="Y19">
        <v>51.41</v>
      </c>
      <c r="Z19">
        <v>41.72</v>
      </c>
      <c r="AA19">
        <v>83.93</v>
      </c>
      <c r="AB19">
        <v>56.17</v>
      </c>
      <c r="AC19">
        <v>42.92</v>
      </c>
      <c r="AD19">
        <v>632.91999999999996</v>
      </c>
      <c r="AE19">
        <v>687.06</v>
      </c>
      <c r="AF19">
        <v>45.14</v>
      </c>
      <c r="AG19">
        <v>59.01</v>
      </c>
      <c r="AH19">
        <v>49.07</v>
      </c>
      <c r="AI19">
        <v>52.18</v>
      </c>
    </row>
    <row r="20" spans="1:35" x14ac:dyDescent="0.45">
      <c r="A20" s="2">
        <v>45957</v>
      </c>
      <c r="B20">
        <v>34.950000000000003</v>
      </c>
      <c r="C20">
        <v>34.590000000000003</v>
      </c>
      <c r="D20">
        <v>18.09</v>
      </c>
      <c r="E20">
        <v>24.4</v>
      </c>
      <c r="F20">
        <v>34.200000000000003</v>
      </c>
      <c r="G20">
        <v>61.55</v>
      </c>
      <c r="H20">
        <v>25.96</v>
      </c>
      <c r="I20">
        <v>66.98</v>
      </c>
      <c r="J20">
        <v>66.33</v>
      </c>
      <c r="K20">
        <v>94.31</v>
      </c>
      <c r="L20">
        <v>30.77</v>
      </c>
      <c r="M20">
        <v>64.2</v>
      </c>
      <c r="N20">
        <v>63.03</v>
      </c>
      <c r="O20">
        <v>54.72</v>
      </c>
      <c r="P20">
        <v>65.59</v>
      </c>
      <c r="Q20">
        <v>19.195</v>
      </c>
      <c r="R20">
        <v>1323.52</v>
      </c>
      <c r="S20">
        <v>33.89</v>
      </c>
      <c r="T20">
        <v>19.97</v>
      </c>
      <c r="U20">
        <v>17.739999999999998</v>
      </c>
      <c r="V20">
        <v>40.61</v>
      </c>
      <c r="W20">
        <v>45.99</v>
      </c>
      <c r="X20">
        <v>27.37</v>
      </c>
      <c r="Y20">
        <v>50.79</v>
      </c>
      <c r="Z20">
        <v>41.78</v>
      </c>
      <c r="AA20">
        <v>83.53</v>
      </c>
      <c r="AB20">
        <v>56.94</v>
      </c>
      <c r="AC20">
        <v>42.98</v>
      </c>
      <c r="AD20">
        <v>628.09</v>
      </c>
      <c r="AE20">
        <v>685.24</v>
      </c>
      <c r="AF20">
        <v>45.33</v>
      </c>
      <c r="AG20">
        <v>59.564999999999998</v>
      </c>
      <c r="AH20">
        <v>49.23</v>
      </c>
      <c r="AI20">
        <v>51.93</v>
      </c>
    </row>
    <row r="21" spans="1:35" x14ac:dyDescent="0.45">
      <c r="A21" s="2">
        <v>45954</v>
      </c>
      <c r="B21">
        <v>34.479999999999997</v>
      </c>
      <c r="C21">
        <v>34.369999999999997</v>
      </c>
      <c r="D21">
        <v>18.3</v>
      </c>
      <c r="E21">
        <v>24.7</v>
      </c>
      <c r="F21">
        <v>33.909999999999997</v>
      </c>
      <c r="G21">
        <v>61.62</v>
      </c>
      <c r="H21">
        <v>25.69</v>
      </c>
      <c r="I21">
        <v>66.48</v>
      </c>
      <c r="J21">
        <v>65.37</v>
      </c>
      <c r="K21">
        <v>92.05</v>
      </c>
      <c r="L21">
        <v>30.48</v>
      </c>
      <c r="M21">
        <v>65.180000000000007</v>
      </c>
      <c r="N21">
        <v>63.27</v>
      </c>
      <c r="O21">
        <v>54.51</v>
      </c>
      <c r="P21">
        <v>64.510000000000005</v>
      </c>
      <c r="Q21">
        <v>19.29</v>
      </c>
      <c r="R21">
        <v>1313.91</v>
      </c>
      <c r="S21">
        <v>34.04</v>
      </c>
      <c r="T21">
        <v>19.98</v>
      </c>
      <c r="U21">
        <v>18.21</v>
      </c>
      <c r="V21">
        <v>40.729999999999997</v>
      </c>
      <c r="W21">
        <v>45.615000000000002</v>
      </c>
      <c r="X21">
        <v>27.18</v>
      </c>
      <c r="Y21">
        <v>50.84</v>
      </c>
      <c r="Z21">
        <v>41.59</v>
      </c>
      <c r="AA21">
        <v>82.5</v>
      </c>
      <c r="AB21">
        <v>57.12</v>
      </c>
      <c r="AC21">
        <v>42.78</v>
      </c>
      <c r="AD21">
        <v>617.1</v>
      </c>
      <c r="AE21">
        <v>677.25</v>
      </c>
      <c r="AF21">
        <v>45.11</v>
      </c>
      <c r="AG21">
        <v>58.91</v>
      </c>
      <c r="AH21">
        <v>48.86</v>
      </c>
      <c r="AI21">
        <v>51.27</v>
      </c>
    </row>
    <row r="22" spans="1:35" x14ac:dyDescent="0.45">
      <c r="A22" s="2">
        <v>45953</v>
      </c>
      <c r="B22">
        <v>34.06</v>
      </c>
      <c r="C22">
        <v>34.200000000000003</v>
      </c>
      <c r="D22">
        <v>18.3</v>
      </c>
      <c r="E22">
        <v>24.99</v>
      </c>
      <c r="F22">
        <v>34.17</v>
      </c>
      <c r="G22">
        <v>61.61</v>
      </c>
      <c r="H22">
        <v>25.65</v>
      </c>
      <c r="I22">
        <v>65.709999999999994</v>
      </c>
      <c r="J22">
        <v>66.02</v>
      </c>
      <c r="K22">
        <v>90.07</v>
      </c>
      <c r="L22">
        <v>30.47</v>
      </c>
      <c r="M22">
        <v>64.930000000000007</v>
      </c>
      <c r="N22">
        <v>64.06</v>
      </c>
      <c r="O22">
        <v>54.76</v>
      </c>
      <c r="P22">
        <v>64.11</v>
      </c>
      <c r="Q22">
        <v>19.260000000000002</v>
      </c>
      <c r="R22">
        <v>1302.3499999999999</v>
      </c>
      <c r="S22">
        <v>33.11</v>
      </c>
      <c r="T22">
        <v>19.920000000000002</v>
      </c>
      <c r="U22">
        <v>18.29</v>
      </c>
      <c r="V22">
        <v>40.67</v>
      </c>
      <c r="W22">
        <v>45.52</v>
      </c>
      <c r="X22">
        <v>27.19</v>
      </c>
      <c r="Y22">
        <v>50.58</v>
      </c>
      <c r="Z22">
        <v>41.55</v>
      </c>
      <c r="AA22">
        <v>82.22</v>
      </c>
      <c r="AB22">
        <v>57.17</v>
      </c>
      <c r="AC22">
        <v>42.6</v>
      </c>
      <c r="AD22">
        <v>610.58000000000004</v>
      </c>
      <c r="AE22">
        <v>671.76</v>
      </c>
      <c r="AF22">
        <v>45.27</v>
      </c>
      <c r="AG22">
        <v>58.87</v>
      </c>
      <c r="AH22">
        <v>48.65</v>
      </c>
      <c r="AI22">
        <v>51.17</v>
      </c>
    </row>
    <row r="23" spans="1:35" x14ac:dyDescent="0.45">
      <c r="A23" s="2">
        <v>45952</v>
      </c>
      <c r="B23">
        <v>33.86</v>
      </c>
      <c r="C23">
        <v>33.47</v>
      </c>
      <c r="D23">
        <v>17.89</v>
      </c>
      <c r="E23">
        <v>24.82</v>
      </c>
      <c r="F23">
        <v>33.83</v>
      </c>
      <c r="G23">
        <v>60.71</v>
      </c>
      <c r="H23">
        <v>25.47</v>
      </c>
      <c r="I23">
        <v>65.03</v>
      </c>
      <c r="J23">
        <v>65.510000000000005</v>
      </c>
      <c r="K23">
        <v>89.45</v>
      </c>
      <c r="L23">
        <v>30.03</v>
      </c>
      <c r="M23">
        <v>63.58</v>
      </c>
      <c r="N23">
        <v>63.56</v>
      </c>
      <c r="O23">
        <v>55.29</v>
      </c>
      <c r="P23">
        <v>63.03</v>
      </c>
      <c r="Q23">
        <v>19.14</v>
      </c>
      <c r="R23">
        <v>1290.72</v>
      </c>
      <c r="S23">
        <v>32.96</v>
      </c>
      <c r="T23">
        <v>19.690000000000001</v>
      </c>
      <c r="U23">
        <v>18.170000000000002</v>
      </c>
      <c r="V23">
        <v>40.51</v>
      </c>
      <c r="W23">
        <v>45.230899999999998</v>
      </c>
      <c r="X23">
        <v>27.07</v>
      </c>
      <c r="Y23">
        <v>50.2</v>
      </c>
      <c r="Z23">
        <v>41.44</v>
      </c>
      <c r="AA23">
        <v>82.18</v>
      </c>
      <c r="AB23">
        <v>57.14</v>
      </c>
      <c r="AC23">
        <v>42.41</v>
      </c>
      <c r="AD23">
        <v>605.49</v>
      </c>
      <c r="AE23">
        <v>667.8</v>
      </c>
      <c r="AF23">
        <v>44.91</v>
      </c>
      <c r="AG23">
        <v>58.12</v>
      </c>
      <c r="AH23">
        <v>48.36</v>
      </c>
      <c r="AI23">
        <v>50.66</v>
      </c>
    </row>
    <row r="24" spans="1:35" x14ac:dyDescent="0.45">
      <c r="A24" s="2">
        <v>45951</v>
      </c>
      <c r="B24">
        <v>33.880000000000003</v>
      </c>
      <c r="C24">
        <v>33.5</v>
      </c>
      <c r="D24">
        <v>18.170000000000002</v>
      </c>
      <c r="E24">
        <v>25.11</v>
      </c>
      <c r="F24">
        <v>33.1</v>
      </c>
      <c r="G24">
        <v>61.35</v>
      </c>
      <c r="H24">
        <v>25.74</v>
      </c>
      <c r="I24">
        <v>65.78</v>
      </c>
      <c r="J24">
        <v>65.069999999999993</v>
      </c>
      <c r="K24">
        <v>88.64</v>
      </c>
      <c r="L24">
        <v>29.94</v>
      </c>
      <c r="M24">
        <v>63.27</v>
      </c>
      <c r="N24">
        <v>63.28</v>
      </c>
      <c r="O24">
        <v>54.48</v>
      </c>
      <c r="P24">
        <v>63.44</v>
      </c>
      <c r="Q24">
        <v>19.09</v>
      </c>
      <c r="R24">
        <v>1284.47</v>
      </c>
      <c r="S24">
        <v>32.72</v>
      </c>
      <c r="T24">
        <v>19.579999999999998</v>
      </c>
      <c r="U24">
        <v>18.045000000000002</v>
      </c>
      <c r="V24">
        <v>40.47</v>
      </c>
      <c r="W24">
        <v>45.325000000000003</v>
      </c>
      <c r="X24">
        <v>27.11</v>
      </c>
      <c r="Y24">
        <v>49.99</v>
      </c>
      <c r="Z24">
        <v>41.69</v>
      </c>
      <c r="AA24">
        <v>82.57</v>
      </c>
      <c r="AB24">
        <v>57.11</v>
      </c>
      <c r="AC24">
        <v>41.96</v>
      </c>
      <c r="AD24">
        <v>611.38</v>
      </c>
      <c r="AE24">
        <v>671.29</v>
      </c>
      <c r="AF24">
        <v>44.98</v>
      </c>
      <c r="AG24">
        <v>58.35</v>
      </c>
      <c r="AH24">
        <v>48.54</v>
      </c>
      <c r="AI24">
        <v>51.1</v>
      </c>
    </row>
    <row r="25" spans="1:35" x14ac:dyDescent="0.45">
      <c r="A25" s="2">
        <v>45950</v>
      </c>
      <c r="B25">
        <v>33.64</v>
      </c>
      <c r="C25">
        <v>33.85</v>
      </c>
      <c r="D25">
        <v>17.82</v>
      </c>
      <c r="E25">
        <v>25.33</v>
      </c>
      <c r="F25">
        <v>33.49</v>
      </c>
      <c r="G25">
        <v>64</v>
      </c>
      <c r="H25">
        <v>25.82</v>
      </c>
      <c r="I25">
        <v>66.17</v>
      </c>
      <c r="J25">
        <v>65.94</v>
      </c>
      <c r="K25">
        <v>90.43</v>
      </c>
      <c r="L25">
        <v>30.22</v>
      </c>
      <c r="M25">
        <v>66.209999999999994</v>
      </c>
      <c r="N25">
        <v>62.99</v>
      </c>
      <c r="O25">
        <v>54.74</v>
      </c>
      <c r="P25">
        <v>64.12</v>
      </c>
      <c r="Q25">
        <v>19.135000000000002</v>
      </c>
      <c r="R25">
        <v>1274.6099999999999</v>
      </c>
      <c r="S25">
        <v>32.76</v>
      </c>
      <c r="T25">
        <v>19.57</v>
      </c>
      <c r="U25">
        <v>18.2</v>
      </c>
      <c r="V25">
        <v>40.89</v>
      </c>
      <c r="W25">
        <v>45.56</v>
      </c>
      <c r="X25">
        <v>27.26</v>
      </c>
      <c r="Y25">
        <v>50.72</v>
      </c>
      <c r="Z25">
        <v>41.88</v>
      </c>
      <c r="AA25">
        <v>83.54</v>
      </c>
      <c r="AB25">
        <v>57.68</v>
      </c>
      <c r="AC25">
        <v>42.16</v>
      </c>
      <c r="AD25">
        <v>611.54</v>
      </c>
      <c r="AE25">
        <v>671.3</v>
      </c>
      <c r="AF25">
        <v>45.2</v>
      </c>
      <c r="AG25">
        <v>58.85</v>
      </c>
      <c r="AH25">
        <v>48.09</v>
      </c>
      <c r="AI25">
        <v>51.24</v>
      </c>
    </row>
    <row r="26" spans="1:35" x14ac:dyDescent="0.45">
      <c r="A26" s="2">
        <v>45947</v>
      </c>
      <c r="B26">
        <v>33.61</v>
      </c>
      <c r="C26">
        <v>33.36</v>
      </c>
      <c r="D26">
        <v>17.3</v>
      </c>
      <c r="E26">
        <v>25.41</v>
      </c>
      <c r="F26">
        <v>32.92</v>
      </c>
      <c r="G26">
        <v>62.97</v>
      </c>
      <c r="H26">
        <v>25.7</v>
      </c>
      <c r="I26">
        <v>65.09</v>
      </c>
      <c r="J26">
        <v>66.13</v>
      </c>
      <c r="K26">
        <v>88.52</v>
      </c>
      <c r="L26">
        <v>29.71</v>
      </c>
      <c r="M26">
        <v>65.41</v>
      </c>
      <c r="N26">
        <v>62.75</v>
      </c>
      <c r="O26">
        <v>54.45</v>
      </c>
      <c r="P26">
        <v>63.31</v>
      </c>
      <c r="Q26">
        <v>19.085000000000001</v>
      </c>
      <c r="R26">
        <v>1291.46</v>
      </c>
      <c r="S26">
        <v>31.9</v>
      </c>
      <c r="T26">
        <v>19.63</v>
      </c>
      <c r="U26">
        <v>19.2</v>
      </c>
      <c r="V26">
        <v>40.78</v>
      </c>
      <c r="W26">
        <v>45.174999999999997</v>
      </c>
      <c r="X26">
        <v>26.92</v>
      </c>
      <c r="Y26">
        <v>50.28</v>
      </c>
      <c r="Z26">
        <v>41.38</v>
      </c>
      <c r="AA26">
        <v>82</v>
      </c>
      <c r="AB26">
        <v>57.78</v>
      </c>
      <c r="AC26">
        <v>42.07</v>
      </c>
      <c r="AD26">
        <v>603.92999999999995</v>
      </c>
      <c r="AE26">
        <v>664.39</v>
      </c>
      <c r="AF26">
        <v>45.23</v>
      </c>
      <c r="AG26">
        <v>58.65</v>
      </c>
      <c r="AH26">
        <v>47.79</v>
      </c>
      <c r="AI26">
        <v>50.77</v>
      </c>
    </row>
    <row r="27" spans="1:35" x14ac:dyDescent="0.45">
      <c r="A27" s="2">
        <v>45946</v>
      </c>
      <c r="B27">
        <v>34.020000000000003</v>
      </c>
      <c r="C27">
        <v>33.4</v>
      </c>
      <c r="D27">
        <v>17.36</v>
      </c>
      <c r="E27">
        <v>25.42</v>
      </c>
      <c r="F27">
        <v>32.83</v>
      </c>
      <c r="G27">
        <v>64.55</v>
      </c>
      <c r="H27">
        <v>25.58</v>
      </c>
      <c r="I27">
        <v>65.17</v>
      </c>
      <c r="J27">
        <v>67.05</v>
      </c>
      <c r="K27">
        <v>87.88</v>
      </c>
      <c r="L27">
        <v>29.24</v>
      </c>
      <c r="M27">
        <v>67.33</v>
      </c>
      <c r="N27">
        <v>63.87</v>
      </c>
      <c r="O27">
        <v>54.064999999999998</v>
      </c>
      <c r="P27">
        <v>63.4</v>
      </c>
      <c r="Q27">
        <v>19.1356</v>
      </c>
      <c r="R27">
        <v>1286.69</v>
      </c>
      <c r="S27">
        <v>32.340000000000003</v>
      </c>
      <c r="T27">
        <v>19.47</v>
      </c>
      <c r="U27">
        <v>19.64</v>
      </c>
      <c r="V27">
        <v>40.78</v>
      </c>
      <c r="W27">
        <v>45.42</v>
      </c>
      <c r="X27">
        <v>26.97</v>
      </c>
      <c r="Y27">
        <v>50.62</v>
      </c>
      <c r="Z27">
        <v>41.59</v>
      </c>
      <c r="AA27">
        <v>81.55</v>
      </c>
      <c r="AB27">
        <v>57.47</v>
      </c>
      <c r="AC27">
        <v>41.99</v>
      </c>
      <c r="AD27">
        <v>599.99</v>
      </c>
      <c r="AE27">
        <v>660.64</v>
      </c>
      <c r="AF27">
        <v>45.15</v>
      </c>
      <c r="AG27">
        <v>58.49</v>
      </c>
      <c r="AH27">
        <v>47.8</v>
      </c>
      <c r="AI27">
        <v>50.88</v>
      </c>
    </row>
    <row r="28" spans="1:35" x14ac:dyDescent="0.45">
      <c r="A28" s="2">
        <v>45945</v>
      </c>
      <c r="B28">
        <v>33.99</v>
      </c>
      <c r="C28">
        <v>33.409999999999997</v>
      </c>
      <c r="D28">
        <v>17.21</v>
      </c>
      <c r="E28">
        <v>25.44</v>
      </c>
      <c r="F28">
        <v>32.9</v>
      </c>
      <c r="G28">
        <v>64.099999999999994</v>
      </c>
      <c r="H28">
        <v>25.66</v>
      </c>
      <c r="I28">
        <v>64.989999999999995</v>
      </c>
      <c r="J28">
        <v>65.87</v>
      </c>
      <c r="K28">
        <v>85.17</v>
      </c>
      <c r="L28">
        <v>29.32</v>
      </c>
      <c r="M28">
        <v>66.03</v>
      </c>
      <c r="N28">
        <v>64.67</v>
      </c>
      <c r="O28">
        <v>53.76</v>
      </c>
      <c r="P28">
        <v>63.25</v>
      </c>
      <c r="Q28">
        <v>19.070699999999999</v>
      </c>
      <c r="R28">
        <v>1266.3800000000001</v>
      </c>
      <c r="S28">
        <v>32.56</v>
      </c>
      <c r="T28">
        <v>19.47</v>
      </c>
      <c r="U28">
        <v>19.420000000000002</v>
      </c>
      <c r="V28">
        <v>40.89</v>
      </c>
      <c r="W28">
        <v>45.14</v>
      </c>
      <c r="X28">
        <v>26.89</v>
      </c>
      <c r="Y28">
        <v>50.96</v>
      </c>
      <c r="Z28">
        <v>41.53</v>
      </c>
      <c r="AA28">
        <v>81.290000000000006</v>
      </c>
      <c r="AB28">
        <v>56.64</v>
      </c>
      <c r="AC28">
        <v>42.02</v>
      </c>
      <c r="AD28">
        <v>602.22</v>
      </c>
      <c r="AE28">
        <v>665.17</v>
      </c>
      <c r="AF28">
        <v>44.42</v>
      </c>
      <c r="AG28">
        <v>58.27</v>
      </c>
      <c r="AH28">
        <v>47.58</v>
      </c>
      <c r="AI28">
        <v>50.47</v>
      </c>
    </row>
    <row r="29" spans="1:35" x14ac:dyDescent="0.45">
      <c r="A29" s="2">
        <v>45944</v>
      </c>
      <c r="B29">
        <v>33.549999999999997</v>
      </c>
      <c r="C29">
        <v>32.799999999999997</v>
      </c>
      <c r="D29">
        <v>17.22</v>
      </c>
      <c r="E29">
        <v>25.45</v>
      </c>
      <c r="F29">
        <v>32.22</v>
      </c>
      <c r="G29">
        <v>63.3</v>
      </c>
      <c r="H29">
        <v>25.72</v>
      </c>
      <c r="I29">
        <v>63.7</v>
      </c>
      <c r="J29">
        <v>64.84</v>
      </c>
      <c r="K29">
        <v>82.69</v>
      </c>
      <c r="L29">
        <v>29.1</v>
      </c>
      <c r="M29">
        <v>65.31</v>
      </c>
      <c r="N29">
        <v>64.83</v>
      </c>
      <c r="O29">
        <v>52.78</v>
      </c>
      <c r="P29">
        <v>62.58</v>
      </c>
      <c r="Q29">
        <v>19.204999999999998</v>
      </c>
      <c r="R29">
        <v>1286.98</v>
      </c>
      <c r="S29">
        <v>32.35</v>
      </c>
      <c r="T29">
        <v>19.57</v>
      </c>
      <c r="U29">
        <v>19.690000000000001</v>
      </c>
      <c r="V29">
        <v>40.75</v>
      </c>
      <c r="W29">
        <v>45.066499999999998</v>
      </c>
      <c r="X29">
        <v>26.7</v>
      </c>
      <c r="Y29">
        <v>50.53</v>
      </c>
      <c r="Z29">
        <v>41.67</v>
      </c>
      <c r="AA29">
        <v>80.040000000000006</v>
      </c>
      <c r="AB29">
        <v>56.33</v>
      </c>
      <c r="AC29">
        <v>42.06</v>
      </c>
      <c r="AD29">
        <v>598</v>
      </c>
      <c r="AE29">
        <v>662.23</v>
      </c>
      <c r="AF29">
        <v>44.13</v>
      </c>
      <c r="AG29">
        <v>57.76</v>
      </c>
      <c r="AH29">
        <v>47.45</v>
      </c>
      <c r="AI29">
        <v>50.79</v>
      </c>
    </row>
    <row r="30" spans="1:35" x14ac:dyDescent="0.45">
      <c r="A30" s="2">
        <v>45943</v>
      </c>
      <c r="B30">
        <v>33.94</v>
      </c>
      <c r="C30">
        <v>32.119999999999997</v>
      </c>
      <c r="D30">
        <v>17.57</v>
      </c>
      <c r="E30">
        <v>25.3</v>
      </c>
      <c r="F30">
        <v>32.409999999999997</v>
      </c>
      <c r="G30">
        <v>63.41</v>
      </c>
      <c r="H30">
        <v>25.71</v>
      </c>
      <c r="I30">
        <v>64.56</v>
      </c>
      <c r="J30">
        <v>65.47</v>
      </c>
      <c r="K30">
        <v>83.62</v>
      </c>
      <c r="L30">
        <v>29.18</v>
      </c>
      <c r="M30">
        <v>66.010000000000005</v>
      </c>
      <c r="N30">
        <v>65.61</v>
      </c>
      <c r="O30">
        <v>52.97</v>
      </c>
      <c r="P30">
        <v>63.3</v>
      </c>
      <c r="Q30">
        <v>19.254999999999999</v>
      </c>
      <c r="R30">
        <v>1313.99</v>
      </c>
      <c r="S30">
        <v>33.04</v>
      </c>
      <c r="T30">
        <v>19.16</v>
      </c>
      <c r="U30">
        <v>19.59</v>
      </c>
      <c r="V30">
        <v>40.69</v>
      </c>
      <c r="W30">
        <v>45.45</v>
      </c>
      <c r="X30">
        <v>26.66</v>
      </c>
      <c r="Y30">
        <v>50.59</v>
      </c>
      <c r="Z30">
        <v>41.78</v>
      </c>
      <c r="AA30">
        <v>79.290000000000006</v>
      </c>
      <c r="AB30">
        <v>56.08</v>
      </c>
      <c r="AC30">
        <v>41.99</v>
      </c>
      <c r="AD30">
        <v>602.01</v>
      </c>
      <c r="AE30">
        <v>663.04</v>
      </c>
      <c r="AF30">
        <v>43.35</v>
      </c>
      <c r="AG30">
        <v>57.75</v>
      </c>
      <c r="AH30">
        <v>47.32</v>
      </c>
      <c r="AI30">
        <v>50.5</v>
      </c>
    </row>
    <row r="31" spans="1:35" x14ac:dyDescent="0.45">
      <c r="A31" s="2">
        <v>45940</v>
      </c>
      <c r="B31">
        <v>32.92</v>
      </c>
      <c r="C31">
        <v>31.5</v>
      </c>
      <c r="D31">
        <v>17.309999999999999</v>
      </c>
      <c r="E31">
        <v>24.87</v>
      </c>
      <c r="F31">
        <v>31.78</v>
      </c>
      <c r="G31">
        <v>60.91</v>
      </c>
      <c r="H31">
        <v>25.33</v>
      </c>
      <c r="I31">
        <v>61.62</v>
      </c>
      <c r="J31">
        <v>64.39</v>
      </c>
      <c r="K31">
        <v>80.72</v>
      </c>
      <c r="L31">
        <v>28.79</v>
      </c>
      <c r="M31">
        <v>63.32</v>
      </c>
      <c r="N31">
        <v>65.45</v>
      </c>
      <c r="O31">
        <v>52.77</v>
      </c>
      <c r="P31">
        <v>61.39</v>
      </c>
      <c r="Q31">
        <v>19.23</v>
      </c>
      <c r="R31">
        <v>1304.92</v>
      </c>
      <c r="S31">
        <v>32.840000000000003</v>
      </c>
      <c r="T31">
        <v>19</v>
      </c>
      <c r="U31">
        <v>18.98</v>
      </c>
      <c r="V31">
        <v>39.81</v>
      </c>
      <c r="W31">
        <v>45.805</v>
      </c>
      <c r="X31">
        <v>26.44</v>
      </c>
      <c r="Y31">
        <v>49.86</v>
      </c>
      <c r="Z31">
        <v>41.52</v>
      </c>
      <c r="AA31">
        <v>78.36</v>
      </c>
      <c r="AB31">
        <v>56.1</v>
      </c>
      <c r="AC31">
        <v>41.73</v>
      </c>
      <c r="AD31">
        <v>589.5</v>
      </c>
      <c r="AE31">
        <v>653.02</v>
      </c>
      <c r="AF31">
        <v>43.29</v>
      </c>
      <c r="AG31">
        <v>56.64</v>
      </c>
      <c r="AH31">
        <v>46.92</v>
      </c>
      <c r="AI31">
        <v>50.31</v>
      </c>
    </row>
    <row r="32" spans="1:35" x14ac:dyDescent="0.45">
      <c r="A32" s="2">
        <v>45939</v>
      </c>
      <c r="B32">
        <v>34.44</v>
      </c>
      <c r="C32">
        <v>32.520000000000003</v>
      </c>
      <c r="D32">
        <v>17.649999999999999</v>
      </c>
      <c r="E32">
        <v>25.2</v>
      </c>
      <c r="F32">
        <v>32.28</v>
      </c>
      <c r="G32">
        <v>62.65</v>
      </c>
      <c r="H32">
        <v>25.98</v>
      </c>
      <c r="I32">
        <v>64.83</v>
      </c>
      <c r="J32">
        <v>65.42</v>
      </c>
      <c r="K32">
        <v>83.43</v>
      </c>
      <c r="L32">
        <v>29.67</v>
      </c>
      <c r="M32">
        <v>65.06</v>
      </c>
      <c r="N32">
        <v>65.7</v>
      </c>
      <c r="O32">
        <v>52.81</v>
      </c>
      <c r="P32">
        <v>65.12</v>
      </c>
      <c r="Q32">
        <v>19.329999999999998</v>
      </c>
      <c r="R32">
        <v>1305.24</v>
      </c>
      <c r="S32">
        <v>33.369999999999997</v>
      </c>
      <c r="T32">
        <v>19.25</v>
      </c>
      <c r="U32">
        <v>18.75</v>
      </c>
      <c r="V32">
        <v>40.68</v>
      </c>
      <c r="W32">
        <v>46.575000000000003</v>
      </c>
      <c r="X32">
        <v>26.92</v>
      </c>
      <c r="Y32">
        <v>50.53</v>
      </c>
      <c r="Z32">
        <v>42.09</v>
      </c>
      <c r="AA32">
        <v>81.55</v>
      </c>
      <c r="AB32">
        <v>56.36</v>
      </c>
      <c r="AC32">
        <v>42.07</v>
      </c>
      <c r="AD32">
        <v>610.70000000000005</v>
      </c>
      <c r="AE32">
        <v>671.16</v>
      </c>
      <c r="AF32">
        <v>43.89</v>
      </c>
      <c r="AG32">
        <v>57.89</v>
      </c>
      <c r="AH32">
        <v>47.2</v>
      </c>
      <c r="AI32">
        <v>51.13</v>
      </c>
    </row>
    <row r="33" spans="1:35" x14ac:dyDescent="0.45">
      <c r="A33" s="2">
        <v>45938</v>
      </c>
      <c r="B33">
        <v>34.21</v>
      </c>
      <c r="C33">
        <v>32.79</v>
      </c>
      <c r="D33">
        <v>17.45</v>
      </c>
      <c r="E33">
        <v>25.67</v>
      </c>
      <c r="F33">
        <v>32.619999999999997</v>
      </c>
      <c r="G33">
        <v>63.53</v>
      </c>
      <c r="H33">
        <v>26.02</v>
      </c>
      <c r="I33">
        <v>65.650000000000006</v>
      </c>
      <c r="J33">
        <v>65.73</v>
      </c>
      <c r="K33">
        <v>84.19</v>
      </c>
      <c r="L33">
        <v>29.87</v>
      </c>
      <c r="M33">
        <v>66.8</v>
      </c>
      <c r="N33">
        <v>65.62</v>
      </c>
      <c r="O33">
        <v>52.63</v>
      </c>
      <c r="P33">
        <v>66.13</v>
      </c>
      <c r="Q33">
        <v>19.309999999999999</v>
      </c>
      <c r="R33">
        <v>1285.6400000000001</v>
      </c>
      <c r="S33">
        <v>33.615000000000002</v>
      </c>
      <c r="T33">
        <v>19.29</v>
      </c>
      <c r="U33">
        <v>18.43</v>
      </c>
      <c r="V33">
        <v>40.549999999999997</v>
      </c>
      <c r="W33">
        <v>47.094999999999999</v>
      </c>
      <c r="X33">
        <v>27.23</v>
      </c>
      <c r="Y33">
        <v>51.14</v>
      </c>
      <c r="Z33">
        <v>42.34</v>
      </c>
      <c r="AA33">
        <v>81.75</v>
      </c>
      <c r="AB33">
        <v>56.83</v>
      </c>
      <c r="AC33">
        <v>42.68</v>
      </c>
      <c r="AD33">
        <v>611.44000000000005</v>
      </c>
      <c r="AE33">
        <v>673.11</v>
      </c>
      <c r="AF33">
        <v>44.3</v>
      </c>
      <c r="AG33">
        <v>58.41</v>
      </c>
      <c r="AH33">
        <v>47.88</v>
      </c>
      <c r="AI33">
        <v>52.29</v>
      </c>
    </row>
    <row r="34" spans="1:35" x14ac:dyDescent="0.45">
      <c r="A34" s="2">
        <v>45937</v>
      </c>
      <c r="B34">
        <v>34.26</v>
      </c>
      <c r="C34">
        <v>32.270000000000003</v>
      </c>
      <c r="D34">
        <v>17.43</v>
      </c>
      <c r="E34">
        <v>25.36</v>
      </c>
      <c r="F34">
        <v>32.58</v>
      </c>
      <c r="G34">
        <v>61.87</v>
      </c>
      <c r="H34">
        <v>25.99</v>
      </c>
      <c r="I34">
        <v>64.81</v>
      </c>
      <c r="J34">
        <v>65.040000000000006</v>
      </c>
      <c r="K34">
        <v>83.35</v>
      </c>
      <c r="L34">
        <v>29.68</v>
      </c>
      <c r="M34">
        <v>64.790000000000006</v>
      </c>
      <c r="N34">
        <v>65.33</v>
      </c>
      <c r="O34">
        <v>52.88</v>
      </c>
      <c r="P34">
        <v>65.81</v>
      </c>
      <c r="Q34">
        <v>19.260000000000002</v>
      </c>
      <c r="R34">
        <v>1293.6099999999999</v>
      </c>
      <c r="S34">
        <v>33.69</v>
      </c>
      <c r="T34">
        <v>19.13</v>
      </c>
      <c r="U34">
        <v>18.23</v>
      </c>
      <c r="V34">
        <v>40.590000000000003</v>
      </c>
      <c r="W34">
        <v>47.05</v>
      </c>
      <c r="X34">
        <v>27.14</v>
      </c>
      <c r="Y34">
        <v>50.94</v>
      </c>
      <c r="Z34">
        <v>42.07</v>
      </c>
      <c r="AA34">
        <v>81.96</v>
      </c>
      <c r="AB34">
        <v>56.55</v>
      </c>
      <c r="AC34">
        <v>42.45</v>
      </c>
      <c r="AD34">
        <v>604.51</v>
      </c>
      <c r="AE34">
        <v>669.12</v>
      </c>
      <c r="AF34">
        <v>43.79</v>
      </c>
      <c r="AG34">
        <v>58.56</v>
      </c>
      <c r="AH34">
        <v>47.82</v>
      </c>
      <c r="AI34">
        <v>51.94</v>
      </c>
    </row>
    <row r="35" spans="1:35" x14ac:dyDescent="0.45">
      <c r="A35" s="2">
        <v>45936</v>
      </c>
      <c r="B35">
        <v>34.369999999999997</v>
      </c>
      <c r="C35">
        <v>32.049999999999997</v>
      </c>
      <c r="D35">
        <v>17.420000000000002</v>
      </c>
      <c r="E35">
        <v>25.1</v>
      </c>
      <c r="F35">
        <v>32.51</v>
      </c>
      <c r="G35">
        <v>62.71</v>
      </c>
      <c r="H35">
        <v>26.09</v>
      </c>
      <c r="I35">
        <v>65.03</v>
      </c>
      <c r="J35">
        <v>65.44</v>
      </c>
      <c r="K35">
        <v>84.78</v>
      </c>
      <c r="L35">
        <v>30.31</v>
      </c>
      <c r="M35">
        <v>65.319999999999993</v>
      </c>
      <c r="N35">
        <v>65.38</v>
      </c>
      <c r="O35">
        <v>52.76</v>
      </c>
      <c r="P35">
        <v>66.64</v>
      </c>
      <c r="Q35">
        <v>19.215</v>
      </c>
      <c r="R35">
        <v>1288.29</v>
      </c>
      <c r="S35">
        <v>33.47</v>
      </c>
      <c r="T35">
        <v>19.04</v>
      </c>
      <c r="U35">
        <v>18.434999999999999</v>
      </c>
      <c r="V35">
        <v>40.770000000000003</v>
      </c>
      <c r="W35">
        <v>47.134999999999998</v>
      </c>
      <c r="X35">
        <v>27.36</v>
      </c>
      <c r="Y35">
        <v>51.3</v>
      </c>
      <c r="Z35">
        <v>42.42</v>
      </c>
      <c r="AA35">
        <v>83.27</v>
      </c>
      <c r="AB35">
        <v>56.72</v>
      </c>
      <c r="AC35">
        <v>42.58</v>
      </c>
      <c r="AD35">
        <v>607.71</v>
      </c>
      <c r="AE35">
        <v>671.61</v>
      </c>
      <c r="AF35">
        <v>44.19</v>
      </c>
      <c r="AG35">
        <v>59.68</v>
      </c>
      <c r="AH35">
        <v>48.26</v>
      </c>
      <c r="AI35">
        <v>52.26</v>
      </c>
    </row>
    <row r="36" spans="1:35" x14ac:dyDescent="0.45">
      <c r="A36" s="2">
        <v>45933</v>
      </c>
      <c r="B36">
        <v>34.39</v>
      </c>
      <c r="C36">
        <v>32.32</v>
      </c>
      <c r="D36">
        <v>17.43</v>
      </c>
      <c r="E36">
        <v>25.59</v>
      </c>
      <c r="F36">
        <v>32.92</v>
      </c>
      <c r="G36">
        <v>62.31</v>
      </c>
      <c r="H36">
        <v>26.2</v>
      </c>
      <c r="I36">
        <v>64.64</v>
      </c>
      <c r="J36">
        <v>66.81</v>
      </c>
      <c r="K36">
        <v>83.85</v>
      </c>
      <c r="L36">
        <v>30.33</v>
      </c>
      <c r="M36">
        <v>65.06</v>
      </c>
      <c r="N36">
        <v>66.17</v>
      </c>
      <c r="O36">
        <v>52.45</v>
      </c>
      <c r="P36">
        <v>66.55</v>
      </c>
      <c r="Q36">
        <v>19.295000000000002</v>
      </c>
      <c r="R36">
        <v>1275.03</v>
      </c>
      <c r="S36">
        <v>33.74</v>
      </c>
      <c r="T36">
        <v>19.11</v>
      </c>
      <c r="U36">
        <v>17.53</v>
      </c>
      <c r="V36">
        <v>40.49</v>
      </c>
      <c r="W36">
        <v>47.188299999999998</v>
      </c>
      <c r="X36">
        <v>27.43</v>
      </c>
      <c r="Y36">
        <v>51.24</v>
      </c>
      <c r="Z36">
        <v>42.43</v>
      </c>
      <c r="AA36">
        <v>81.78</v>
      </c>
      <c r="AB36">
        <v>56.66</v>
      </c>
      <c r="AC36">
        <v>42.64</v>
      </c>
      <c r="AD36">
        <v>603.17999999999995</v>
      </c>
      <c r="AE36">
        <v>669.21</v>
      </c>
      <c r="AF36">
        <v>44.91</v>
      </c>
      <c r="AG36">
        <v>59.62</v>
      </c>
      <c r="AH36">
        <v>48.2</v>
      </c>
      <c r="AI36">
        <v>52.61</v>
      </c>
    </row>
    <row r="37" spans="1:35" x14ac:dyDescent="0.45">
      <c r="A37" s="2">
        <v>45932</v>
      </c>
      <c r="B37">
        <v>34.5182</v>
      </c>
      <c r="C37">
        <v>32.4</v>
      </c>
      <c r="D37">
        <v>17.440000000000001</v>
      </c>
      <c r="E37">
        <v>25.22</v>
      </c>
      <c r="F37">
        <v>32.81</v>
      </c>
      <c r="G37">
        <v>61.33</v>
      </c>
      <c r="H37">
        <v>26.27</v>
      </c>
      <c r="I37">
        <v>64</v>
      </c>
      <c r="J37">
        <v>66.900000000000006</v>
      </c>
      <c r="K37">
        <v>83.53</v>
      </c>
      <c r="L37">
        <v>30.24</v>
      </c>
      <c r="M37">
        <v>64.209999999999994</v>
      </c>
      <c r="N37">
        <v>65.25</v>
      </c>
      <c r="O37">
        <v>52.3</v>
      </c>
      <c r="P37">
        <v>66.989999999999995</v>
      </c>
      <c r="Q37">
        <v>19.274999999999999</v>
      </c>
      <c r="R37">
        <v>1274.17</v>
      </c>
      <c r="S37">
        <v>34.450000000000003</v>
      </c>
      <c r="T37">
        <v>19.079999999999998</v>
      </c>
      <c r="U37">
        <v>17.515000000000001</v>
      </c>
      <c r="V37">
        <v>40.479999999999997</v>
      </c>
      <c r="W37">
        <v>46.68</v>
      </c>
      <c r="X37">
        <v>27.18</v>
      </c>
      <c r="Y37">
        <v>50.59</v>
      </c>
      <c r="Z37">
        <v>42.47</v>
      </c>
      <c r="AA37">
        <v>80.150000000000006</v>
      </c>
      <c r="AB37">
        <v>56.25</v>
      </c>
      <c r="AC37">
        <v>42.26</v>
      </c>
      <c r="AD37">
        <v>605.73</v>
      </c>
      <c r="AE37">
        <v>669.22</v>
      </c>
      <c r="AF37">
        <v>44.77</v>
      </c>
      <c r="AG37">
        <v>59.51</v>
      </c>
      <c r="AH37">
        <v>47.94</v>
      </c>
      <c r="AI37">
        <v>52.33</v>
      </c>
    </row>
    <row r="38" spans="1:35" x14ac:dyDescent="0.45">
      <c r="A38" s="2">
        <v>45931</v>
      </c>
      <c r="B38">
        <v>34.369500000000002</v>
      </c>
      <c r="C38">
        <v>32.71</v>
      </c>
      <c r="D38">
        <v>17.46</v>
      </c>
      <c r="E38">
        <v>25.2</v>
      </c>
      <c r="F38">
        <v>32.6</v>
      </c>
      <c r="G38">
        <v>61.05</v>
      </c>
      <c r="H38">
        <v>26.21</v>
      </c>
      <c r="I38">
        <v>64.14</v>
      </c>
      <c r="J38">
        <v>66.78</v>
      </c>
      <c r="K38">
        <v>81.89</v>
      </c>
      <c r="L38">
        <v>30.58</v>
      </c>
      <c r="M38">
        <v>64.75</v>
      </c>
      <c r="N38">
        <v>65.56</v>
      </c>
      <c r="O38">
        <v>52.39</v>
      </c>
      <c r="P38">
        <v>66.25</v>
      </c>
      <c r="Q38">
        <v>19.39</v>
      </c>
      <c r="R38">
        <v>1288.07</v>
      </c>
      <c r="S38">
        <v>34.96</v>
      </c>
      <c r="T38">
        <v>18.989999999999998</v>
      </c>
      <c r="U38">
        <v>18.04</v>
      </c>
      <c r="V38">
        <v>40.25</v>
      </c>
      <c r="W38">
        <v>46.711599999999997</v>
      </c>
      <c r="X38">
        <v>27.15</v>
      </c>
      <c r="Y38">
        <v>50.57</v>
      </c>
      <c r="Z38">
        <v>42.13</v>
      </c>
      <c r="AA38">
        <v>80.209999999999994</v>
      </c>
      <c r="AB38">
        <v>55.94</v>
      </c>
      <c r="AC38">
        <v>42.5</v>
      </c>
      <c r="AD38">
        <v>603.25</v>
      </c>
      <c r="AE38">
        <v>668.45</v>
      </c>
      <c r="AF38">
        <v>44.49</v>
      </c>
      <c r="AG38">
        <v>58.84</v>
      </c>
      <c r="AH38">
        <v>47.61</v>
      </c>
      <c r="AI38">
        <v>52.41</v>
      </c>
    </row>
    <row r="39" spans="1:35" x14ac:dyDescent="0.45">
      <c r="A39" s="2">
        <v>45930</v>
      </c>
      <c r="B39">
        <v>34.340000000000003</v>
      </c>
      <c r="C39">
        <v>32.96</v>
      </c>
      <c r="D39">
        <v>17.55</v>
      </c>
      <c r="E39">
        <v>24.84</v>
      </c>
      <c r="F39">
        <v>32.200000000000003</v>
      </c>
      <c r="G39">
        <v>61.5</v>
      </c>
      <c r="H39">
        <v>25.92</v>
      </c>
      <c r="I39">
        <v>63.62</v>
      </c>
      <c r="J39">
        <v>68.209999999999994</v>
      </c>
      <c r="K39">
        <v>80.099999999999994</v>
      </c>
      <c r="L39">
        <v>31</v>
      </c>
      <c r="M39">
        <v>64.099999999999994</v>
      </c>
      <c r="N39">
        <v>64.400000000000006</v>
      </c>
      <c r="O39">
        <v>52.06</v>
      </c>
      <c r="P39">
        <v>65.849999999999994</v>
      </c>
      <c r="Q39">
        <v>19.53</v>
      </c>
      <c r="R39">
        <v>1278.74</v>
      </c>
      <c r="S39">
        <v>34.229999999999997</v>
      </c>
      <c r="T39">
        <v>18.89</v>
      </c>
      <c r="U39">
        <v>17.84</v>
      </c>
      <c r="V39">
        <v>40.58</v>
      </c>
      <c r="W39">
        <v>45.933399999999999</v>
      </c>
      <c r="X39">
        <v>27</v>
      </c>
      <c r="Y39">
        <v>50.55</v>
      </c>
      <c r="Z39">
        <v>41.61</v>
      </c>
      <c r="AA39">
        <v>80.209999999999994</v>
      </c>
      <c r="AB39">
        <v>55.24</v>
      </c>
      <c r="AC39">
        <v>41.97</v>
      </c>
      <c r="AD39">
        <v>600.37</v>
      </c>
      <c r="AE39">
        <v>666.18</v>
      </c>
      <c r="AF39">
        <v>43.93</v>
      </c>
      <c r="AG39">
        <v>58.01</v>
      </c>
      <c r="AH39">
        <v>47.2</v>
      </c>
      <c r="AI39">
        <v>51.95</v>
      </c>
    </row>
    <row r="40" spans="1:35" x14ac:dyDescent="0.45">
      <c r="A40" s="2">
        <v>45929</v>
      </c>
      <c r="B40">
        <v>34.200000000000003</v>
      </c>
      <c r="C40">
        <v>32.85</v>
      </c>
      <c r="D40">
        <v>17.690000000000001</v>
      </c>
      <c r="E40">
        <v>25.04</v>
      </c>
      <c r="F40">
        <v>32.11</v>
      </c>
      <c r="G40">
        <v>60.803600000000003</v>
      </c>
      <c r="H40">
        <v>25.78</v>
      </c>
      <c r="I40">
        <v>63.08</v>
      </c>
      <c r="J40">
        <v>67.459999999999994</v>
      </c>
      <c r="K40">
        <v>80.239999999999995</v>
      </c>
      <c r="L40">
        <v>30.99</v>
      </c>
      <c r="M40">
        <v>63.42</v>
      </c>
      <c r="N40">
        <v>64.27</v>
      </c>
      <c r="O40">
        <v>52.16</v>
      </c>
      <c r="P40">
        <v>65.53</v>
      </c>
      <c r="Q40">
        <v>19.425000000000001</v>
      </c>
      <c r="R40">
        <v>1288.26</v>
      </c>
      <c r="S40">
        <v>34.57</v>
      </c>
      <c r="T40">
        <v>18.82</v>
      </c>
      <c r="U40">
        <v>17.690000000000001</v>
      </c>
      <c r="V40">
        <v>40.15</v>
      </c>
      <c r="W40">
        <v>45.484999999999999</v>
      </c>
      <c r="X40">
        <v>26.98</v>
      </c>
      <c r="Y40">
        <v>50.46</v>
      </c>
      <c r="Z40">
        <v>41.31</v>
      </c>
      <c r="AA40">
        <v>80.510000000000005</v>
      </c>
      <c r="AB40">
        <v>54.57</v>
      </c>
      <c r="AC40">
        <v>41.63</v>
      </c>
      <c r="AD40">
        <v>598.73</v>
      </c>
      <c r="AE40">
        <v>663.68</v>
      </c>
      <c r="AF40">
        <v>43.78</v>
      </c>
      <c r="AG40">
        <v>57.67</v>
      </c>
      <c r="AH40">
        <v>47.22</v>
      </c>
      <c r="AI40">
        <v>51.5</v>
      </c>
    </row>
    <row r="41" spans="1:35" x14ac:dyDescent="0.45">
      <c r="A41" s="2">
        <v>45926</v>
      </c>
      <c r="B41">
        <v>33.54</v>
      </c>
      <c r="C41">
        <v>33.17</v>
      </c>
      <c r="D41">
        <v>17.600000000000001</v>
      </c>
      <c r="E41">
        <v>25.12</v>
      </c>
      <c r="F41">
        <v>32.17</v>
      </c>
      <c r="G41">
        <v>59.3</v>
      </c>
      <c r="H41">
        <v>25.73</v>
      </c>
      <c r="I41">
        <v>62.74</v>
      </c>
      <c r="J41">
        <v>67.14</v>
      </c>
      <c r="K41">
        <v>78.87</v>
      </c>
      <c r="L41">
        <v>30.73</v>
      </c>
      <c r="M41">
        <v>63.3</v>
      </c>
      <c r="N41">
        <v>63.82</v>
      </c>
      <c r="O41">
        <v>52.25</v>
      </c>
      <c r="P41">
        <v>64.319999999999993</v>
      </c>
      <c r="Q41">
        <v>19.420000000000002</v>
      </c>
      <c r="R41">
        <v>1278.4100000000001</v>
      </c>
      <c r="S41">
        <v>34.770000000000003</v>
      </c>
      <c r="T41">
        <v>18.98</v>
      </c>
      <c r="U41">
        <v>17.55</v>
      </c>
      <c r="V41">
        <v>39.950000000000003</v>
      </c>
      <c r="W41">
        <v>45.365000000000002</v>
      </c>
      <c r="X41">
        <v>26.67</v>
      </c>
      <c r="Y41">
        <v>50.02</v>
      </c>
      <c r="Z41">
        <v>41.2</v>
      </c>
      <c r="AA41">
        <v>80.44</v>
      </c>
      <c r="AB41">
        <v>54.26</v>
      </c>
      <c r="AC41">
        <v>41.58</v>
      </c>
      <c r="AD41">
        <v>595.97</v>
      </c>
      <c r="AE41">
        <v>661.82</v>
      </c>
      <c r="AF41">
        <v>43.59</v>
      </c>
      <c r="AG41">
        <v>57.12</v>
      </c>
      <c r="AH41">
        <v>47.2</v>
      </c>
      <c r="AI41">
        <v>51.54</v>
      </c>
    </row>
    <row r="42" spans="1:35" x14ac:dyDescent="0.45">
      <c r="A42" s="2">
        <v>45925</v>
      </c>
      <c r="B42">
        <v>33.880000000000003</v>
      </c>
      <c r="C42">
        <v>33.21</v>
      </c>
      <c r="D42">
        <v>17.41</v>
      </c>
      <c r="E42">
        <v>25.09</v>
      </c>
      <c r="F42">
        <v>31.57</v>
      </c>
      <c r="G42">
        <v>59.78</v>
      </c>
      <c r="H42">
        <v>25.27</v>
      </c>
      <c r="I42">
        <v>63.06</v>
      </c>
      <c r="J42">
        <v>66.180000000000007</v>
      </c>
      <c r="K42">
        <v>79.89</v>
      </c>
      <c r="L42">
        <v>30.58</v>
      </c>
      <c r="M42">
        <v>61.67</v>
      </c>
      <c r="N42">
        <v>63.96</v>
      </c>
      <c r="O42">
        <v>52.49</v>
      </c>
      <c r="P42">
        <v>64.760000000000005</v>
      </c>
      <c r="Q42">
        <v>19.37</v>
      </c>
      <c r="R42">
        <v>1273.2</v>
      </c>
      <c r="S42">
        <v>35.19</v>
      </c>
      <c r="T42">
        <v>18.84</v>
      </c>
      <c r="U42">
        <v>17.670000000000002</v>
      </c>
      <c r="V42">
        <v>39.840000000000003</v>
      </c>
      <c r="W42">
        <v>45.196899999999999</v>
      </c>
      <c r="X42">
        <v>26.47</v>
      </c>
      <c r="Y42">
        <v>50.05</v>
      </c>
      <c r="Z42">
        <v>40.75</v>
      </c>
      <c r="AA42">
        <v>80.459999999999994</v>
      </c>
      <c r="AB42">
        <v>53.86</v>
      </c>
      <c r="AC42">
        <v>41.04</v>
      </c>
      <c r="AD42">
        <v>593.53</v>
      </c>
      <c r="AE42">
        <v>658.05</v>
      </c>
      <c r="AF42">
        <v>43.05</v>
      </c>
      <c r="AG42">
        <v>57.02</v>
      </c>
      <c r="AH42">
        <v>46.62</v>
      </c>
      <c r="AI42">
        <v>50.94</v>
      </c>
    </row>
    <row r="43" spans="1:35" x14ac:dyDescent="0.45">
      <c r="A43" s="2">
        <v>45924</v>
      </c>
      <c r="B43">
        <v>33.680599999999998</v>
      </c>
      <c r="C43">
        <v>33.630000000000003</v>
      </c>
      <c r="D43">
        <v>17.68</v>
      </c>
      <c r="E43">
        <v>25.69</v>
      </c>
      <c r="F43">
        <v>32.090000000000003</v>
      </c>
      <c r="G43">
        <v>59.89</v>
      </c>
      <c r="H43">
        <v>25.33</v>
      </c>
      <c r="I43">
        <v>63.57</v>
      </c>
      <c r="J43">
        <v>66.47</v>
      </c>
      <c r="K43">
        <v>80.040000000000006</v>
      </c>
      <c r="L43">
        <v>31.05</v>
      </c>
      <c r="M43">
        <v>61.97</v>
      </c>
      <c r="N43">
        <v>65</v>
      </c>
      <c r="O43">
        <v>52.74</v>
      </c>
      <c r="P43">
        <v>64.58</v>
      </c>
      <c r="Q43">
        <v>19.565000000000001</v>
      </c>
      <c r="R43">
        <v>1282.54</v>
      </c>
      <c r="S43">
        <v>35.299999999999997</v>
      </c>
      <c r="T43">
        <v>18.68</v>
      </c>
      <c r="U43">
        <v>17.579999999999998</v>
      </c>
      <c r="V43">
        <v>40.54</v>
      </c>
      <c r="W43">
        <v>45.596299999999999</v>
      </c>
      <c r="X43">
        <v>26.47</v>
      </c>
      <c r="Y43">
        <v>50.24</v>
      </c>
      <c r="Z43">
        <v>41.24</v>
      </c>
      <c r="AA43">
        <v>80.849999999999994</v>
      </c>
      <c r="AB43">
        <v>54.51</v>
      </c>
      <c r="AC43">
        <v>41.35</v>
      </c>
      <c r="AD43">
        <v>596.1</v>
      </c>
      <c r="AE43">
        <v>661.1</v>
      </c>
      <c r="AF43">
        <v>43.41</v>
      </c>
      <c r="AG43">
        <v>57.27</v>
      </c>
      <c r="AH43">
        <v>47.01</v>
      </c>
      <c r="AI43">
        <v>51.29</v>
      </c>
    </row>
    <row r="44" spans="1:35" x14ac:dyDescent="0.45">
      <c r="A44" s="2">
        <v>45923</v>
      </c>
      <c r="B44">
        <v>33.47</v>
      </c>
      <c r="C44">
        <v>33.68</v>
      </c>
      <c r="D44">
        <v>17.760000000000002</v>
      </c>
      <c r="E44">
        <v>26.16</v>
      </c>
      <c r="F44">
        <v>32.04</v>
      </c>
      <c r="G44">
        <v>58.88</v>
      </c>
      <c r="H44">
        <v>25.74</v>
      </c>
      <c r="I44">
        <v>64.290000000000006</v>
      </c>
      <c r="J44">
        <v>67.430000000000007</v>
      </c>
      <c r="K44">
        <v>81.45</v>
      </c>
      <c r="L44">
        <v>31.32</v>
      </c>
      <c r="M44">
        <v>62.87</v>
      </c>
      <c r="N44">
        <v>65.23</v>
      </c>
      <c r="O44">
        <v>53.06</v>
      </c>
      <c r="P44">
        <v>63.66</v>
      </c>
      <c r="Q44">
        <v>19.785</v>
      </c>
      <c r="R44">
        <v>1292.72</v>
      </c>
      <c r="S44">
        <v>35.06</v>
      </c>
      <c r="T44">
        <v>19.14</v>
      </c>
      <c r="U44">
        <v>17.29</v>
      </c>
      <c r="V44">
        <v>40.78</v>
      </c>
      <c r="W44">
        <v>45.865900000000003</v>
      </c>
      <c r="X44">
        <v>26.87</v>
      </c>
      <c r="Y44">
        <v>50.53</v>
      </c>
      <c r="Z44">
        <v>41.27</v>
      </c>
      <c r="AA44">
        <v>81.09</v>
      </c>
      <c r="AB44">
        <v>55.24</v>
      </c>
      <c r="AC44">
        <v>41.47</v>
      </c>
      <c r="AD44">
        <v>598.20000000000005</v>
      </c>
      <c r="AE44">
        <v>663.21</v>
      </c>
      <c r="AF44">
        <v>43.89</v>
      </c>
      <c r="AG44">
        <v>57.62</v>
      </c>
      <c r="AH44">
        <v>47.85</v>
      </c>
      <c r="AI44">
        <v>51.51</v>
      </c>
    </row>
    <row r="45" spans="1:35" x14ac:dyDescent="0.45">
      <c r="A45" s="2">
        <v>45922</v>
      </c>
      <c r="B45">
        <v>33.67</v>
      </c>
      <c r="C45">
        <v>33.5</v>
      </c>
      <c r="D45">
        <v>17.73</v>
      </c>
      <c r="E45">
        <v>26.6</v>
      </c>
      <c r="F45">
        <v>32</v>
      </c>
      <c r="G45">
        <v>58.59</v>
      </c>
      <c r="H45">
        <v>25.79</v>
      </c>
      <c r="I45">
        <v>64.02</v>
      </c>
      <c r="J45">
        <v>66.900000000000006</v>
      </c>
      <c r="K45">
        <v>81.56</v>
      </c>
      <c r="L45">
        <v>30.79</v>
      </c>
      <c r="M45">
        <v>62.46</v>
      </c>
      <c r="N45">
        <v>64.760000000000005</v>
      </c>
      <c r="O45">
        <v>53.5</v>
      </c>
      <c r="P45">
        <v>64.430000000000007</v>
      </c>
      <c r="Q45">
        <v>19.940000000000001</v>
      </c>
      <c r="R45">
        <v>1297.01</v>
      </c>
      <c r="S45">
        <v>35.58</v>
      </c>
      <c r="T45">
        <v>19.55</v>
      </c>
      <c r="U45">
        <v>17.53</v>
      </c>
      <c r="V45">
        <v>38.18</v>
      </c>
      <c r="W45">
        <v>46.287199999999999</v>
      </c>
      <c r="X45">
        <v>26.92</v>
      </c>
      <c r="Y45">
        <v>50.88</v>
      </c>
      <c r="Z45">
        <v>41.24</v>
      </c>
      <c r="AA45">
        <v>81.25</v>
      </c>
      <c r="AB45">
        <v>55.57</v>
      </c>
      <c r="AC45">
        <v>41.61</v>
      </c>
      <c r="AD45">
        <v>602.20000000000005</v>
      </c>
      <c r="AE45">
        <v>666.84</v>
      </c>
      <c r="AF45">
        <v>43.78</v>
      </c>
      <c r="AG45">
        <v>57.36</v>
      </c>
      <c r="AH45">
        <v>47.63</v>
      </c>
      <c r="AI45">
        <v>51.74</v>
      </c>
    </row>
    <row r="46" spans="1:35" x14ac:dyDescent="0.45">
      <c r="A46" s="2">
        <v>45919</v>
      </c>
      <c r="B46">
        <v>33.450000000000003</v>
      </c>
      <c r="C46">
        <v>33.590000000000003</v>
      </c>
      <c r="D46">
        <v>17.79</v>
      </c>
      <c r="E46">
        <v>26.8</v>
      </c>
      <c r="F46">
        <v>31.76</v>
      </c>
      <c r="G46">
        <v>57.811199999999999</v>
      </c>
      <c r="H46">
        <v>25.59</v>
      </c>
      <c r="I46">
        <v>63.38</v>
      </c>
      <c r="J46">
        <v>66.099999999999994</v>
      </c>
      <c r="K46">
        <v>80.05</v>
      </c>
      <c r="L46">
        <v>30.93</v>
      </c>
      <c r="M46">
        <v>62.54</v>
      </c>
      <c r="N46">
        <v>64.14</v>
      </c>
      <c r="O46">
        <v>53.94</v>
      </c>
      <c r="P46">
        <v>64.44</v>
      </c>
      <c r="Q46">
        <v>19.940000000000001</v>
      </c>
      <c r="R46">
        <v>1306.69</v>
      </c>
      <c r="S46">
        <v>35.380000000000003</v>
      </c>
      <c r="T46">
        <v>19.47</v>
      </c>
      <c r="U46">
        <v>17.68</v>
      </c>
      <c r="V46">
        <v>37.83</v>
      </c>
      <c r="W46">
        <v>46.41</v>
      </c>
      <c r="X46">
        <v>26.89</v>
      </c>
      <c r="Y46">
        <v>50.73</v>
      </c>
      <c r="Z46">
        <v>41.22</v>
      </c>
      <c r="AA46">
        <v>80.790000000000006</v>
      </c>
      <c r="AB46">
        <v>55.26</v>
      </c>
      <c r="AC46">
        <v>41.36</v>
      </c>
      <c r="AD46">
        <v>599.35</v>
      </c>
      <c r="AE46">
        <v>663.7</v>
      </c>
      <c r="AF46">
        <v>43.68</v>
      </c>
      <c r="AG46">
        <v>56.84</v>
      </c>
      <c r="AH46">
        <v>47.43</v>
      </c>
      <c r="AI46">
        <v>51.37</v>
      </c>
    </row>
    <row r="47" spans="1:35" x14ac:dyDescent="0.45">
      <c r="A47" s="2">
        <v>45918</v>
      </c>
      <c r="B47">
        <v>33.479999999999997</v>
      </c>
      <c r="C47">
        <v>33.6</v>
      </c>
      <c r="D47">
        <v>17.72</v>
      </c>
      <c r="E47">
        <v>26.46</v>
      </c>
      <c r="F47">
        <v>32.07</v>
      </c>
      <c r="G47">
        <v>57.14</v>
      </c>
      <c r="H47">
        <v>25.6</v>
      </c>
      <c r="I47">
        <v>63.77</v>
      </c>
      <c r="J47">
        <v>65.95</v>
      </c>
      <c r="K47">
        <v>80.75</v>
      </c>
      <c r="L47">
        <v>30.82</v>
      </c>
      <c r="M47">
        <v>61.48</v>
      </c>
      <c r="N47">
        <v>64.3</v>
      </c>
      <c r="O47">
        <v>53.74</v>
      </c>
      <c r="P47">
        <v>64.75</v>
      </c>
      <c r="Q47">
        <v>19.940000000000001</v>
      </c>
      <c r="R47">
        <v>1308.19</v>
      </c>
      <c r="S47">
        <v>34.35</v>
      </c>
      <c r="T47">
        <v>19.36</v>
      </c>
      <c r="U47">
        <v>17.8</v>
      </c>
      <c r="V47">
        <v>37.770000000000003</v>
      </c>
      <c r="W47">
        <v>46.255000000000003</v>
      </c>
      <c r="X47">
        <v>26.89</v>
      </c>
      <c r="Y47">
        <v>50.18</v>
      </c>
      <c r="Z47">
        <v>41.45</v>
      </c>
      <c r="AA47">
        <v>81.489999999999995</v>
      </c>
      <c r="AB47">
        <v>55.21</v>
      </c>
      <c r="AC47">
        <v>41.66</v>
      </c>
      <c r="AD47">
        <v>595.32000000000005</v>
      </c>
      <c r="AE47">
        <v>662.26</v>
      </c>
      <c r="AF47">
        <v>43.84</v>
      </c>
      <c r="AG47">
        <v>56.97</v>
      </c>
      <c r="AH47">
        <v>47.56</v>
      </c>
      <c r="AI47">
        <v>51.44</v>
      </c>
    </row>
    <row r="48" spans="1:35" x14ac:dyDescent="0.45">
      <c r="A48" s="2">
        <v>45917</v>
      </c>
      <c r="B48">
        <v>33.96</v>
      </c>
      <c r="C48">
        <v>33.4</v>
      </c>
      <c r="D48">
        <v>17.98</v>
      </c>
      <c r="E48">
        <v>26.55</v>
      </c>
      <c r="F48">
        <v>32.32</v>
      </c>
      <c r="G48">
        <v>57.874499999999998</v>
      </c>
      <c r="H48">
        <v>25.95</v>
      </c>
      <c r="I48">
        <v>63.21</v>
      </c>
      <c r="J48">
        <v>66.53</v>
      </c>
      <c r="K48">
        <v>79.83</v>
      </c>
      <c r="L48">
        <v>30.94</v>
      </c>
      <c r="M48">
        <v>60.86</v>
      </c>
      <c r="N48">
        <v>64.099999999999994</v>
      </c>
      <c r="O48">
        <v>54.02</v>
      </c>
      <c r="P48">
        <v>65.8</v>
      </c>
      <c r="Q48">
        <v>19.850000000000001</v>
      </c>
      <c r="R48">
        <v>1299.78</v>
      </c>
      <c r="S48">
        <v>34.75</v>
      </c>
      <c r="T48">
        <v>19.16</v>
      </c>
      <c r="U48">
        <v>17.88</v>
      </c>
      <c r="V48">
        <v>37.43</v>
      </c>
      <c r="W48">
        <v>47.045000000000002</v>
      </c>
      <c r="X48">
        <v>27.14</v>
      </c>
      <c r="Y48">
        <v>49.98</v>
      </c>
      <c r="Z48">
        <v>41.06</v>
      </c>
      <c r="AA48">
        <v>81.17</v>
      </c>
      <c r="AB48">
        <v>55.29</v>
      </c>
      <c r="AC48">
        <v>41.79</v>
      </c>
      <c r="AD48">
        <v>590</v>
      </c>
      <c r="AE48">
        <v>659.18</v>
      </c>
      <c r="AF48">
        <v>43.53</v>
      </c>
      <c r="AG48">
        <v>55.8782</v>
      </c>
      <c r="AH48">
        <v>47.17</v>
      </c>
      <c r="AI48">
        <v>51.33</v>
      </c>
    </row>
    <row r="49" spans="1:35" x14ac:dyDescent="0.45">
      <c r="A49" s="2">
        <v>45916</v>
      </c>
      <c r="B49">
        <v>33.770000000000003</v>
      </c>
      <c r="C49">
        <v>33.76</v>
      </c>
      <c r="D49">
        <v>17.850000000000001</v>
      </c>
      <c r="E49">
        <v>26.22</v>
      </c>
      <c r="F49">
        <v>32.51</v>
      </c>
      <c r="G49">
        <v>57.915399999999998</v>
      </c>
      <c r="H49">
        <v>25.54</v>
      </c>
      <c r="I49">
        <v>63.32</v>
      </c>
      <c r="J49">
        <v>66.8</v>
      </c>
      <c r="K49">
        <v>80.69</v>
      </c>
      <c r="L49">
        <v>30.69</v>
      </c>
      <c r="M49">
        <v>61</v>
      </c>
      <c r="N49">
        <v>64.77</v>
      </c>
      <c r="O49">
        <v>53.87</v>
      </c>
      <c r="P49">
        <v>64.86</v>
      </c>
      <c r="Q49">
        <v>19.77</v>
      </c>
      <c r="R49">
        <v>1293.6199999999999</v>
      </c>
      <c r="S49">
        <v>34.82</v>
      </c>
      <c r="T49">
        <v>19.32</v>
      </c>
      <c r="U49">
        <v>18.059999999999999</v>
      </c>
      <c r="V49">
        <v>36.9</v>
      </c>
      <c r="W49">
        <v>47.020400000000002</v>
      </c>
      <c r="X49">
        <v>27.38</v>
      </c>
      <c r="Y49">
        <v>50.08</v>
      </c>
      <c r="Z49">
        <v>41.15</v>
      </c>
      <c r="AA49">
        <v>81.349999999999994</v>
      </c>
      <c r="AB49">
        <v>55.48</v>
      </c>
      <c r="AC49">
        <v>41.89</v>
      </c>
      <c r="AD49">
        <v>591.17999999999995</v>
      </c>
      <c r="AE49">
        <v>660</v>
      </c>
      <c r="AF49">
        <v>43.82</v>
      </c>
      <c r="AG49">
        <v>55.71</v>
      </c>
      <c r="AH49">
        <v>47.46</v>
      </c>
      <c r="AI49">
        <v>52.15</v>
      </c>
    </row>
    <row r="50" spans="1:35" x14ac:dyDescent="0.45">
      <c r="A50" s="2">
        <v>45915</v>
      </c>
      <c r="B50">
        <v>33.81</v>
      </c>
      <c r="C50">
        <v>33.799999999999997</v>
      </c>
      <c r="D50">
        <v>17.96</v>
      </c>
      <c r="E50">
        <v>25.71</v>
      </c>
      <c r="F50">
        <v>32.81</v>
      </c>
      <c r="G50">
        <v>58.435400000000001</v>
      </c>
      <c r="H50">
        <v>25.55</v>
      </c>
      <c r="I50">
        <v>63.02</v>
      </c>
      <c r="J50">
        <v>66.77</v>
      </c>
      <c r="K50">
        <v>79.19</v>
      </c>
      <c r="L50">
        <v>30.51</v>
      </c>
      <c r="M50">
        <v>60.93</v>
      </c>
      <c r="N50">
        <v>65.23</v>
      </c>
      <c r="O50">
        <v>53.43</v>
      </c>
      <c r="P50">
        <v>64.430000000000007</v>
      </c>
      <c r="Q50">
        <v>19.55</v>
      </c>
      <c r="R50">
        <v>1288.03</v>
      </c>
      <c r="S50">
        <v>34.24</v>
      </c>
      <c r="T50">
        <v>19.2</v>
      </c>
      <c r="U50">
        <v>18.399999999999999</v>
      </c>
      <c r="V50">
        <v>36.71</v>
      </c>
      <c r="W50">
        <v>47.107199999999999</v>
      </c>
      <c r="X50">
        <v>27.57</v>
      </c>
      <c r="Y50">
        <v>50.13</v>
      </c>
      <c r="Z50">
        <v>41.42</v>
      </c>
      <c r="AA50">
        <v>81.349999999999994</v>
      </c>
      <c r="AB50">
        <v>55.56</v>
      </c>
      <c r="AC50">
        <v>42.09</v>
      </c>
      <c r="AD50">
        <v>591.67999999999995</v>
      </c>
      <c r="AE50">
        <v>660.91</v>
      </c>
      <c r="AF50">
        <v>43.89</v>
      </c>
      <c r="AG50">
        <v>55.75</v>
      </c>
      <c r="AH50">
        <v>47.61</v>
      </c>
      <c r="AI50">
        <v>52.39</v>
      </c>
    </row>
    <row r="51" spans="1:35" x14ac:dyDescent="0.45">
      <c r="A51" s="2">
        <v>45912</v>
      </c>
      <c r="B51">
        <v>33.6</v>
      </c>
      <c r="C51">
        <v>33.22</v>
      </c>
      <c r="D51">
        <v>17.829999999999998</v>
      </c>
      <c r="E51">
        <v>25.8</v>
      </c>
      <c r="F51">
        <v>32.28</v>
      </c>
      <c r="G51">
        <v>57.768000000000001</v>
      </c>
      <c r="H51">
        <v>25.47</v>
      </c>
      <c r="I51">
        <v>62.83</v>
      </c>
      <c r="J51">
        <v>66.12</v>
      </c>
      <c r="K51">
        <v>78.66</v>
      </c>
      <c r="L51">
        <v>30.03</v>
      </c>
      <c r="M51">
        <v>60.57</v>
      </c>
      <c r="N51">
        <v>65.17</v>
      </c>
      <c r="O51">
        <v>53.15</v>
      </c>
      <c r="P51">
        <v>63.95</v>
      </c>
      <c r="Q51">
        <v>19.54</v>
      </c>
      <c r="R51">
        <v>1278.05</v>
      </c>
      <c r="S51">
        <v>32.270000000000003</v>
      </c>
      <c r="T51">
        <v>19.170000000000002</v>
      </c>
      <c r="U51">
        <v>17.97</v>
      </c>
      <c r="V51">
        <v>36.72</v>
      </c>
      <c r="W51">
        <v>46.74</v>
      </c>
      <c r="X51">
        <v>27.24</v>
      </c>
      <c r="Y51">
        <v>49.6</v>
      </c>
      <c r="Z51">
        <v>41.31</v>
      </c>
      <c r="AA51">
        <v>80.760000000000005</v>
      </c>
      <c r="AB51">
        <v>55.65</v>
      </c>
      <c r="AC51">
        <v>41.94</v>
      </c>
      <c r="AD51">
        <v>586.66</v>
      </c>
      <c r="AE51">
        <v>657.41</v>
      </c>
      <c r="AF51">
        <v>43.49</v>
      </c>
      <c r="AG51">
        <v>54.66</v>
      </c>
      <c r="AH51">
        <v>47.24</v>
      </c>
      <c r="AI51">
        <v>51.72</v>
      </c>
    </row>
    <row r="52" spans="1:35" x14ac:dyDescent="0.45">
      <c r="A52" s="2">
        <v>45911</v>
      </c>
      <c r="B52">
        <v>33.94</v>
      </c>
      <c r="C52">
        <v>34.020000000000003</v>
      </c>
      <c r="D52">
        <v>17.64</v>
      </c>
      <c r="E52">
        <v>26</v>
      </c>
      <c r="F52">
        <v>32.6</v>
      </c>
      <c r="G52">
        <v>57.547199999999997</v>
      </c>
      <c r="H52">
        <v>25.33</v>
      </c>
      <c r="I52">
        <v>62.74</v>
      </c>
      <c r="J52">
        <v>65.709999999999994</v>
      </c>
      <c r="K52">
        <v>77.86</v>
      </c>
      <c r="L52">
        <v>30.05</v>
      </c>
      <c r="M52">
        <v>60.56</v>
      </c>
      <c r="N52">
        <v>64.22</v>
      </c>
      <c r="O52">
        <v>53.24</v>
      </c>
      <c r="P52">
        <v>64.209999999999994</v>
      </c>
      <c r="Q52">
        <v>19.579999999999998</v>
      </c>
      <c r="R52">
        <v>1276.08</v>
      </c>
      <c r="S52">
        <v>32.32</v>
      </c>
      <c r="T52">
        <v>19.010000000000002</v>
      </c>
      <c r="U52">
        <v>18.03</v>
      </c>
      <c r="V52">
        <v>36.799999999999997</v>
      </c>
      <c r="W52">
        <v>47.225000000000001</v>
      </c>
      <c r="X52">
        <v>27.41</v>
      </c>
      <c r="Y52">
        <v>49.92</v>
      </c>
      <c r="Z52">
        <v>41.39</v>
      </c>
      <c r="AA52">
        <v>81.319999999999993</v>
      </c>
      <c r="AB52">
        <v>56.12</v>
      </c>
      <c r="AC52">
        <v>42.19</v>
      </c>
      <c r="AD52">
        <v>584.08000000000004</v>
      </c>
      <c r="AE52">
        <v>657.63</v>
      </c>
      <c r="AF52">
        <v>43.53</v>
      </c>
      <c r="AG52">
        <v>54.46</v>
      </c>
      <c r="AH52">
        <v>47.33</v>
      </c>
      <c r="AI52">
        <v>51.6</v>
      </c>
    </row>
    <row r="53" spans="1:35" x14ac:dyDescent="0.45">
      <c r="A53" s="2">
        <v>45910</v>
      </c>
      <c r="B53">
        <v>32.840000000000003</v>
      </c>
      <c r="C53">
        <v>32.89</v>
      </c>
      <c r="D53">
        <v>17.329999999999998</v>
      </c>
      <c r="E53">
        <v>25.92</v>
      </c>
      <c r="F53">
        <v>31.83</v>
      </c>
      <c r="G53">
        <v>56.45</v>
      </c>
      <c r="H53">
        <v>25.17</v>
      </c>
      <c r="I53">
        <v>62.56</v>
      </c>
      <c r="J53">
        <v>64.28</v>
      </c>
      <c r="K53">
        <v>76.650000000000006</v>
      </c>
      <c r="L53">
        <v>29.79</v>
      </c>
      <c r="M53">
        <v>59.73</v>
      </c>
      <c r="N53">
        <v>63.64</v>
      </c>
      <c r="O53">
        <v>53.16</v>
      </c>
      <c r="P53">
        <v>62.54</v>
      </c>
      <c r="Q53">
        <v>19.53</v>
      </c>
      <c r="R53">
        <v>1266.1099999999999</v>
      </c>
      <c r="S53">
        <v>32.92</v>
      </c>
      <c r="T53">
        <v>18.850000000000001</v>
      </c>
      <c r="U53">
        <v>17.75</v>
      </c>
      <c r="V53">
        <v>36.799999999999997</v>
      </c>
      <c r="W53">
        <v>46.85</v>
      </c>
      <c r="X53">
        <v>27.11</v>
      </c>
      <c r="Y53">
        <v>49.42</v>
      </c>
      <c r="Z53">
        <v>41.07</v>
      </c>
      <c r="AA53">
        <v>80.36</v>
      </c>
      <c r="AB53">
        <v>55.62</v>
      </c>
      <c r="AC53">
        <v>41.74</v>
      </c>
      <c r="AD53">
        <v>580.70000000000005</v>
      </c>
      <c r="AE53">
        <v>652.21</v>
      </c>
      <c r="AF53">
        <v>42.9</v>
      </c>
      <c r="AG53">
        <v>53.79</v>
      </c>
      <c r="AH53">
        <v>47.1</v>
      </c>
      <c r="AI53">
        <v>50.93</v>
      </c>
    </row>
    <row r="54" spans="1:35" x14ac:dyDescent="0.45">
      <c r="A54" s="2">
        <v>45909</v>
      </c>
      <c r="B54">
        <v>32.94</v>
      </c>
      <c r="C54">
        <v>32.695</v>
      </c>
      <c r="D54">
        <v>17.059999999999999</v>
      </c>
      <c r="E54">
        <v>26.09</v>
      </c>
      <c r="F54">
        <v>32.380000000000003</v>
      </c>
      <c r="G54">
        <v>56</v>
      </c>
      <c r="H54">
        <v>25.17</v>
      </c>
      <c r="I54">
        <v>61.62</v>
      </c>
      <c r="J54">
        <v>64.260000000000005</v>
      </c>
      <c r="K54">
        <v>74.92</v>
      </c>
      <c r="L54">
        <v>29.54</v>
      </c>
      <c r="M54">
        <v>59.03</v>
      </c>
      <c r="N54">
        <v>63.6</v>
      </c>
      <c r="O54">
        <v>52.71</v>
      </c>
      <c r="P54">
        <v>62.97</v>
      </c>
      <c r="Q54">
        <v>19.37</v>
      </c>
      <c r="R54">
        <v>1264.8</v>
      </c>
      <c r="S54">
        <v>32.68</v>
      </c>
      <c r="T54">
        <v>18.91</v>
      </c>
      <c r="U54">
        <v>17.670000000000002</v>
      </c>
      <c r="V54">
        <v>36.76</v>
      </c>
      <c r="W54">
        <v>46.655000000000001</v>
      </c>
      <c r="X54">
        <v>26.89</v>
      </c>
      <c r="Y54">
        <v>49.27</v>
      </c>
      <c r="Z54">
        <v>41.48</v>
      </c>
      <c r="AA54">
        <v>80.06</v>
      </c>
      <c r="AB54">
        <v>56.02</v>
      </c>
      <c r="AC54">
        <v>41.75</v>
      </c>
      <c r="AD54">
        <v>580.51</v>
      </c>
      <c r="AE54">
        <v>650.33000000000004</v>
      </c>
      <c r="AF54">
        <v>43.06</v>
      </c>
      <c r="AG54">
        <v>54.12</v>
      </c>
      <c r="AH54">
        <v>47.3</v>
      </c>
      <c r="AI54">
        <v>50.86</v>
      </c>
    </row>
    <row r="55" spans="1:35" x14ac:dyDescent="0.45">
      <c r="A55" s="2">
        <v>45908</v>
      </c>
      <c r="B55">
        <v>33.14</v>
      </c>
      <c r="C55">
        <v>33.229999999999997</v>
      </c>
      <c r="D55">
        <v>17.5</v>
      </c>
      <c r="E55">
        <v>26.09</v>
      </c>
      <c r="F55">
        <v>32.880000000000003</v>
      </c>
      <c r="G55">
        <v>56.647500000000001</v>
      </c>
      <c r="H55">
        <v>25.12</v>
      </c>
      <c r="I55">
        <v>60.98</v>
      </c>
      <c r="J55">
        <v>64.150000000000006</v>
      </c>
      <c r="K55">
        <v>74.19</v>
      </c>
      <c r="L55">
        <v>29.58</v>
      </c>
      <c r="M55">
        <v>59.34</v>
      </c>
      <c r="N55">
        <v>63.86</v>
      </c>
      <c r="O55">
        <v>52.89</v>
      </c>
      <c r="P55">
        <v>62.3</v>
      </c>
      <c r="Q55">
        <v>19.63</v>
      </c>
      <c r="R55">
        <v>1252.55</v>
      </c>
      <c r="S55">
        <v>32.54</v>
      </c>
      <c r="T55">
        <v>18.940000000000001</v>
      </c>
      <c r="U55">
        <v>17.37</v>
      </c>
      <c r="V55">
        <v>36.69</v>
      </c>
      <c r="W55">
        <v>46.74</v>
      </c>
      <c r="X55">
        <v>27</v>
      </c>
      <c r="Y55">
        <v>49.3</v>
      </c>
      <c r="Z55">
        <v>41.69</v>
      </c>
      <c r="AA55">
        <v>80.959999999999994</v>
      </c>
      <c r="AB55">
        <v>56.33</v>
      </c>
      <c r="AC55">
        <v>41.71</v>
      </c>
      <c r="AD55">
        <v>578.87</v>
      </c>
      <c r="AE55">
        <v>648.83000000000004</v>
      </c>
      <c r="AF55">
        <v>42.99</v>
      </c>
      <c r="AG55">
        <v>54.17</v>
      </c>
      <c r="AH55">
        <v>47.42</v>
      </c>
      <c r="AI55">
        <v>50.64</v>
      </c>
    </row>
    <row r="56" spans="1:35" x14ac:dyDescent="0.45">
      <c r="A56" s="2">
        <v>45905</v>
      </c>
      <c r="B56">
        <v>33.020000000000003</v>
      </c>
      <c r="C56">
        <v>33.83</v>
      </c>
      <c r="D56">
        <v>17.93</v>
      </c>
      <c r="E56">
        <v>26.06</v>
      </c>
      <c r="F56">
        <v>32.14</v>
      </c>
      <c r="G56">
        <v>56.5</v>
      </c>
      <c r="H56">
        <v>25.03</v>
      </c>
      <c r="I56">
        <v>60.21</v>
      </c>
      <c r="J56">
        <v>63.83</v>
      </c>
      <c r="K56">
        <v>73.63</v>
      </c>
      <c r="L56">
        <v>29.63</v>
      </c>
      <c r="M56">
        <v>57.92</v>
      </c>
      <c r="N56">
        <v>63.4</v>
      </c>
      <c r="O56">
        <v>52.48</v>
      </c>
      <c r="P56">
        <v>61.35</v>
      </c>
      <c r="Q56">
        <v>19.690000000000001</v>
      </c>
      <c r="R56">
        <v>1259.31</v>
      </c>
      <c r="S56">
        <v>33.33</v>
      </c>
      <c r="T56">
        <v>19.16</v>
      </c>
      <c r="U56">
        <v>17.97</v>
      </c>
      <c r="V56">
        <v>37.200000000000003</v>
      </c>
      <c r="W56">
        <v>46.13</v>
      </c>
      <c r="X56">
        <v>26.93</v>
      </c>
      <c r="Y56">
        <v>49.17</v>
      </c>
      <c r="Z56">
        <v>41.34</v>
      </c>
      <c r="AA56">
        <v>79.180000000000007</v>
      </c>
      <c r="AB56">
        <v>56.25</v>
      </c>
      <c r="AC56">
        <v>41.55</v>
      </c>
      <c r="AD56">
        <v>576.05999999999995</v>
      </c>
      <c r="AE56">
        <v>647.24</v>
      </c>
      <c r="AF56">
        <v>42.56</v>
      </c>
      <c r="AG56">
        <v>53.47</v>
      </c>
      <c r="AH56">
        <v>47.01</v>
      </c>
      <c r="AI56">
        <v>50.46</v>
      </c>
    </row>
    <row r="57" spans="1:35" x14ac:dyDescent="0.45">
      <c r="A57" s="2">
        <v>45904</v>
      </c>
      <c r="B57">
        <v>32.229999999999997</v>
      </c>
      <c r="C57">
        <v>33.4</v>
      </c>
      <c r="D57">
        <v>17.77</v>
      </c>
      <c r="E57">
        <v>25.78</v>
      </c>
      <c r="F57">
        <v>32.130000000000003</v>
      </c>
      <c r="G57">
        <v>55.73</v>
      </c>
      <c r="H57">
        <v>24.97</v>
      </c>
      <c r="I57">
        <v>59.3</v>
      </c>
      <c r="J57">
        <v>63.07</v>
      </c>
      <c r="K57">
        <v>73.069999999999993</v>
      </c>
      <c r="L57">
        <v>29.17</v>
      </c>
      <c r="M57">
        <v>56.57</v>
      </c>
      <c r="N57">
        <v>63.26</v>
      </c>
      <c r="O57">
        <v>52.59</v>
      </c>
      <c r="P57">
        <v>60.3</v>
      </c>
      <c r="Q57">
        <v>19.7</v>
      </c>
      <c r="R57">
        <v>1248.78</v>
      </c>
      <c r="S57">
        <v>33.729999999999997</v>
      </c>
      <c r="T57">
        <v>19.2</v>
      </c>
      <c r="U57">
        <v>18.43</v>
      </c>
      <c r="V57">
        <v>37.35</v>
      </c>
      <c r="W57">
        <v>45.37</v>
      </c>
      <c r="X57">
        <v>26.9</v>
      </c>
      <c r="Y57">
        <v>49.12</v>
      </c>
      <c r="Z57">
        <v>41.34</v>
      </c>
      <c r="AA57">
        <v>78.73</v>
      </c>
      <c r="AB57">
        <v>55.71</v>
      </c>
      <c r="AC57">
        <v>41.39</v>
      </c>
      <c r="AD57">
        <v>575.23</v>
      </c>
      <c r="AE57">
        <v>649.12</v>
      </c>
      <c r="AF57">
        <v>42.56</v>
      </c>
      <c r="AG57">
        <v>52.87</v>
      </c>
      <c r="AH57">
        <v>46.26</v>
      </c>
      <c r="AI57">
        <v>50.65</v>
      </c>
    </row>
    <row r="58" spans="1:35" x14ac:dyDescent="0.45">
      <c r="A58" s="2">
        <v>45903</v>
      </c>
      <c r="B58">
        <v>32.94</v>
      </c>
      <c r="C58">
        <v>33.049999999999997</v>
      </c>
      <c r="D58">
        <v>17.809999999999999</v>
      </c>
      <c r="E58">
        <v>25.58</v>
      </c>
      <c r="F58">
        <v>31.52</v>
      </c>
      <c r="G58">
        <v>56.01</v>
      </c>
      <c r="H58">
        <v>24.87</v>
      </c>
      <c r="I58">
        <v>58.73</v>
      </c>
      <c r="J58">
        <v>62.8</v>
      </c>
      <c r="K58">
        <v>72.91</v>
      </c>
      <c r="L58">
        <v>28.99</v>
      </c>
      <c r="M58">
        <v>57.7</v>
      </c>
      <c r="N58">
        <v>63.4</v>
      </c>
      <c r="O58">
        <v>52.62</v>
      </c>
      <c r="P58">
        <v>61.33</v>
      </c>
      <c r="Q58">
        <v>19.86</v>
      </c>
      <c r="R58">
        <v>1244.48</v>
      </c>
      <c r="S58">
        <v>33.51</v>
      </c>
      <c r="T58">
        <v>19.03</v>
      </c>
      <c r="U58">
        <v>18.25</v>
      </c>
      <c r="V58">
        <v>37.11</v>
      </c>
      <c r="W58">
        <v>45.494999999999997</v>
      </c>
      <c r="X58">
        <v>26.6</v>
      </c>
      <c r="Y58">
        <v>48.87</v>
      </c>
      <c r="Z58">
        <v>41.05</v>
      </c>
      <c r="AA58">
        <v>77.930000000000007</v>
      </c>
      <c r="AB58">
        <v>55.08</v>
      </c>
      <c r="AC58">
        <v>41.18</v>
      </c>
      <c r="AD58">
        <v>570.07000000000005</v>
      </c>
      <c r="AE58">
        <v>643.74</v>
      </c>
      <c r="AF58">
        <v>42.54</v>
      </c>
      <c r="AG58">
        <v>52.22</v>
      </c>
      <c r="AH58">
        <v>46.18</v>
      </c>
      <c r="AI58">
        <v>50.38</v>
      </c>
    </row>
    <row r="59" spans="1:35" x14ac:dyDescent="0.45">
      <c r="A59" s="2">
        <v>45902</v>
      </c>
      <c r="B59">
        <v>33.200000000000003</v>
      </c>
      <c r="C59">
        <v>32.729999999999997</v>
      </c>
      <c r="D59">
        <v>17.739999999999998</v>
      </c>
      <c r="E59">
        <v>25.68</v>
      </c>
      <c r="F59">
        <v>31.29</v>
      </c>
      <c r="G59">
        <v>54.91</v>
      </c>
      <c r="H59">
        <v>24.73</v>
      </c>
      <c r="I59">
        <v>58.05</v>
      </c>
      <c r="J59">
        <v>62.91</v>
      </c>
      <c r="K59">
        <v>71.92</v>
      </c>
      <c r="L59">
        <v>29</v>
      </c>
      <c r="M59">
        <v>57.25</v>
      </c>
      <c r="N59">
        <v>62.28</v>
      </c>
      <c r="O59">
        <v>52.35</v>
      </c>
      <c r="P59">
        <v>61.64</v>
      </c>
      <c r="Q59">
        <v>19.73</v>
      </c>
      <c r="R59">
        <v>1236.6099999999999</v>
      </c>
      <c r="S59">
        <v>33.97</v>
      </c>
      <c r="T59">
        <v>19.14</v>
      </c>
      <c r="U59">
        <v>18.14</v>
      </c>
      <c r="V59">
        <v>37.21</v>
      </c>
      <c r="W59">
        <v>45.380099999999999</v>
      </c>
      <c r="X59">
        <v>26.77</v>
      </c>
      <c r="Y59">
        <v>48.59</v>
      </c>
      <c r="Z59">
        <v>41.04</v>
      </c>
      <c r="AA59">
        <v>78.150000000000006</v>
      </c>
      <c r="AB59">
        <v>54.67</v>
      </c>
      <c r="AC59">
        <v>40.9</v>
      </c>
      <c r="AD59">
        <v>565.62</v>
      </c>
      <c r="AE59">
        <v>640.27</v>
      </c>
      <c r="AF59">
        <v>42.29</v>
      </c>
      <c r="AG59">
        <v>51.94</v>
      </c>
      <c r="AH59">
        <v>45.89</v>
      </c>
      <c r="AI59">
        <v>50.4</v>
      </c>
    </row>
    <row r="60" spans="1:35" x14ac:dyDescent="0.45">
      <c r="A60" s="2">
        <v>45898</v>
      </c>
      <c r="B60">
        <v>33.47</v>
      </c>
      <c r="C60">
        <v>32.81</v>
      </c>
      <c r="D60">
        <v>17.670000000000002</v>
      </c>
      <c r="E60">
        <v>26.15</v>
      </c>
      <c r="F60">
        <v>31.7</v>
      </c>
      <c r="G60">
        <v>53.8</v>
      </c>
      <c r="H60">
        <v>24.87</v>
      </c>
      <c r="I60">
        <v>58.82</v>
      </c>
      <c r="J60">
        <v>61.94</v>
      </c>
      <c r="K60">
        <v>72.239999999999995</v>
      </c>
      <c r="L60">
        <v>29.5</v>
      </c>
      <c r="M60">
        <v>57.67</v>
      </c>
      <c r="N60">
        <v>63.09</v>
      </c>
      <c r="O60">
        <v>51.98</v>
      </c>
      <c r="P60">
        <v>61.31</v>
      </c>
      <c r="Q60">
        <v>20</v>
      </c>
      <c r="R60">
        <v>1250.0899999999999</v>
      </c>
      <c r="S60">
        <v>35.29</v>
      </c>
      <c r="T60">
        <v>19.38</v>
      </c>
      <c r="U60">
        <v>18.29</v>
      </c>
      <c r="V60">
        <v>37.36</v>
      </c>
      <c r="W60">
        <v>44.86</v>
      </c>
      <c r="X60">
        <v>27.08</v>
      </c>
      <c r="Y60">
        <v>48.79</v>
      </c>
      <c r="Z60">
        <v>41.88</v>
      </c>
      <c r="AA60">
        <v>78.28</v>
      </c>
      <c r="AB60">
        <v>55.33</v>
      </c>
      <c r="AC60">
        <v>41.46</v>
      </c>
      <c r="AD60">
        <v>570.4</v>
      </c>
      <c r="AE60">
        <v>645.04999999999995</v>
      </c>
      <c r="AF60">
        <v>42.59</v>
      </c>
      <c r="AG60">
        <v>53</v>
      </c>
      <c r="AH60">
        <v>46.39</v>
      </c>
      <c r="AI60">
        <v>51.05</v>
      </c>
    </row>
    <row r="61" spans="1:35" x14ac:dyDescent="0.45">
      <c r="A61" s="2">
        <v>45897</v>
      </c>
      <c r="B61">
        <v>33.159999999999997</v>
      </c>
      <c r="C61">
        <v>32.58</v>
      </c>
      <c r="D61">
        <v>18.190000000000001</v>
      </c>
      <c r="E61">
        <v>26.39</v>
      </c>
      <c r="F61">
        <v>32.07</v>
      </c>
      <c r="G61">
        <v>53.418799999999997</v>
      </c>
      <c r="H61">
        <v>25.13</v>
      </c>
      <c r="I61">
        <v>59.9</v>
      </c>
      <c r="J61">
        <v>62.52</v>
      </c>
      <c r="K61">
        <v>73.64</v>
      </c>
      <c r="L61">
        <v>29.49</v>
      </c>
      <c r="M61">
        <v>57.15</v>
      </c>
      <c r="N61">
        <v>63.94</v>
      </c>
      <c r="O61">
        <v>52.54</v>
      </c>
      <c r="P61">
        <v>60.45</v>
      </c>
      <c r="Q61">
        <v>19.96</v>
      </c>
      <c r="R61">
        <v>1248.03</v>
      </c>
      <c r="S61">
        <v>35.54</v>
      </c>
      <c r="T61">
        <v>19.53</v>
      </c>
      <c r="U61">
        <v>18.315000000000001</v>
      </c>
      <c r="V61">
        <v>37.47</v>
      </c>
      <c r="W61">
        <v>44.87</v>
      </c>
      <c r="X61">
        <v>27.09</v>
      </c>
      <c r="Y61">
        <v>48.46</v>
      </c>
      <c r="Z61">
        <v>42.02</v>
      </c>
      <c r="AA61">
        <v>79.290000000000006</v>
      </c>
      <c r="AB61">
        <v>55.33</v>
      </c>
      <c r="AC61">
        <v>41.57</v>
      </c>
      <c r="AD61">
        <v>577.08000000000004</v>
      </c>
      <c r="AE61">
        <v>648.91999999999996</v>
      </c>
      <c r="AF61">
        <v>42.9</v>
      </c>
      <c r="AG61">
        <v>53.5</v>
      </c>
      <c r="AH61">
        <v>46.63</v>
      </c>
      <c r="AI61">
        <v>51.19</v>
      </c>
    </row>
    <row r="62" spans="1:35" x14ac:dyDescent="0.45">
      <c r="A62" s="2">
        <v>45896</v>
      </c>
      <c r="B62">
        <v>32.26</v>
      </c>
      <c r="C62">
        <v>32.549999999999997</v>
      </c>
      <c r="D62">
        <v>18.16</v>
      </c>
      <c r="E62">
        <v>26.56</v>
      </c>
      <c r="F62">
        <v>32.340000000000003</v>
      </c>
      <c r="G62">
        <v>52.967199999999998</v>
      </c>
      <c r="H62">
        <v>25.05</v>
      </c>
      <c r="I62">
        <v>59.77</v>
      </c>
      <c r="J62">
        <v>61.94</v>
      </c>
      <c r="K62">
        <v>72.47</v>
      </c>
      <c r="L62">
        <v>29.02</v>
      </c>
      <c r="M62">
        <v>57.38</v>
      </c>
      <c r="N62">
        <v>64.489999999999995</v>
      </c>
      <c r="O62">
        <v>52.68</v>
      </c>
      <c r="P62">
        <v>60.02</v>
      </c>
      <c r="Q62">
        <v>20.13</v>
      </c>
      <c r="R62">
        <v>1251.26</v>
      </c>
      <c r="S62">
        <v>35.51</v>
      </c>
      <c r="T62">
        <v>19.68</v>
      </c>
      <c r="U62">
        <v>18.02</v>
      </c>
      <c r="V62">
        <v>37.68</v>
      </c>
      <c r="W62">
        <v>44.67</v>
      </c>
      <c r="X62">
        <v>27</v>
      </c>
      <c r="Y62">
        <v>48.37</v>
      </c>
      <c r="Z62">
        <v>41.89</v>
      </c>
      <c r="AA62">
        <v>78.63</v>
      </c>
      <c r="AB62">
        <v>55.24</v>
      </c>
      <c r="AC62">
        <v>41.66</v>
      </c>
      <c r="AD62">
        <v>573.49</v>
      </c>
      <c r="AE62">
        <v>646.63</v>
      </c>
      <c r="AF62">
        <v>42.56</v>
      </c>
      <c r="AG62">
        <v>53.59</v>
      </c>
      <c r="AH62">
        <v>46.46</v>
      </c>
      <c r="AI62">
        <v>50.91</v>
      </c>
    </row>
    <row r="63" spans="1:35" x14ac:dyDescent="0.45">
      <c r="A63" s="2">
        <v>45895</v>
      </c>
      <c r="B63">
        <v>32.909999999999997</v>
      </c>
      <c r="C63">
        <v>32.44</v>
      </c>
      <c r="D63">
        <v>18.38</v>
      </c>
      <c r="E63">
        <v>26.12</v>
      </c>
      <c r="F63">
        <v>32.86</v>
      </c>
      <c r="G63">
        <v>53.39</v>
      </c>
      <c r="H63">
        <v>25.13</v>
      </c>
      <c r="I63">
        <v>59.5</v>
      </c>
      <c r="J63">
        <v>61.44</v>
      </c>
      <c r="K63">
        <v>72.39</v>
      </c>
      <c r="L63">
        <v>28.61</v>
      </c>
      <c r="M63">
        <v>58.1</v>
      </c>
      <c r="N63">
        <v>64.98</v>
      </c>
      <c r="O63">
        <v>52.55</v>
      </c>
      <c r="P63">
        <v>61.62</v>
      </c>
      <c r="Q63">
        <v>20.14</v>
      </c>
      <c r="R63">
        <v>1262.67</v>
      </c>
      <c r="S63">
        <v>35.97</v>
      </c>
      <c r="T63">
        <v>19.75</v>
      </c>
      <c r="U63">
        <v>17.96</v>
      </c>
      <c r="V63">
        <v>38.020000000000003</v>
      </c>
      <c r="W63">
        <v>45.19</v>
      </c>
      <c r="X63">
        <v>26.97</v>
      </c>
      <c r="Y63">
        <v>48.02</v>
      </c>
      <c r="Z63">
        <v>42.13</v>
      </c>
      <c r="AA63">
        <v>78.92</v>
      </c>
      <c r="AB63">
        <v>55.11</v>
      </c>
      <c r="AC63">
        <v>41.74</v>
      </c>
      <c r="AD63">
        <v>572.61</v>
      </c>
      <c r="AE63">
        <v>645.16</v>
      </c>
      <c r="AF63">
        <v>42.58</v>
      </c>
      <c r="AG63">
        <v>53.77</v>
      </c>
      <c r="AH63">
        <v>46.64</v>
      </c>
      <c r="AI63">
        <v>51.42</v>
      </c>
    </row>
    <row r="64" spans="1:35" x14ac:dyDescent="0.45">
      <c r="A64" s="2">
        <v>45894</v>
      </c>
      <c r="B64">
        <v>32.909999999999997</v>
      </c>
      <c r="C64">
        <v>32.71</v>
      </c>
      <c r="D64">
        <v>18.61</v>
      </c>
      <c r="E64">
        <v>26.69</v>
      </c>
      <c r="F64">
        <v>32.590000000000003</v>
      </c>
      <c r="G64">
        <v>52.93</v>
      </c>
      <c r="H64">
        <v>25.5</v>
      </c>
      <c r="I64">
        <v>59.26</v>
      </c>
      <c r="J64">
        <v>61.71</v>
      </c>
      <c r="K64">
        <v>72.73</v>
      </c>
      <c r="L64">
        <v>28.74</v>
      </c>
      <c r="M64">
        <v>58.35</v>
      </c>
      <c r="N64">
        <v>65.62</v>
      </c>
      <c r="O64">
        <v>53.23</v>
      </c>
      <c r="P64">
        <v>61.54</v>
      </c>
      <c r="Q64">
        <v>20.002600000000001</v>
      </c>
      <c r="R64">
        <v>1253.3900000000001</v>
      </c>
      <c r="S64">
        <v>35.93</v>
      </c>
      <c r="T64">
        <v>19.829999999999998</v>
      </c>
      <c r="U64">
        <v>17.22</v>
      </c>
      <c r="V64">
        <v>38.08</v>
      </c>
      <c r="W64">
        <v>45.62</v>
      </c>
      <c r="X64">
        <v>26.83</v>
      </c>
      <c r="Y64">
        <v>47.55</v>
      </c>
      <c r="Z64">
        <v>42.12</v>
      </c>
      <c r="AA64">
        <v>79.05</v>
      </c>
      <c r="AB64">
        <v>54.97</v>
      </c>
      <c r="AC64">
        <v>41.79</v>
      </c>
      <c r="AD64">
        <v>570.32000000000005</v>
      </c>
      <c r="AE64">
        <v>642.47</v>
      </c>
      <c r="AF64">
        <v>42.96</v>
      </c>
      <c r="AG64">
        <v>53.84</v>
      </c>
      <c r="AH64">
        <v>46.57</v>
      </c>
      <c r="AI64">
        <v>51.76</v>
      </c>
    </row>
    <row r="65" spans="1:35" x14ac:dyDescent="0.45">
      <c r="A65" s="2">
        <v>45891</v>
      </c>
      <c r="B65">
        <v>32.71</v>
      </c>
      <c r="C65">
        <v>32.799999999999997</v>
      </c>
      <c r="D65">
        <v>18.649999999999999</v>
      </c>
      <c r="E65">
        <v>26.63</v>
      </c>
      <c r="F65">
        <v>32.700000000000003</v>
      </c>
      <c r="G65">
        <v>53.23</v>
      </c>
      <c r="H65">
        <v>25.72</v>
      </c>
      <c r="I65">
        <v>59.66</v>
      </c>
      <c r="J65">
        <v>62.8</v>
      </c>
      <c r="K65">
        <v>73.510000000000005</v>
      </c>
      <c r="L65">
        <v>28.61</v>
      </c>
      <c r="M65">
        <v>58.8</v>
      </c>
      <c r="N65">
        <v>65.995000000000005</v>
      </c>
      <c r="O65">
        <v>53.58</v>
      </c>
      <c r="P65">
        <v>61.57</v>
      </c>
      <c r="Q65">
        <v>20.189599999999999</v>
      </c>
      <c r="R65">
        <v>1244.79</v>
      </c>
      <c r="S65">
        <v>35.69</v>
      </c>
      <c r="T65">
        <v>19.96</v>
      </c>
      <c r="U65">
        <v>17.36</v>
      </c>
      <c r="V65">
        <v>38.130000000000003</v>
      </c>
      <c r="W65">
        <v>45.782899999999998</v>
      </c>
      <c r="X65">
        <v>27.26</v>
      </c>
      <c r="Y65">
        <v>48.03</v>
      </c>
      <c r="Z65">
        <v>42.66</v>
      </c>
      <c r="AA65">
        <v>80.02</v>
      </c>
      <c r="AB65">
        <v>55.64</v>
      </c>
      <c r="AC65">
        <v>42.08</v>
      </c>
      <c r="AD65">
        <v>571.97</v>
      </c>
      <c r="AE65">
        <v>645.30999999999995</v>
      </c>
      <c r="AF65">
        <v>44.18</v>
      </c>
      <c r="AG65">
        <v>54.188000000000002</v>
      </c>
      <c r="AH65">
        <v>47.24</v>
      </c>
      <c r="AI65">
        <v>52.34</v>
      </c>
    </row>
    <row r="66" spans="1:35" x14ac:dyDescent="0.45">
      <c r="A66" s="2">
        <v>45890</v>
      </c>
      <c r="B66">
        <v>31.62</v>
      </c>
      <c r="C66">
        <v>31.9</v>
      </c>
      <c r="D66">
        <v>18.440000000000001</v>
      </c>
      <c r="E66">
        <v>26.15</v>
      </c>
      <c r="F66">
        <v>33.380000000000003</v>
      </c>
      <c r="G66">
        <v>52.009</v>
      </c>
      <c r="H66">
        <v>25.19</v>
      </c>
      <c r="I66">
        <v>58.57</v>
      </c>
      <c r="J66">
        <v>61.55</v>
      </c>
      <c r="K66">
        <v>71.22</v>
      </c>
      <c r="L66">
        <v>27.66</v>
      </c>
      <c r="M66">
        <v>56.91</v>
      </c>
      <c r="N66">
        <v>65.2</v>
      </c>
      <c r="O66">
        <v>53.57</v>
      </c>
      <c r="P66">
        <v>60</v>
      </c>
      <c r="Q66">
        <v>20.065000000000001</v>
      </c>
      <c r="R66">
        <v>1248.1300000000001</v>
      </c>
      <c r="S66">
        <v>35.51</v>
      </c>
      <c r="T66">
        <v>19.753</v>
      </c>
      <c r="U66">
        <v>17.600000000000001</v>
      </c>
      <c r="V66">
        <v>37.94</v>
      </c>
      <c r="W66">
        <v>45.58</v>
      </c>
      <c r="X66">
        <v>26.86</v>
      </c>
      <c r="Y66">
        <v>47.28</v>
      </c>
      <c r="Z66">
        <v>42.08</v>
      </c>
      <c r="AA66">
        <v>78.7</v>
      </c>
      <c r="AB66">
        <v>54.94</v>
      </c>
      <c r="AC66">
        <v>41.66</v>
      </c>
      <c r="AD66">
        <v>563.28</v>
      </c>
      <c r="AE66">
        <v>635.54999999999995</v>
      </c>
      <c r="AF66">
        <v>43.55</v>
      </c>
      <c r="AG66">
        <v>53.08</v>
      </c>
      <c r="AH66">
        <v>46.08</v>
      </c>
      <c r="AI66">
        <v>51.53</v>
      </c>
    </row>
    <row r="67" spans="1:35" x14ac:dyDescent="0.45">
      <c r="A67" s="2">
        <v>45889</v>
      </c>
      <c r="B67">
        <v>31.74</v>
      </c>
      <c r="C67">
        <v>32.04</v>
      </c>
      <c r="D67">
        <v>18.600000000000001</v>
      </c>
      <c r="E67">
        <v>26.35</v>
      </c>
      <c r="F67">
        <v>33.78</v>
      </c>
      <c r="G67">
        <v>51.75</v>
      </c>
      <c r="H67">
        <v>25.19</v>
      </c>
      <c r="I67">
        <v>58.78</v>
      </c>
      <c r="J67">
        <v>61.17</v>
      </c>
      <c r="K67">
        <v>71.36</v>
      </c>
      <c r="L67">
        <v>27.69</v>
      </c>
      <c r="M67">
        <v>57.11</v>
      </c>
      <c r="N67">
        <v>65.400000000000006</v>
      </c>
      <c r="O67">
        <v>53.8</v>
      </c>
      <c r="P67">
        <v>59.92</v>
      </c>
      <c r="Q67">
        <v>20.079999999999998</v>
      </c>
      <c r="R67">
        <v>1235.76</v>
      </c>
      <c r="S67">
        <v>35.04</v>
      </c>
      <c r="T67">
        <v>19.8</v>
      </c>
      <c r="U67">
        <v>17.690000000000001</v>
      </c>
      <c r="V67">
        <v>37.89</v>
      </c>
      <c r="W67">
        <v>45.674999999999997</v>
      </c>
      <c r="X67">
        <v>26.7</v>
      </c>
      <c r="Y67">
        <v>47.11</v>
      </c>
      <c r="Z67">
        <v>42.39</v>
      </c>
      <c r="AA67">
        <v>79.64</v>
      </c>
      <c r="AB67">
        <v>55.52</v>
      </c>
      <c r="AC67">
        <v>41.72</v>
      </c>
      <c r="AD67">
        <v>565.9</v>
      </c>
      <c r="AE67">
        <v>638.11</v>
      </c>
      <c r="AF67">
        <v>43.97</v>
      </c>
      <c r="AG67">
        <v>53.58</v>
      </c>
      <c r="AH67">
        <v>46.45</v>
      </c>
      <c r="AI67">
        <v>51.69</v>
      </c>
    </row>
    <row r="68" spans="1:35" x14ac:dyDescent="0.45">
      <c r="A68" s="2">
        <v>45888</v>
      </c>
      <c r="B68">
        <v>31.02</v>
      </c>
      <c r="C68">
        <v>32.19</v>
      </c>
      <c r="D68">
        <v>18.309999999999999</v>
      </c>
      <c r="E68">
        <v>26.25</v>
      </c>
      <c r="F68">
        <v>33.79</v>
      </c>
      <c r="G68">
        <v>51.68</v>
      </c>
      <c r="H68">
        <v>25.18</v>
      </c>
      <c r="I68">
        <v>60.09</v>
      </c>
      <c r="J68">
        <v>61.25</v>
      </c>
      <c r="K68">
        <v>71.44</v>
      </c>
      <c r="L68">
        <v>27.36</v>
      </c>
      <c r="M68">
        <v>56.67</v>
      </c>
      <c r="N68">
        <v>65.150000000000006</v>
      </c>
      <c r="O68">
        <v>53.65</v>
      </c>
      <c r="P68">
        <v>59.59</v>
      </c>
      <c r="Q68">
        <v>20.239999999999998</v>
      </c>
      <c r="R68">
        <v>1242.31</v>
      </c>
      <c r="S68">
        <v>34.5</v>
      </c>
      <c r="T68">
        <v>19.8383</v>
      </c>
      <c r="U68">
        <v>17.899999999999999</v>
      </c>
      <c r="V68">
        <v>37.840000000000003</v>
      </c>
      <c r="W68">
        <v>45.604999999999997</v>
      </c>
      <c r="X68">
        <v>26.61</v>
      </c>
      <c r="Y68">
        <v>47</v>
      </c>
      <c r="Z68">
        <v>42.39</v>
      </c>
      <c r="AA68">
        <v>80.02</v>
      </c>
      <c r="AB68">
        <v>54.9</v>
      </c>
      <c r="AC68">
        <v>41.29</v>
      </c>
      <c r="AD68">
        <v>569.28</v>
      </c>
      <c r="AE68">
        <v>639.80999999999995</v>
      </c>
      <c r="AF68">
        <v>43.82</v>
      </c>
      <c r="AG68">
        <v>53.215000000000003</v>
      </c>
      <c r="AH68">
        <v>46.56</v>
      </c>
      <c r="AI68">
        <v>51.62</v>
      </c>
    </row>
    <row r="69" spans="1:35" x14ac:dyDescent="0.45">
      <c r="A69" s="2">
        <v>45887</v>
      </c>
      <c r="B69">
        <v>31.32</v>
      </c>
      <c r="C69">
        <v>32.549999999999997</v>
      </c>
      <c r="D69">
        <v>18.43</v>
      </c>
      <c r="E69">
        <v>26.34</v>
      </c>
      <c r="F69">
        <v>33.64</v>
      </c>
      <c r="G69">
        <v>52.382100000000001</v>
      </c>
      <c r="H69">
        <v>25.13</v>
      </c>
      <c r="I69">
        <v>61.04</v>
      </c>
      <c r="J69">
        <v>61.19</v>
      </c>
      <c r="K69">
        <v>72.8</v>
      </c>
      <c r="L69">
        <v>28.29</v>
      </c>
      <c r="M69">
        <v>57.11</v>
      </c>
      <c r="N69">
        <v>65.58</v>
      </c>
      <c r="O69">
        <v>53.5</v>
      </c>
      <c r="P69">
        <v>60.04</v>
      </c>
      <c r="Q69">
        <v>20.38</v>
      </c>
      <c r="R69">
        <v>1259.42</v>
      </c>
      <c r="S69">
        <v>34.47</v>
      </c>
      <c r="T69">
        <v>19.965</v>
      </c>
      <c r="U69">
        <v>17.84</v>
      </c>
      <c r="V69">
        <v>37.83</v>
      </c>
      <c r="W69">
        <v>45.844999999999999</v>
      </c>
      <c r="X69">
        <v>26.84</v>
      </c>
      <c r="Y69">
        <v>47.35</v>
      </c>
      <c r="Z69">
        <v>42.45</v>
      </c>
      <c r="AA69">
        <v>80.3</v>
      </c>
      <c r="AB69">
        <v>54.35</v>
      </c>
      <c r="AC69">
        <v>41.29</v>
      </c>
      <c r="AD69">
        <v>577.11</v>
      </c>
      <c r="AE69">
        <v>643.29999999999995</v>
      </c>
      <c r="AF69">
        <v>43.55</v>
      </c>
      <c r="AG69">
        <v>53.13</v>
      </c>
      <c r="AH69">
        <v>46.28</v>
      </c>
      <c r="AI69">
        <v>51.54</v>
      </c>
    </row>
    <row r="70" spans="1:35" x14ac:dyDescent="0.45">
      <c r="A70" s="2">
        <v>45884</v>
      </c>
      <c r="B70">
        <v>30.97</v>
      </c>
      <c r="C70">
        <v>32.4</v>
      </c>
      <c r="D70">
        <v>18.5</v>
      </c>
      <c r="E70">
        <v>26.39</v>
      </c>
      <c r="F70">
        <v>33.450000000000003</v>
      </c>
      <c r="G70">
        <v>52.191600000000001</v>
      </c>
      <c r="H70">
        <v>24.98</v>
      </c>
      <c r="I70">
        <v>60.42</v>
      </c>
      <c r="J70">
        <v>61.34</v>
      </c>
      <c r="K70">
        <v>73.39</v>
      </c>
      <c r="L70">
        <v>28.2</v>
      </c>
      <c r="M70">
        <v>57.62</v>
      </c>
      <c r="N70">
        <v>66.89</v>
      </c>
      <c r="O70">
        <v>52.71</v>
      </c>
      <c r="P70">
        <v>59.68</v>
      </c>
      <c r="Q70">
        <v>20.54</v>
      </c>
      <c r="R70">
        <v>1266.67</v>
      </c>
      <c r="S70">
        <v>34.24</v>
      </c>
      <c r="T70">
        <v>19.905000000000001</v>
      </c>
      <c r="U70">
        <v>17.71</v>
      </c>
      <c r="V70">
        <v>37.549999999999997</v>
      </c>
      <c r="W70">
        <v>45.683999999999997</v>
      </c>
      <c r="X70">
        <v>26.83</v>
      </c>
      <c r="Y70">
        <v>47.27</v>
      </c>
      <c r="Z70">
        <v>42.58</v>
      </c>
      <c r="AA70">
        <v>80.150000000000006</v>
      </c>
      <c r="AB70">
        <v>54.5</v>
      </c>
      <c r="AC70">
        <v>41.27</v>
      </c>
      <c r="AD70">
        <v>577.34</v>
      </c>
      <c r="AE70">
        <v>643.44000000000005</v>
      </c>
      <c r="AF70">
        <v>43.89</v>
      </c>
      <c r="AG70">
        <v>53.16</v>
      </c>
      <c r="AH70">
        <v>46.61</v>
      </c>
      <c r="AI70">
        <v>51.79</v>
      </c>
    </row>
    <row r="71" spans="1:35" x14ac:dyDescent="0.45">
      <c r="A71" s="2">
        <v>45883</v>
      </c>
      <c r="B71">
        <v>30.72</v>
      </c>
      <c r="C71">
        <v>32.270000000000003</v>
      </c>
      <c r="D71">
        <v>18.63</v>
      </c>
      <c r="E71">
        <v>26.28</v>
      </c>
      <c r="F71">
        <v>33.270000000000003</v>
      </c>
      <c r="G71">
        <v>51.95</v>
      </c>
      <c r="H71">
        <v>25.03</v>
      </c>
      <c r="I71">
        <v>60.65</v>
      </c>
      <c r="J71">
        <v>60.99</v>
      </c>
      <c r="K71">
        <v>73.66</v>
      </c>
      <c r="L71">
        <v>27.89</v>
      </c>
      <c r="M71">
        <v>57.64</v>
      </c>
      <c r="N71">
        <v>66.53</v>
      </c>
      <c r="O71">
        <v>52.41</v>
      </c>
      <c r="P71">
        <v>59.3</v>
      </c>
      <c r="Q71">
        <v>20.52</v>
      </c>
      <c r="R71">
        <v>1277.43</v>
      </c>
      <c r="S71">
        <v>34.11</v>
      </c>
      <c r="T71">
        <v>19.98</v>
      </c>
      <c r="U71">
        <v>17.760000000000002</v>
      </c>
      <c r="V71">
        <v>37.590000000000003</v>
      </c>
      <c r="W71">
        <v>45.57</v>
      </c>
      <c r="X71">
        <v>26.74</v>
      </c>
      <c r="Y71">
        <v>47.33</v>
      </c>
      <c r="Z71">
        <v>42.5</v>
      </c>
      <c r="AA71">
        <v>78.8</v>
      </c>
      <c r="AB71">
        <v>54.1</v>
      </c>
      <c r="AC71">
        <v>41.5</v>
      </c>
      <c r="AD71">
        <v>579.89</v>
      </c>
      <c r="AE71">
        <v>644.95000000000005</v>
      </c>
      <c r="AF71">
        <v>43.5</v>
      </c>
      <c r="AG71">
        <v>53.3</v>
      </c>
      <c r="AH71">
        <v>46.06</v>
      </c>
      <c r="AI71">
        <v>51.56</v>
      </c>
    </row>
    <row r="72" spans="1:35" x14ac:dyDescent="0.45">
      <c r="A72" s="2">
        <v>45882</v>
      </c>
      <c r="B72">
        <v>31.01</v>
      </c>
      <c r="C72">
        <v>32.54</v>
      </c>
      <c r="D72">
        <v>18.829999999999998</v>
      </c>
      <c r="E72">
        <v>26.72</v>
      </c>
      <c r="F72">
        <v>34.07</v>
      </c>
      <c r="G72">
        <v>52.16</v>
      </c>
      <c r="H72">
        <v>25.27</v>
      </c>
      <c r="I72">
        <v>61.03</v>
      </c>
      <c r="J72">
        <v>61.99</v>
      </c>
      <c r="K72">
        <v>74.72</v>
      </c>
      <c r="L72">
        <v>28.18</v>
      </c>
      <c r="M72">
        <v>58.36</v>
      </c>
      <c r="N72">
        <v>66.81</v>
      </c>
      <c r="O72">
        <v>52.71</v>
      </c>
      <c r="P72">
        <v>60.56</v>
      </c>
      <c r="Q72">
        <v>20.56</v>
      </c>
      <c r="R72">
        <v>1259.07</v>
      </c>
      <c r="S72">
        <v>34.47</v>
      </c>
      <c r="T72">
        <v>19.93</v>
      </c>
      <c r="U72">
        <v>17.46</v>
      </c>
      <c r="V72">
        <v>37.44</v>
      </c>
      <c r="W72">
        <v>45.82</v>
      </c>
      <c r="X72">
        <v>26.91</v>
      </c>
      <c r="Y72">
        <v>47.64</v>
      </c>
      <c r="Z72">
        <v>42.38</v>
      </c>
      <c r="AA72">
        <v>79.27</v>
      </c>
      <c r="AB72">
        <v>54.2</v>
      </c>
      <c r="AC72">
        <v>41.36</v>
      </c>
      <c r="AD72">
        <v>580.34</v>
      </c>
      <c r="AE72">
        <v>644.89</v>
      </c>
      <c r="AF72">
        <v>43.31</v>
      </c>
      <c r="AG72">
        <v>53.36</v>
      </c>
      <c r="AH72">
        <v>46.02</v>
      </c>
      <c r="AI72">
        <v>51.1</v>
      </c>
    </row>
    <row r="73" spans="1:35" x14ac:dyDescent="0.45">
      <c r="A73" s="2">
        <v>45881</v>
      </c>
      <c r="B73">
        <v>30.73</v>
      </c>
      <c r="C73">
        <v>31.97</v>
      </c>
      <c r="D73">
        <v>18.61</v>
      </c>
      <c r="E73">
        <v>26.55</v>
      </c>
      <c r="F73">
        <v>33.99</v>
      </c>
      <c r="G73">
        <v>51.75</v>
      </c>
      <c r="H73">
        <v>24.94</v>
      </c>
      <c r="I73">
        <v>61.09</v>
      </c>
      <c r="J73">
        <v>62.33</v>
      </c>
      <c r="K73">
        <v>74.099999999999994</v>
      </c>
      <c r="L73">
        <v>28.39</v>
      </c>
      <c r="M73">
        <v>57.5</v>
      </c>
      <c r="N73">
        <v>66.349999999999994</v>
      </c>
      <c r="O73">
        <v>52.465000000000003</v>
      </c>
      <c r="P73">
        <v>58.73</v>
      </c>
      <c r="Q73">
        <v>20.27</v>
      </c>
      <c r="R73">
        <v>1265.1500000000001</v>
      </c>
      <c r="S73">
        <v>34.54</v>
      </c>
      <c r="T73">
        <v>20.149999999999999</v>
      </c>
      <c r="U73">
        <v>17.440000000000001</v>
      </c>
      <c r="V73">
        <v>37.49</v>
      </c>
      <c r="W73">
        <v>45.658999999999999</v>
      </c>
      <c r="X73">
        <v>26.96</v>
      </c>
      <c r="Y73">
        <v>47.51</v>
      </c>
      <c r="Z73">
        <v>42.15</v>
      </c>
      <c r="AA73">
        <v>79.23</v>
      </c>
      <c r="AB73">
        <v>53.81</v>
      </c>
      <c r="AC73">
        <v>41.03</v>
      </c>
      <c r="AD73">
        <v>580.04999999999995</v>
      </c>
      <c r="AE73">
        <v>642.69000000000005</v>
      </c>
      <c r="AF73">
        <v>42.89</v>
      </c>
      <c r="AG73">
        <v>52.967399999999998</v>
      </c>
      <c r="AH73">
        <v>45.99</v>
      </c>
      <c r="AI73">
        <v>50.64</v>
      </c>
    </row>
    <row r="74" spans="1:35" x14ac:dyDescent="0.45">
      <c r="A74" s="2">
        <v>45880</v>
      </c>
      <c r="B74">
        <v>30.295000000000002</v>
      </c>
      <c r="C74">
        <v>31.47</v>
      </c>
      <c r="D74">
        <v>17.98</v>
      </c>
      <c r="E74">
        <v>26.19</v>
      </c>
      <c r="F74">
        <v>33.44</v>
      </c>
      <c r="G74">
        <v>51.130899999999997</v>
      </c>
      <c r="H74">
        <v>24.6</v>
      </c>
      <c r="I74">
        <v>60.28</v>
      </c>
      <c r="J74">
        <v>61.54</v>
      </c>
      <c r="K74">
        <v>73.03</v>
      </c>
      <c r="L74">
        <v>27.64</v>
      </c>
      <c r="M74">
        <v>56.36</v>
      </c>
      <c r="N74">
        <v>65.680000000000007</v>
      </c>
      <c r="O74">
        <v>52.27</v>
      </c>
      <c r="P74">
        <v>57.82</v>
      </c>
      <c r="Q74">
        <v>20.034600000000001</v>
      </c>
      <c r="R74">
        <v>1264.47</v>
      </c>
      <c r="S74">
        <v>34.844799999999999</v>
      </c>
      <c r="T74">
        <v>20.079999999999998</v>
      </c>
      <c r="U74">
        <v>17.27</v>
      </c>
      <c r="V74">
        <v>37.43</v>
      </c>
      <c r="W74">
        <v>45.79</v>
      </c>
      <c r="X74">
        <v>26.65</v>
      </c>
      <c r="Y74">
        <v>47.28</v>
      </c>
      <c r="Z74">
        <v>41.94</v>
      </c>
      <c r="AA74">
        <v>77.790000000000006</v>
      </c>
      <c r="AB74">
        <v>53.2</v>
      </c>
      <c r="AC74">
        <v>40.64</v>
      </c>
      <c r="AD74">
        <v>572.85</v>
      </c>
      <c r="AE74">
        <v>635.91999999999996</v>
      </c>
      <c r="AF74">
        <v>42.35</v>
      </c>
      <c r="AG74">
        <v>52.37</v>
      </c>
      <c r="AH74">
        <v>45.23</v>
      </c>
      <c r="AI74">
        <v>49.99</v>
      </c>
    </row>
    <row r="75" spans="1:35" x14ac:dyDescent="0.45">
      <c r="A75" s="2">
        <v>45877</v>
      </c>
      <c r="B75">
        <v>30.27</v>
      </c>
      <c r="C75">
        <v>31.41</v>
      </c>
      <c r="D75">
        <v>17.829999999999998</v>
      </c>
      <c r="E75">
        <v>26.63</v>
      </c>
      <c r="F75">
        <v>33.97</v>
      </c>
      <c r="G75">
        <v>51.72</v>
      </c>
      <c r="H75">
        <v>24.51</v>
      </c>
      <c r="I75">
        <v>60.29</v>
      </c>
      <c r="J75">
        <v>61.64</v>
      </c>
      <c r="K75">
        <v>73.5</v>
      </c>
      <c r="L75">
        <v>27.81</v>
      </c>
      <c r="M75">
        <v>56.45</v>
      </c>
      <c r="N75">
        <v>65.069199999999995</v>
      </c>
      <c r="O75">
        <v>52.12</v>
      </c>
      <c r="P75">
        <v>58.19</v>
      </c>
      <c r="Q75">
        <v>19.93</v>
      </c>
      <c r="R75">
        <v>1246.96</v>
      </c>
      <c r="S75">
        <v>34.68</v>
      </c>
      <c r="T75">
        <v>20.14</v>
      </c>
      <c r="U75">
        <v>17.18</v>
      </c>
      <c r="V75">
        <v>37.83</v>
      </c>
      <c r="W75">
        <v>45.744999999999997</v>
      </c>
      <c r="X75">
        <v>26.63</v>
      </c>
      <c r="Y75">
        <v>47.34</v>
      </c>
      <c r="Z75">
        <v>42.34</v>
      </c>
      <c r="AA75">
        <v>77.930000000000007</v>
      </c>
      <c r="AB75">
        <v>53.6</v>
      </c>
      <c r="AC75">
        <v>40.53</v>
      </c>
      <c r="AD75">
        <v>574.54999999999995</v>
      </c>
      <c r="AE75">
        <v>637.17999999999995</v>
      </c>
      <c r="AF75">
        <v>42.68</v>
      </c>
      <c r="AG75">
        <v>52.52</v>
      </c>
      <c r="AH75">
        <v>45.88</v>
      </c>
      <c r="AI75">
        <v>50.16</v>
      </c>
    </row>
    <row r="76" spans="1:35" x14ac:dyDescent="0.45">
      <c r="A76" s="2">
        <v>45876</v>
      </c>
      <c r="B76">
        <v>30.3</v>
      </c>
      <c r="C76">
        <v>30.74</v>
      </c>
      <c r="D76">
        <v>17.72</v>
      </c>
      <c r="E76">
        <v>26.49</v>
      </c>
      <c r="F76">
        <v>33.53</v>
      </c>
      <c r="G76">
        <v>50.705500000000001</v>
      </c>
      <c r="H76">
        <v>24.38</v>
      </c>
      <c r="I76">
        <v>60.36</v>
      </c>
      <c r="J76">
        <v>61.65</v>
      </c>
      <c r="K76">
        <v>73.44</v>
      </c>
      <c r="L76">
        <v>28.05</v>
      </c>
      <c r="M76">
        <v>56.66</v>
      </c>
      <c r="N76">
        <v>64.58</v>
      </c>
      <c r="O76">
        <v>52.53</v>
      </c>
      <c r="P76">
        <v>58.2</v>
      </c>
      <c r="Q76">
        <v>19.946000000000002</v>
      </c>
      <c r="R76">
        <v>1229.4000000000001</v>
      </c>
      <c r="S76">
        <v>34.61</v>
      </c>
      <c r="T76">
        <v>20.100000000000001</v>
      </c>
      <c r="U76">
        <v>16.8</v>
      </c>
      <c r="V76">
        <v>37.83</v>
      </c>
      <c r="W76">
        <v>45.795000000000002</v>
      </c>
      <c r="X76">
        <v>26.6</v>
      </c>
      <c r="Y76">
        <v>47.34</v>
      </c>
      <c r="Z76">
        <v>42.33</v>
      </c>
      <c r="AA76">
        <v>76.62</v>
      </c>
      <c r="AB76">
        <v>53.68</v>
      </c>
      <c r="AC76">
        <v>40.49</v>
      </c>
      <c r="AD76">
        <v>569.24</v>
      </c>
      <c r="AE76">
        <v>632.25</v>
      </c>
      <c r="AF76">
        <v>42.49</v>
      </c>
      <c r="AG76">
        <v>52.2</v>
      </c>
      <c r="AH76">
        <v>45.6</v>
      </c>
      <c r="AI76">
        <v>49.95</v>
      </c>
    </row>
    <row r="77" spans="1:35" x14ac:dyDescent="0.45">
      <c r="A77" s="2">
        <v>45875</v>
      </c>
      <c r="B77">
        <v>30.33</v>
      </c>
      <c r="C77">
        <v>30.09</v>
      </c>
      <c r="D77">
        <v>17.66</v>
      </c>
      <c r="E77">
        <v>26.41</v>
      </c>
      <c r="F77">
        <v>32.840000000000003</v>
      </c>
      <c r="G77">
        <v>50.183300000000003</v>
      </c>
      <c r="H77">
        <v>24.4</v>
      </c>
      <c r="I77">
        <v>59.14</v>
      </c>
      <c r="J77">
        <v>60.76</v>
      </c>
      <c r="K77">
        <v>73.180000000000007</v>
      </c>
      <c r="L77">
        <v>27.45</v>
      </c>
      <c r="M77">
        <v>56.17</v>
      </c>
      <c r="N77">
        <v>64.2</v>
      </c>
      <c r="O77">
        <v>52.255000000000003</v>
      </c>
      <c r="P77">
        <v>58.36</v>
      </c>
      <c r="Q77">
        <v>19.850000000000001</v>
      </c>
      <c r="R77">
        <v>1218.33</v>
      </c>
      <c r="S77">
        <v>34.46</v>
      </c>
      <c r="T77">
        <v>20.25</v>
      </c>
      <c r="U77">
        <v>17.09</v>
      </c>
      <c r="V77">
        <v>38.04</v>
      </c>
      <c r="W77">
        <v>45.63</v>
      </c>
      <c r="X77">
        <v>26.66</v>
      </c>
      <c r="Y77">
        <v>47.73</v>
      </c>
      <c r="Z77">
        <v>41.84</v>
      </c>
      <c r="AA77">
        <v>76.03</v>
      </c>
      <c r="AB77">
        <v>52.98</v>
      </c>
      <c r="AC77">
        <v>40.380000000000003</v>
      </c>
      <c r="AD77">
        <v>567.32000000000005</v>
      </c>
      <c r="AE77">
        <v>632.78</v>
      </c>
      <c r="AF77">
        <v>42.02</v>
      </c>
      <c r="AG77">
        <v>51.43</v>
      </c>
      <c r="AH77">
        <v>44.82</v>
      </c>
      <c r="AI77">
        <v>49.52</v>
      </c>
    </row>
    <row r="78" spans="1:35" x14ac:dyDescent="0.45">
      <c r="A78" s="2">
        <v>45874</v>
      </c>
      <c r="B78">
        <v>30.17</v>
      </c>
      <c r="C78">
        <v>30.26</v>
      </c>
      <c r="D78">
        <v>17.62</v>
      </c>
      <c r="E78">
        <v>26.16</v>
      </c>
      <c r="F78">
        <v>31.79</v>
      </c>
      <c r="G78">
        <v>49.7</v>
      </c>
      <c r="H78">
        <v>24.24</v>
      </c>
      <c r="I78">
        <v>58.92</v>
      </c>
      <c r="J78">
        <v>60.19</v>
      </c>
      <c r="K78">
        <v>72.89</v>
      </c>
      <c r="L78">
        <v>27.02</v>
      </c>
      <c r="M78">
        <v>55.4</v>
      </c>
      <c r="N78">
        <v>62.98</v>
      </c>
      <c r="O78">
        <v>52.41</v>
      </c>
      <c r="P78">
        <v>57.86</v>
      </c>
      <c r="Q78">
        <v>19.785</v>
      </c>
      <c r="R78">
        <v>1242.3499999999999</v>
      </c>
      <c r="S78">
        <v>34.29</v>
      </c>
      <c r="T78">
        <v>20.010000000000002</v>
      </c>
      <c r="U78">
        <v>16.670000000000002</v>
      </c>
      <c r="V78">
        <v>37.78</v>
      </c>
      <c r="W78">
        <v>45.255000000000003</v>
      </c>
      <c r="X78">
        <v>26.41</v>
      </c>
      <c r="Y78">
        <v>46.93</v>
      </c>
      <c r="Z78">
        <v>41.49</v>
      </c>
      <c r="AA78">
        <v>75.03</v>
      </c>
      <c r="AB78">
        <v>53.48</v>
      </c>
      <c r="AC78">
        <v>40.229999999999997</v>
      </c>
      <c r="AD78">
        <v>560.27</v>
      </c>
      <c r="AE78">
        <v>627.97</v>
      </c>
      <c r="AF78">
        <v>41.83</v>
      </c>
      <c r="AG78">
        <v>51.33</v>
      </c>
      <c r="AH78">
        <v>44.45</v>
      </c>
      <c r="AI78">
        <v>48.74</v>
      </c>
    </row>
    <row r="79" spans="1:35" x14ac:dyDescent="0.45">
      <c r="A79" s="2">
        <v>45873</v>
      </c>
      <c r="B79">
        <v>29.9</v>
      </c>
      <c r="C79">
        <v>30.24</v>
      </c>
      <c r="D79">
        <v>17.59</v>
      </c>
      <c r="E79">
        <v>26.35</v>
      </c>
      <c r="F79">
        <v>31.94</v>
      </c>
      <c r="G79">
        <v>49.27</v>
      </c>
      <c r="H79">
        <v>24.13</v>
      </c>
      <c r="I79">
        <v>58.84</v>
      </c>
      <c r="J79">
        <v>59.23</v>
      </c>
      <c r="K79">
        <v>72.33</v>
      </c>
      <c r="L79">
        <v>26.93</v>
      </c>
      <c r="M79">
        <v>55.05</v>
      </c>
      <c r="N79">
        <v>62.02</v>
      </c>
      <c r="O79">
        <v>52.48</v>
      </c>
      <c r="P79">
        <v>57.47</v>
      </c>
      <c r="Q79">
        <v>19.71</v>
      </c>
      <c r="R79">
        <v>1244.1400000000001</v>
      </c>
      <c r="S79">
        <v>34.32</v>
      </c>
      <c r="T79">
        <v>20.21</v>
      </c>
      <c r="U79">
        <v>16.579999999999998</v>
      </c>
      <c r="V79">
        <v>37.630000000000003</v>
      </c>
      <c r="W79">
        <v>44.93</v>
      </c>
      <c r="X79">
        <v>26.28</v>
      </c>
      <c r="Y79">
        <v>46.58</v>
      </c>
      <c r="Z79">
        <v>41.3</v>
      </c>
      <c r="AA79">
        <v>75.290000000000006</v>
      </c>
      <c r="AB79">
        <v>53.31</v>
      </c>
      <c r="AC79">
        <v>40.21</v>
      </c>
      <c r="AD79">
        <v>564.1</v>
      </c>
      <c r="AE79">
        <v>631.16999999999996</v>
      </c>
      <c r="AF79">
        <v>41.86</v>
      </c>
      <c r="AG79">
        <v>51.35</v>
      </c>
      <c r="AH79">
        <v>44.3</v>
      </c>
      <c r="AI79">
        <v>48.57</v>
      </c>
    </row>
    <row r="80" spans="1:35" x14ac:dyDescent="0.45">
      <c r="A80" s="2">
        <v>45870</v>
      </c>
      <c r="B80">
        <v>29.6</v>
      </c>
      <c r="C80">
        <v>29.98</v>
      </c>
      <c r="D80">
        <v>17.61</v>
      </c>
      <c r="E80">
        <v>25.78</v>
      </c>
      <c r="F80">
        <v>31.7</v>
      </c>
      <c r="G80">
        <v>48.35</v>
      </c>
      <c r="H80">
        <v>23.98</v>
      </c>
      <c r="I80">
        <v>58.39</v>
      </c>
      <c r="J80">
        <v>59.6</v>
      </c>
      <c r="K80">
        <v>70.650000000000006</v>
      </c>
      <c r="L80">
        <v>26.65</v>
      </c>
      <c r="M80">
        <v>53.43</v>
      </c>
      <c r="N80">
        <v>60.34</v>
      </c>
      <c r="O80">
        <v>52.72</v>
      </c>
      <c r="P80">
        <v>56.52</v>
      </c>
      <c r="Q80">
        <v>19.664999999999999</v>
      </c>
      <c r="R80">
        <v>1233.68</v>
      </c>
      <c r="S80">
        <v>33.92</v>
      </c>
      <c r="T80">
        <v>19.95</v>
      </c>
      <c r="U80">
        <v>15.95</v>
      </c>
      <c r="V80">
        <v>37.32</v>
      </c>
      <c r="W80">
        <v>44.69</v>
      </c>
      <c r="X80">
        <v>25.91</v>
      </c>
      <c r="Y80">
        <v>45.86</v>
      </c>
      <c r="Z80">
        <v>40.75</v>
      </c>
      <c r="AA80">
        <v>74.069999999999993</v>
      </c>
      <c r="AB80">
        <v>52.43</v>
      </c>
      <c r="AC80">
        <v>39.94</v>
      </c>
      <c r="AD80">
        <v>553.88</v>
      </c>
      <c r="AE80">
        <v>621.72</v>
      </c>
      <c r="AF80">
        <v>41.43</v>
      </c>
      <c r="AG80">
        <v>50.85</v>
      </c>
      <c r="AH80">
        <v>43.68</v>
      </c>
      <c r="AI80">
        <v>47.83</v>
      </c>
    </row>
    <row r="81" spans="1:35" x14ac:dyDescent="0.45">
      <c r="A81" s="2">
        <v>45869</v>
      </c>
      <c r="B81">
        <v>29.68</v>
      </c>
      <c r="C81">
        <v>29.83</v>
      </c>
      <c r="D81">
        <v>17.27</v>
      </c>
      <c r="E81">
        <v>25.42</v>
      </c>
      <c r="F81">
        <v>31.75</v>
      </c>
      <c r="G81">
        <v>48.65</v>
      </c>
      <c r="H81">
        <v>23.49</v>
      </c>
      <c r="I81">
        <v>58.36</v>
      </c>
      <c r="J81">
        <v>60.14</v>
      </c>
      <c r="K81">
        <v>72.81</v>
      </c>
      <c r="L81">
        <v>26.55</v>
      </c>
      <c r="M81">
        <v>53.05</v>
      </c>
      <c r="N81">
        <v>60.51</v>
      </c>
      <c r="O81">
        <v>52.64</v>
      </c>
      <c r="P81">
        <v>57.43</v>
      </c>
      <c r="Q81">
        <v>19.655000000000001</v>
      </c>
      <c r="R81">
        <v>1217.1500000000001</v>
      </c>
      <c r="S81">
        <v>33.85</v>
      </c>
      <c r="T81">
        <v>20.039899999999999</v>
      </c>
      <c r="U81">
        <v>16.010000000000002</v>
      </c>
      <c r="V81">
        <v>37.56</v>
      </c>
      <c r="W81">
        <v>45.05</v>
      </c>
      <c r="X81">
        <v>26.02</v>
      </c>
      <c r="Y81">
        <v>46.18</v>
      </c>
      <c r="Z81">
        <v>41.15</v>
      </c>
      <c r="AA81">
        <v>73.62</v>
      </c>
      <c r="AB81">
        <v>52.72</v>
      </c>
      <c r="AC81">
        <v>39.81</v>
      </c>
      <c r="AD81">
        <v>565.01</v>
      </c>
      <c r="AE81">
        <v>632.08000000000004</v>
      </c>
      <c r="AF81">
        <v>41.94</v>
      </c>
      <c r="AG81">
        <v>51.26</v>
      </c>
      <c r="AH81">
        <v>43.86</v>
      </c>
      <c r="AI81">
        <v>48.25</v>
      </c>
    </row>
    <row r="82" spans="1:35" x14ac:dyDescent="0.45">
      <c r="A82" s="2">
        <v>45868</v>
      </c>
      <c r="B82">
        <v>30.24</v>
      </c>
      <c r="C82">
        <v>29.48</v>
      </c>
      <c r="D82">
        <v>17.579999999999998</v>
      </c>
      <c r="E82">
        <v>26.175000000000001</v>
      </c>
      <c r="F82">
        <v>32.21</v>
      </c>
      <c r="G82">
        <v>47.99</v>
      </c>
      <c r="H82">
        <v>23.84</v>
      </c>
      <c r="I82">
        <v>58.35</v>
      </c>
      <c r="J82">
        <v>60.17</v>
      </c>
      <c r="K82">
        <v>73.680000000000007</v>
      </c>
      <c r="L82">
        <v>26.88</v>
      </c>
      <c r="M82">
        <v>53.99</v>
      </c>
      <c r="N82">
        <v>60.44</v>
      </c>
      <c r="O82">
        <v>52.7</v>
      </c>
      <c r="P82">
        <v>57.89</v>
      </c>
      <c r="Q82">
        <v>19.66</v>
      </c>
      <c r="R82">
        <v>1212.49</v>
      </c>
      <c r="S82">
        <v>33.659999999999997</v>
      </c>
      <c r="T82">
        <v>20.260000000000002</v>
      </c>
      <c r="U82">
        <v>16.03</v>
      </c>
      <c r="V82">
        <v>37.619999999999997</v>
      </c>
      <c r="W82">
        <v>45.19</v>
      </c>
      <c r="X82">
        <v>26.15</v>
      </c>
      <c r="Y82">
        <v>46.38</v>
      </c>
      <c r="Z82">
        <v>41.63</v>
      </c>
      <c r="AA82">
        <v>73.98</v>
      </c>
      <c r="AB82">
        <v>53.48</v>
      </c>
      <c r="AC82">
        <v>40.04</v>
      </c>
      <c r="AD82">
        <v>568.02</v>
      </c>
      <c r="AE82">
        <v>634.46</v>
      </c>
      <c r="AF82">
        <v>42.47</v>
      </c>
      <c r="AG82">
        <v>52.2</v>
      </c>
      <c r="AH82">
        <v>44.54</v>
      </c>
      <c r="AI82">
        <v>49.13</v>
      </c>
    </row>
    <row r="83" spans="1:35" x14ac:dyDescent="0.45">
      <c r="A83" s="2">
        <v>45867</v>
      </c>
      <c r="B83">
        <v>30.44</v>
      </c>
      <c r="C83">
        <v>29.83</v>
      </c>
      <c r="D83">
        <v>17.8</v>
      </c>
      <c r="E83">
        <v>26.37</v>
      </c>
      <c r="F83">
        <v>32.25</v>
      </c>
      <c r="G83">
        <v>49.44</v>
      </c>
      <c r="H83">
        <v>24.04</v>
      </c>
      <c r="I83">
        <v>58.62</v>
      </c>
      <c r="J83">
        <v>60.93</v>
      </c>
      <c r="K83">
        <v>73.489999999999995</v>
      </c>
      <c r="L83">
        <v>26.76</v>
      </c>
      <c r="M83">
        <v>54.54</v>
      </c>
      <c r="N83">
        <v>60.98</v>
      </c>
      <c r="O83">
        <v>53.49</v>
      </c>
      <c r="P83">
        <v>58.56</v>
      </c>
      <c r="Q83">
        <v>19.600000000000001</v>
      </c>
      <c r="R83">
        <v>1219.6199999999999</v>
      </c>
      <c r="S83">
        <v>33.28</v>
      </c>
      <c r="T83">
        <v>20.145</v>
      </c>
      <c r="U83">
        <v>15.9</v>
      </c>
      <c r="V83">
        <v>37.39</v>
      </c>
      <c r="W83">
        <v>45.834299999999999</v>
      </c>
      <c r="X83">
        <v>26.37</v>
      </c>
      <c r="Y83">
        <v>46.79</v>
      </c>
      <c r="Z83">
        <v>41.89</v>
      </c>
      <c r="AA83">
        <v>73.88</v>
      </c>
      <c r="AB83">
        <v>54.12</v>
      </c>
      <c r="AC83">
        <v>40.39</v>
      </c>
      <c r="AD83">
        <v>567.26</v>
      </c>
      <c r="AE83">
        <v>635.26</v>
      </c>
      <c r="AF83">
        <v>42.91</v>
      </c>
      <c r="AG83">
        <v>52.69</v>
      </c>
      <c r="AH83">
        <v>44.96</v>
      </c>
      <c r="AI83">
        <v>49.06</v>
      </c>
    </row>
    <row r="84" spans="1:35" x14ac:dyDescent="0.45">
      <c r="A84" s="2">
        <v>45866</v>
      </c>
      <c r="B84">
        <v>30.29</v>
      </c>
      <c r="C84">
        <v>29.78</v>
      </c>
      <c r="D84">
        <v>17.75</v>
      </c>
      <c r="E84">
        <v>26.55</v>
      </c>
      <c r="F84">
        <v>32.130000000000003</v>
      </c>
      <c r="G84">
        <v>49.15</v>
      </c>
      <c r="H84">
        <v>24.05</v>
      </c>
      <c r="I84">
        <v>59.06</v>
      </c>
      <c r="J84">
        <v>60.06</v>
      </c>
      <c r="K84">
        <v>72.709999999999994</v>
      </c>
      <c r="L84">
        <v>26.52</v>
      </c>
      <c r="M84">
        <v>54.22</v>
      </c>
      <c r="N84">
        <v>60.45</v>
      </c>
      <c r="O84">
        <v>53.23</v>
      </c>
      <c r="P84">
        <v>58.7</v>
      </c>
      <c r="Q84">
        <v>19.600000000000001</v>
      </c>
      <c r="R84">
        <v>1191.75</v>
      </c>
      <c r="S84">
        <v>33.43</v>
      </c>
      <c r="T84">
        <v>20.32</v>
      </c>
      <c r="U84">
        <v>16.78</v>
      </c>
      <c r="V84">
        <v>37.61</v>
      </c>
      <c r="W84">
        <v>45.64</v>
      </c>
      <c r="X84">
        <v>26.22</v>
      </c>
      <c r="Y84">
        <v>46.72</v>
      </c>
      <c r="Z84">
        <v>41.67</v>
      </c>
      <c r="AA84">
        <v>74.27</v>
      </c>
      <c r="AB84">
        <v>54.16</v>
      </c>
      <c r="AC84">
        <v>40.119999999999997</v>
      </c>
      <c r="AD84">
        <v>568.14</v>
      </c>
      <c r="AE84">
        <v>636.94000000000005</v>
      </c>
      <c r="AF84">
        <v>42.8</v>
      </c>
      <c r="AG84">
        <v>52.91</v>
      </c>
      <c r="AH84">
        <v>45.78</v>
      </c>
      <c r="AI84">
        <v>48.78</v>
      </c>
    </row>
    <row r="85" spans="1:35" x14ac:dyDescent="0.45">
      <c r="A85" s="2">
        <v>45863</v>
      </c>
      <c r="B85">
        <v>30.31</v>
      </c>
      <c r="C85">
        <v>30.34</v>
      </c>
      <c r="D85">
        <v>17.600000000000001</v>
      </c>
      <c r="E85">
        <v>26.752199999999998</v>
      </c>
      <c r="F85">
        <v>33.35</v>
      </c>
      <c r="G85">
        <v>49.61</v>
      </c>
      <c r="H85">
        <v>24.19</v>
      </c>
      <c r="I85">
        <v>59.43</v>
      </c>
      <c r="J85">
        <v>61.05</v>
      </c>
      <c r="K85">
        <v>73.209999999999994</v>
      </c>
      <c r="L85">
        <v>26.94</v>
      </c>
      <c r="M85">
        <v>54.74</v>
      </c>
      <c r="N85">
        <v>62.15</v>
      </c>
      <c r="O85">
        <v>53.8</v>
      </c>
      <c r="P85">
        <v>58.93</v>
      </c>
      <c r="Q85">
        <v>19.63</v>
      </c>
      <c r="R85">
        <v>1208.1300000000001</v>
      </c>
      <c r="S85">
        <v>33.79</v>
      </c>
      <c r="T85">
        <v>20.350000000000001</v>
      </c>
      <c r="U85">
        <v>16.47</v>
      </c>
      <c r="V85">
        <v>37.72</v>
      </c>
      <c r="W85">
        <v>46.051099999999998</v>
      </c>
      <c r="X85">
        <v>26.48</v>
      </c>
      <c r="Y85">
        <v>47.01</v>
      </c>
      <c r="Z85">
        <v>42.81</v>
      </c>
      <c r="AA85">
        <v>75.680000000000007</v>
      </c>
      <c r="AB85">
        <v>55.16</v>
      </c>
      <c r="AC85">
        <v>40.64</v>
      </c>
      <c r="AD85">
        <v>566.37</v>
      </c>
      <c r="AE85">
        <v>637.1</v>
      </c>
      <c r="AF85">
        <v>43.72</v>
      </c>
      <c r="AG85">
        <v>53.5</v>
      </c>
      <c r="AH85">
        <v>46.38</v>
      </c>
      <c r="AI85">
        <v>49.56</v>
      </c>
    </row>
    <row r="86" spans="1:35" x14ac:dyDescent="0.45">
      <c r="A86" s="2">
        <v>45862</v>
      </c>
      <c r="B86">
        <v>30.45</v>
      </c>
      <c r="C86">
        <v>30.49</v>
      </c>
      <c r="D86">
        <v>17.809999999999999</v>
      </c>
      <c r="E86">
        <v>27</v>
      </c>
      <c r="F86">
        <v>33.29</v>
      </c>
      <c r="G86">
        <v>49.98</v>
      </c>
      <c r="H86">
        <v>24.3</v>
      </c>
      <c r="I86">
        <v>59.39</v>
      </c>
      <c r="J86">
        <v>60.85</v>
      </c>
      <c r="K86">
        <v>73.31</v>
      </c>
      <c r="L86">
        <v>27.13</v>
      </c>
      <c r="M86">
        <v>55.44</v>
      </c>
      <c r="N86">
        <v>62</v>
      </c>
      <c r="O86">
        <v>54.06</v>
      </c>
      <c r="P86">
        <v>59.18</v>
      </c>
      <c r="Q86">
        <v>19.61</v>
      </c>
      <c r="R86">
        <v>1206.58</v>
      </c>
      <c r="S86">
        <v>33.950000000000003</v>
      </c>
      <c r="T86">
        <v>20.11</v>
      </c>
      <c r="U86">
        <v>15.994999999999999</v>
      </c>
      <c r="V86">
        <v>37.68</v>
      </c>
      <c r="W86">
        <v>45.98</v>
      </c>
      <c r="X86">
        <v>26.58</v>
      </c>
      <c r="Y86">
        <v>46.97</v>
      </c>
      <c r="Z86">
        <v>42.7</v>
      </c>
      <c r="AA86">
        <v>76.55</v>
      </c>
      <c r="AB86">
        <v>55.12</v>
      </c>
      <c r="AC86">
        <v>40.770000000000003</v>
      </c>
      <c r="AD86">
        <v>565.01</v>
      </c>
      <c r="AE86">
        <v>634.41999999999996</v>
      </c>
      <c r="AF86">
        <v>43.4</v>
      </c>
      <c r="AG86">
        <v>53.93</v>
      </c>
      <c r="AH86">
        <v>45.9</v>
      </c>
      <c r="AI86">
        <v>49.12</v>
      </c>
    </row>
    <row r="87" spans="1:35" x14ac:dyDescent="0.45">
      <c r="A87" s="2">
        <v>45861</v>
      </c>
      <c r="B87">
        <v>30.35</v>
      </c>
      <c r="C87">
        <v>30.41</v>
      </c>
      <c r="D87">
        <v>17.809999999999999</v>
      </c>
      <c r="E87">
        <v>27.09</v>
      </c>
      <c r="F87">
        <v>33.450000000000003</v>
      </c>
      <c r="G87">
        <v>50.3</v>
      </c>
      <c r="H87">
        <v>24.21</v>
      </c>
      <c r="I87">
        <v>59.8</v>
      </c>
      <c r="J87">
        <v>60.47</v>
      </c>
      <c r="K87">
        <v>73.849999999999994</v>
      </c>
      <c r="L87">
        <v>27.48</v>
      </c>
      <c r="M87">
        <v>56.27</v>
      </c>
      <c r="N87">
        <v>62.58</v>
      </c>
      <c r="O87">
        <v>54.73</v>
      </c>
      <c r="P87">
        <v>59.25</v>
      </c>
      <c r="Q87">
        <v>19.54</v>
      </c>
      <c r="R87">
        <v>1198.1099999999999</v>
      </c>
      <c r="S87">
        <v>33.86</v>
      </c>
      <c r="T87">
        <v>20.105</v>
      </c>
      <c r="U87">
        <v>16</v>
      </c>
      <c r="V87">
        <v>37.97</v>
      </c>
      <c r="W87">
        <v>46.134999999999998</v>
      </c>
      <c r="X87">
        <v>26.82</v>
      </c>
      <c r="Y87">
        <v>47.17</v>
      </c>
      <c r="Z87">
        <v>43.21</v>
      </c>
      <c r="AA87">
        <v>76.489999999999995</v>
      </c>
      <c r="AB87">
        <v>56.2</v>
      </c>
      <c r="AC87">
        <v>40.9</v>
      </c>
      <c r="AD87">
        <v>563.80999999999995</v>
      </c>
      <c r="AE87">
        <v>634.21</v>
      </c>
      <c r="AF87">
        <v>44.4</v>
      </c>
      <c r="AG87">
        <v>54.25</v>
      </c>
      <c r="AH87">
        <v>46.3</v>
      </c>
      <c r="AI87">
        <v>49.84</v>
      </c>
    </row>
    <row r="88" spans="1:35" x14ac:dyDescent="0.45">
      <c r="A88" s="2">
        <v>45860</v>
      </c>
      <c r="B88">
        <v>30.364999999999998</v>
      </c>
      <c r="C88">
        <v>30.39</v>
      </c>
      <c r="D88">
        <v>17.559999999999999</v>
      </c>
      <c r="E88">
        <v>26.52</v>
      </c>
      <c r="F88">
        <v>32.93</v>
      </c>
      <c r="G88">
        <v>49.55</v>
      </c>
      <c r="H88">
        <v>23.99</v>
      </c>
      <c r="I88">
        <v>58.72</v>
      </c>
      <c r="J88">
        <v>59.03</v>
      </c>
      <c r="K88">
        <v>72.89</v>
      </c>
      <c r="L88">
        <v>27</v>
      </c>
      <c r="M88">
        <v>55.74</v>
      </c>
      <c r="N88">
        <v>61.43</v>
      </c>
      <c r="O88">
        <v>54.61</v>
      </c>
      <c r="P88">
        <v>58.664999999999999</v>
      </c>
      <c r="Q88">
        <v>19.34</v>
      </c>
      <c r="R88">
        <v>1157.6300000000001</v>
      </c>
      <c r="S88">
        <v>33.869999999999997</v>
      </c>
      <c r="T88">
        <v>19.795000000000002</v>
      </c>
      <c r="U88">
        <v>15.82</v>
      </c>
      <c r="V88">
        <v>37.5</v>
      </c>
      <c r="W88">
        <v>46.155000000000001</v>
      </c>
      <c r="X88">
        <v>26.55</v>
      </c>
      <c r="Y88">
        <v>47.09</v>
      </c>
      <c r="Z88">
        <v>42.42</v>
      </c>
      <c r="AA88">
        <v>72.98</v>
      </c>
      <c r="AB88">
        <v>54.96</v>
      </c>
      <c r="AC88">
        <v>40.43</v>
      </c>
      <c r="AD88">
        <v>561.25</v>
      </c>
      <c r="AE88">
        <v>628.86</v>
      </c>
      <c r="AF88">
        <v>43.16</v>
      </c>
      <c r="AG88">
        <v>53.37</v>
      </c>
      <c r="AH88">
        <v>45.21</v>
      </c>
      <c r="AI88">
        <v>48.55</v>
      </c>
    </row>
    <row r="89" spans="1:35" x14ac:dyDescent="0.45">
      <c r="A89" s="2">
        <v>45859</v>
      </c>
      <c r="B89">
        <v>29.98</v>
      </c>
      <c r="C89">
        <v>30.3</v>
      </c>
      <c r="D89">
        <v>17.73</v>
      </c>
      <c r="E89">
        <v>26.34</v>
      </c>
      <c r="F89">
        <v>32.9</v>
      </c>
      <c r="G89">
        <v>48.93</v>
      </c>
      <c r="H89">
        <v>24.03</v>
      </c>
      <c r="I89">
        <v>59.36</v>
      </c>
      <c r="J89">
        <v>59.24</v>
      </c>
      <c r="K89">
        <v>73.87</v>
      </c>
      <c r="L89">
        <v>27.08</v>
      </c>
      <c r="M89">
        <v>55.7</v>
      </c>
      <c r="N89">
        <v>61.53</v>
      </c>
      <c r="O89">
        <v>54.75</v>
      </c>
      <c r="P89">
        <v>57.81</v>
      </c>
      <c r="Q89">
        <v>19.12</v>
      </c>
      <c r="R89">
        <v>1161.01</v>
      </c>
      <c r="S89">
        <v>33.93</v>
      </c>
      <c r="T89">
        <v>19.899999999999999</v>
      </c>
      <c r="U89">
        <v>15.35</v>
      </c>
      <c r="V89">
        <v>37.82</v>
      </c>
      <c r="W89">
        <v>46.367600000000003</v>
      </c>
      <c r="X89">
        <v>26.37</v>
      </c>
      <c r="Y89">
        <v>46.71</v>
      </c>
      <c r="Z89">
        <v>42.42</v>
      </c>
      <c r="AA89">
        <v>72.61</v>
      </c>
      <c r="AB89">
        <v>54.51</v>
      </c>
      <c r="AC89">
        <v>40.01</v>
      </c>
      <c r="AD89">
        <v>564.16999999999996</v>
      </c>
      <c r="AE89">
        <v>628.77</v>
      </c>
      <c r="AF89">
        <v>43.03</v>
      </c>
      <c r="AG89">
        <v>53.41</v>
      </c>
      <c r="AH89">
        <v>45.25</v>
      </c>
      <c r="AI89">
        <v>48.03</v>
      </c>
    </row>
    <row r="90" spans="1:35" x14ac:dyDescent="0.45">
      <c r="A90" s="2">
        <v>45856</v>
      </c>
      <c r="B90">
        <v>29.73</v>
      </c>
      <c r="C90">
        <v>30.16</v>
      </c>
      <c r="D90">
        <v>17.690000000000001</v>
      </c>
      <c r="E90">
        <v>26.11</v>
      </c>
      <c r="F90">
        <v>32.86</v>
      </c>
      <c r="G90">
        <v>48.32</v>
      </c>
      <c r="H90">
        <v>23.93</v>
      </c>
      <c r="I90">
        <v>59.24</v>
      </c>
      <c r="J90">
        <v>59.46</v>
      </c>
      <c r="K90">
        <v>72.39</v>
      </c>
      <c r="L90">
        <v>26.85</v>
      </c>
      <c r="M90">
        <v>54.81</v>
      </c>
      <c r="N90">
        <v>61.2</v>
      </c>
      <c r="O90">
        <v>54.5</v>
      </c>
      <c r="P90">
        <v>57.45</v>
      </c>
      <c r="Q90">
        <v>18.91</v>
      </c>
      <c r="R90">
        <v>1143.31</v>
      </c>
      <c r="S90">
        <v>32.994999999999997</v>
      </c>
      <c r="T90">
        <v>19.98</v>
      </c>
      <c r="U90">
        <v>15.574999999999999</v>
      </c>
      <c r="V90">
        <v>38.130000000000003</v>
      </c>
      <c r="W90">
        <v>45.695</v>
      </c>
      <c r="X90">
        <v>26.45</v>
      </c>
      <c r="Y90">
        <v>46.59</v>
      </c>
      <c r="Z90">
        <v>42.13</v>
      </c>
      <c r="AA90">
        <v>71.81</v>
      </c>
      <c r="AB90">
        <v>54.48</v>
      </c>
      <c r="AC90">
        <v>39.799999999999997</v>
      </c>
      <c r="AD90">
        <v>561.26</v>
      </c>
      <c r="AE90">
        <v>627.58000000000004</v>
      </c>
      <c r="AF90">
        <v>42.92</v>
      </c>
      <c r="AG90">
        <v>53.46</v>
      </c>
      <c r="AH90">
        <v>44.65</v>
      </c>
      <c r="AI90">
        <v>47.79</v>
      </c>
    </row>
    <row r="91" spans="1:35" x14ac:dyDescent="0.45">
      <c r="A91" s="2">
        <v>45855</v>
      </c>
      <c r="B91">
        <v>29.6</v>
      </c>
      <c r="C91">
        <v>30.23</v>
      </c>
      <c r="D91">
        <v>17.760000000000002</v>
      </c>
      <c r="E91">
        <v>26.08</v>
      </c>
      <c r="F91">
        <v>32.340000000000003</v>
      </c>
      <c r="G91">
        <v>48.2014</v>
      </c>
      <c r="H91">
        <v>23.93</v>
      </c>
      <c r="I91">
        <v>59.48</v>
      </c>
      <c r="J91">
        <v>59.79</v>
      </c>
      <c r="K91">
        <v>73.06</v>
      </c>
      <c r="L91">
        <v>27.69</v>
      </c>
      <c r="M91">
        <v>53.57</v>
      </c>
      <c r="N91">
        <v>61.52</v>
      </c>
      <c r="O91">
        <v>55.01</v>
      </c>
      <c r="P91">
        <v>56.92</v>
      </c>
      <c r="Q91">
        <v>18.96</v>
      </c>
      <c r="R91">
        <v>1121.1300000000001</v>
      </c>
      <c r="S91">
        <v>33.15</v>
      </c>
      <c r="T91">
        <v>20.05</v>
      </c>
      <c r="U91">
        <v>15.67</v>
      </c>
      <c r="V91">
        <v>38.17</v>
      </c>
      <c r="W91">
        <v>45.872</v>
      </c>
      <c r="X91">
        <v>26.28</v>
      </c>
      <c r="Y91">
        <v>46.71</v>
      </c>
      <c r="Z91">
        <v>42.35</v>
      </c>
      <c r="AA91">
        <v>72.39</v>
      </c>
      <c r="AB91">
        <v>54.36</v>
      </c>
      <c r="AC91">
        <v>39.83</v>
      </c>
      <c r="AD91">
        <v>561.79999999999995</v>
      </c>
      <c r="AE91">
        <v>628.04</v>
      </c>
      <c r="AF91">
        <v>42.98</v>
      </c>
      <c r="AG91">
        <v>53.51</v>
      </c>
      <c r="AH91">
        <v>44.98</v>
      </c>
      <c r="AI91">
        <v>47.75</v>
      </c>
    </row>
    <row r="92" spans="1:35" x14ac:dyDescent="0.45">
      <c r="A92" s="2">
        <v>45854</v>
      </c>
      <c r="B92">
        <v>29.26</v>
      </c>
      <c r="C92">
        <v>29.77</v>
      </c>
      <c r="D92">
        <v>17.7</v>
      </c>
      <c r="E92">
        <v>26.35</v>
      </c>
      <c r="F92">
        <v>31.97</v>
      </c>
      <c r="G92">
        <v>48.003799999999998</v>
      </c>
      <c r="H92">
        <v>23.71</v>
      </c>
      <c r="I92">
        <v>58.98</v>
      </c>
      <c r="J92">
        <v>59.77</v>
      </c>
      <c r="K92">
        <v>73.08</v>
      </c>
      <c r="L92">
        <v>27.57</v>
      </c>
      <c r="M92">
        <v>53.43</v>
      </c>
      <c r="N92">
        <v>60.8</v>
      </c>
      <c r="O92">
        <v>55.27</v>
      </c>
      <c r="P92">
        <v>56.51</v>
      </c>
      <c r="Q92">
        <v>18.779</v>
      </c>
      <c r="R92">
        <v>1110.4000000000001</v>
      </c>
      <c r="S92">
        <v>32.5</v>
      </c>
      <c r="T92">
        <v>19.86</v>
      </c>
      <c r="U92">
        <v>15.41</v>
      </c>
      <c r="V92">
        <v>38.1</v>
      </c>
      <c r="W92">
        <v>45.56</v>
      </c>
      <c r="X92">
        <v>26.19</v>
      </c>
      <c r="Y92">
        <v>46.47</v>
      </c>
      <c r="Z92">
        <v>42.18</v>
      </c>
      <c r="AA92">
        <v>72.02</v>
      </c>
      <c r="AB92">
        <v>54.55</v>
      </c>
      <c r="AC92">
        <v>39.85</v>
      </c>
      <c r="AD92">
        <v>557.29</v>
      </c>
      <c r="AE92">
        <v>624.22</v>
      </c>
      <c r="AF92">
        <v>42.74</v>
      </c>
      <c r="AG92">
        <v>53.47</v>
      </c>
      <c r="AH92">
        <v>44.63</v>
      </c>
      <c r="AI92">
        <v>47.76</v>
      </c>
    </row>
    <row r="93" spans="1:35" x14ac:dyDescent="0.45">
      <c r="A93" s="2">
        <v>45853</v>
      </c>
      <c r="B93">
        <v>29.29</v>
      </c>
      <c r="C93">
        <v>29.89</v>
      </c>
      <c r="D93">
        <v>17.72</v>
      </c>
      <c r="E93">
        <v>26.96</v>
      </c>
      <c r="F93">
        <v>31.66</v>
      </c>
      <c r="G93">
        <v>48.12</v>
      </c>
      <c r="H93">
        <v>23.8</v>
      </c>
      <c r="I93">
        <v>58.27</v>
      </c>
      <c r="J93">
        <v>59.38</v>
      </c>
      <c r="K93">
        <v>73.069999999999993</v>
      </c>
      <c r="L93">
        <v>27.47</v>
      </c>
      <c r="M93">
        <v>52.86</v>
      </c>
      <c r="N93">
        <v>60.25</v>
      </c>
      <c r="O93">
        <v>54.875</v>
      </c>
      <c r="P93">
        <v>56.68</v>
      </c>
      <c r="Q93">
        <v>18.690000000000001</v>
      </c>
      <c r="R93">
        <v>1115.6500000000001</v>
      </c>
      <c r="S93">
        <v>32.840000000000003</v>
      </c>
      <c r="T93">
        <v>19.41</v>
      </c>
      <c r="U93">
        <v>15.04</v>
      </c>
      <c r="V93">
        <v>38.090000000000003</v>
      </c>
      <c r="W93">
        <v>44.89</v>
      </c>
      <c r="X93">
        <v>26.07</v>
      </c>
      <c r="Y93">
        <v>46.04</v>
      </c>
      <c r="Z93">
        <v>41.82</v>
      </c>
      <c r="AA93">
        <v>71.69</v>
      </c>
      <c r="AB93">
        <v>54.18</v>
      </c>
      <c r="AC93">
        <v>39.590000000000003</v>
      </c>
      <c r="AD93">
        <v>556.72</v>
      </c>
      <c r="AE93">
        <v>622.14</v>
      </c>
      <c r="AF93">
        <v>42.56</v>
      </c>
      <c r="AG93">
        <v>54.45</v>
      </c>
      <c r="AH93">
        <v>44.69</v>
      </c>
      <c r="AI93">
        <v>47.32</v>
      </c>
    </row>
    <row r="94" spans="1:35" x14ac:dyDescent="0.45">
      <c r="A94" s="2">
        <v>45852</v>
      </c>
      <c r="B94">
        <v>29.395</v>
      </c>
      <c r="C94">
        <v>30.21</v>
      </c>
      <c r="D94">
        <v>17.63</v>
      </c>
      <c r="E94">
        <v>27.36</v>
      </c>
      <c r="F94">
        <v>32.14</v>
      </c>
      <c r="G94">
        <v>48.69</v>
      </c>
      <c r="H94">
        <v>24.09</v>
      </c>
      <c r="I94">
        <v>57.81</v>
      </c>
      <c r="J94">
        <v>59.61</v>
      </c>
      <c r="K94">
        <v>73.2</v>
      </c>
      <c r="L94">
        <v>27.31</v>
      </c>
      <c r="M94">
        <v>52.99</v>
      </c>
      <c r="N94">
        <v>60.82</v>
      </c>
      <c r="O94">
        <v>54.92</v>
      </c>
      <c r="P94">
        <v>55.55</v>
      </c>
      <c r="Q94">
        <v>18.71</v>
      </c>
      <c r="R94">
        <v>1123</v>
      </c>
      <c r="S94">
        <v>32.97</v>
      </c>
      <c r="T94">
        <v>19.37</v>
      </c>
      <c r="U94">
        <v>15.24</v>
      </c>
      <c r="V94">
        <v>38.65</v>
      </c>
      <c r="W94">
        <v>45.49</v>
      </c>
      <c r="X94">
        <v>26.39</v>
      </c>
      <c r="Y94">
        <v>46.44</v>
      </c>
      <c r="Z94">
        <v>42.35</v>
      </c>
      <c r="AA94">
        <v>72.41</v>
      </c>
      <c r="AB94">
        <v>54.71</v>
      </c>
      <c r="AC94">
        <v>40.03</v>
      </c>
      <c r="AD94">
        <v>556.21</v>
      </c>
      <c r="AE94">
        <v>624.80999999999995</v>
      </c>
      <c r="AF94">
        <v>43.12</v>
      </c>
      <c r="AG94">
        <v>54.4</v>
      </c>
      <c r="AH94">
        <v>45.3</v>
      </c>
      <c r="AI94">
        <v>48.16</v>
      </c>
    </row>
    <row r="95" spans="1:35" x14ac:dyDescent="0.45">
      <c r="A95" s="2">
        <v>45849</v>
      </c>
      <c r="B95">
        <v>29.2</v>
      </c>
      <c r="C95">
        <v>30.51</v>
      </c>
      <c r="D95">
        <v>17.87</v>
      </c>
      <c r="E95">
        <v>27.13</v>
      </c>
      <c r="F95">
        <v>31.95</v>
      </c>
      <c r="G95">
        <v>48.83</v>
      </c>
      <c r="H95">
        <v>24.08</v>
      </c>
      <c r="I95">
        <v>58.3</v>
      </c>
      <c r="J95">
        <v>60.13</v>
      </c>
      <c r="K95">
        <v>72.56</v>
      </c>
      <c r="L95">
        <v>27.53</v>
      </c>
      <c r="M95">
        <v>52.98</v>
      </c>
      <c r="N95">
        <v>60.99</v>
      </c>
      <c r="O95">
        <v>54.88</v>
      </c>
      <c r="P95">
        <v>54.95</v>
      </c>
      <c r="Q95">
        <v>18.73</v>
      </c>
      <c r="R95">
        <v>1119.94</v>
      </c>
      <c r="S95">
        <v>33.17</v>
      </c>
      <c r="T95">
        <v>19.21</v>
      </c>
      <c r="U95">
        <v>15.22</v>
      </c>
      <c r="V95">
        <v>38.89</v>
      </c>
      <c r="W95">
        <v>45.76</v>
      </c>
      <c r="X95">
        <v>26.36</v>
      </c>
      <c r="Y95">
        <v>46.13</v>
      </c>
      <c r="Z95">
        <v>42.45</v>
      </c>
      <c r="AA95">
        <v>72.36</v>
      </c>
      <c r="AB95">
        <v>54.7</v>
      </c>
      <c r="AC95">
        <v>39.92</v>
      </c>
      <c r="AD95">
        <v>554.20000000000005</v>
      </c>
      <c r="AE95">
        <v>623.62</v>
      </c>
      <c r="AF95">
        <v>43.28</v>
      </c>
      <c r="AG95">
        <v>54.41</v>
      </c>
      <c r="AH95">
        <v>45.57</v>
      </c>
      <c r="AI95">
        <v>47.99</v>
      </c>
    </row>
    <row r="96" spans="1:35" x14ac:dyDescent="0.45">
      <c r="A96" s="2">
        <v>45848</v>
      </c>
      <c r="B96">
        <v>29.32</v>
      </c>
      <c r="C96">
        <v>31.1</v>
      </c>
      <c r="D96">
        <v>17.760000000000002</v>
      </c>
      <c r="E96">
        <v>27.19</v>
      </c>
      <c r="F96">
        <v>32.049999999999997</v>
      </c>
      <c r="G96">
        <v>49.12</v>
      </c>
      <c r="H96">
        <v>24.11</v>
      </c>
      <c r="I96">
        <v>58.38</v>
      </c>
      <c r="J96">
        <v>60.29</v>
      </c>
      <c r="K96">
        <v>73.14</v>
      </c>
      <c r="L96">
        <v>27.72</v>
      </c>
      <c r="M96">
        <v>53.95</v>
      </c>
      <c r="N96">
        <v>61.32</v>
      </c>
      <c r="O96">
        <v>55.27</v>
      </c>
      <c r="P96">
        <v>55.01</v>
      </c>
      <c r="Q96">
        <v>18.75</v>
      </c>
      <c r="R96">
        <v>1127.21</v>
      </c>
      <c r="S96">
        <v>33.25</v>
      </c>
      <c r="T96">
        <v>19.079999999999998</v>
      </c>
      <c r="U96">
        <v>15.12</v>
      </c>
      <c r="V96">
        <v>39</v>
      </c>
      <c r="W96">
        <v>46.01</v>
      </c>
      <c r="X96">
        <v>26.58</v>
      </c>
      <c r="Y96">
        <v>46.41</v>
      </c>
      <c r="Z96">
        <v>42.86</v>
      </c>
      <c r="AA96">
        <v>72.94</v>
      </c>
      <c r="AB96">
        <v>55.45</v>
      </c>
      <c r="AC96">
        <v>40.270000000000003</v>
      </c>
      <c r="AD96">
        <v>555.45000000000005</v>
      </c>
      <c r="AE96">
        <v>625.82000000000005</v>
      </c>
      <c r="AF96">
        <v>43.75</v>
      </c>
      <c r="AG96">
        <v>54.63</v>
      </c>
      <c r="AH96">
        <v>46.39</v>
      </c>
      <c r="AI96">
        <v>48.53</v>
      </c>
    </row>
    <row r="97" spans="1:35" x14ac:dyDescent="0.45">
      <c r="A97" s="2">
        <v>45847</v>
      </c>
      <c r="B97">
        <v>29.07</v>
      </c>
      <c r="C97">
        <v>31.04</v>
      </c>
      <c r="D97">
        <v>17.47</v>
      </c>
      <c r="E97">
        <v>27.15</v>
      </c>
      <c r="F97">
        <v>32.72</v>
      </c>
      <c r="G97">
        <v>48.81</v>
      </c>
      <c r="H97">
        <v>23.98</v>
      </c>
      <c r="I97">
        <v>58.03</v>
      </c>
      <c r="J97">
        <v>60.28</v>
      </c>
      <c r="K97">
        <v>72.08</v>
      </c>
      <c r="L97">
        <v>28.16</v>
      </c>
      <c r="M97">
        <v>54</v>
      </c>
      <c r="N97">
        <v>61.08</v>
      </c>
      <c r="O97">
        <v>55.66</v>
      </c>
      <c r="P97">
        <v>54.58</v>
      </c>
      <c r="Q97">
        <v>18.75</v>
      </c>
      <c r="R97">
        <v>1115.69</v>
      </c>
      <c r="S97">
        <v>32.79</v>
      </c>
      <c r="T97">
        <v>19.13</v>
      </c>
      <c r="U97">
        <v>14.89</v>
      </c>
      <c r="V97">
        <v>38.89</v>
      </c>
      <c r="W97">
        <v>46.07</v>
      </c>
      <c r="X97">
        <v>26.24</v>
      </c>
      <c r="Y97">
        <v>46.13</v>
      </c>
      <c r="Z97">
        <v>43.26</v>
      </c>
      <c r="AA97">
        <v>73.3</v>
      </c>
      <c r="AB97">
        <v>55.28</v>
      </c>
      <c r="AC97">
        <v>40.01</v>
      </c>
      <c r="AD97">
        <v>556.25</v>
      </c>
      <c r="AE97">
        <v>624.05999999999995</v>
      </c>
      <c r="AF97">
        <v>43.84</v>
      </c>
      <c r="AG97">
        <v>54.58</v>
      </c>
      <c r="AH97">
        <v>46.05</v>
      </c>
      <c r="AI97">
        <v>49.17</v>
      </c>
    </row>
    <row r="98" spans="1:35" x14ac:dyDescent="0.45">
      <c r="A98" s="2">
        <v>45846</v>
      </c>
      <c r="B98">
        <v>29.12</v>
      </c>
      <c r="C98">
        <v>31.41</v>
      </c>
      <c r="D98">
        <v>17.309999999999999</v>
      </c>
      <c r="E98">
        <v>26.78</v>
      </c>
      <c r="F98">
        <v>32.619999999999997</v>
      </c>
      <c r="G98">
        <v>49.3</v>
      </c>
      <c r="H98">
        <v>23.95</v>
      </c>
      <c r="I98">
        <v>57.66</v>
      </c>
      <c r="J98">
        <v>60.89</v>
      </c>
      <c r="K98">
        <v>72.08</v>
      </c>
      <c r="L98">
        <v>28.71</v>
      </c>
      <c r="M98">
        <v>53.81</v>
      </c>
      <c r="N98">
        <v>60.9</v>
      </c>
      <c r="O98">
        <v>55.69</v>
      </c>
      <c r="P98">
        <v>55.13</v>
      </c>
      <c r="Q98">
        <v>18.73</v>
      </c>
      <c r="R98">
        <v>1110.01</v>
      </c>
      <c r="S98">
        <v>32.119999999999997</v>
      </c>
      <c r="T98">
        <v>18.84</v>
      </c>
      <c r="U98">
        <v>14.51</v>
      </c>
      <c r="V98">
        <v>38.9</v>
      </c>
      <c r="W98">
        <v>45.98</v>
      </c>
      <c r="X98">
        <v>26.14</v>
      </c>
      <c r="Y98">
        <v>46</v>
      </c>
      <c r="Z98">
        <v>42.59</v>
      </c>
      <c r="AA98">
        <v>73.19</v>
      </c>
      <c r="AB98">
        <v>54.82</v>
      </c>
      <c r="AC98">
        <v>39.79</v>
      </c>
      <c r="AD98">
        <v>552.34</v>
      </c>
      <c r="AE98">
        <v>620.34</v>
      </c>
      <c r="AF98">
        <v>43.27</v>
      </c>
      <c r="AG98">
        <v>54.33</v>
      </c>
      <c r="AH98">
        <v>45.55</v>
      </c>
      <c r="AI98">
        <v>48.34</v>
      </c>
    </row>
    <row r="99" spans="1:35" x14ac:dyDescent="0.45">
      <c r="A99" s="2">
        <v>45845</v>
      </c>
      <c r="B99">
        <v>28.86</v>
      </c>
      <c r="C99">
        <v>31.02</v>
      </c>
      <c r="D99">
        <v>17.34</v>
      </c>
      <c r="E99">
        <v>26.72</v>
      </c>
      <c r="F99">
        <v>32.25</v>
      </c>
      <c r="G99">
        <v>49.62</v>
      </c>
      <c r="H99">
        <v>23.93</v>
      </c>
      <c r="I99">
        <v>57.63</v>
      </c>
      <c r="J99">
        <v>61.11</v>
      </c>
      <c r="K99">
        <v>70.069999999999993</v>
      </c>
      <c r="L99">
        <v>28.6</v>
      </c>
      <c r="M99">
        <v>53.84</v>
      </c>
      <c r="N99">
        <v>59.12</v>
      </c>
      <c r="O99">
        <v>55.36</v>
      </c>
      <c r="P99">
        <v>54.62</v>
      </c>
      <c r="Q99">
        <v>18.68</v>
      </c>
      <c r="R99">
        <v>1089.56</v>
      </c>
      <c r="S99">
        <v>32.44</v>
      </c>
      <c r="T99">
        <v>18.86</v>
      </c>
      <c r="U99">
        <v>14.18</v>
      </c>
      <c r="V99">
        <v>39.08</v>
      </c>
      <c r="W99">
        <v>45.5</v>
      </c>
      <c r="X99">
        <v>25.98</v>
      </c>
      <c r="Y99">
        <v>46.18</v>
      </c>
      <c r="Z99">
        <v>42.23</v>
      </c>
      <c r="AA99">
        <v>72.819999999999993</v>
      </c>
      <c r="AB99">
        <v>54.53</v>
      </c>
      <c r="AC99">
        <v>39.42</v>
      </c>
      <c r="AD99">
        <v>552.03</v>
      </c>
      <c r="AE99">
        <v>620.67999999999995</v>
      </c>
      <c r="AF99">
        <v>42.68</v>
      </c>
      <c r="AG99">
        <v>53.98</v>
      </c>
      <c r="AH99">
        <v>45.52</v>
      </c>
      <c r="AI99">
        <v>47.87</v>
      </c>
    </row>
    <row r="100" spans="1:35" x14ac:dyDescent="0.45">
      <c r="A100" s="2">
        <v>45841</v>
      </c>
      <c r="B100">
        <v>28.91</v>
      </c>
      <c r="C100">
        <v>31.82</v>
      </c>
      <c r="D100">
        <v>17.47</v>
      </c>
      <c r="E100">
        <v>27.08</v>
      </c>
      <c r="F100">
        <v>32.82</v>
      </c>
      <c r="G100">
        <v>50.06</v>
      </c>
      <c r="H100">
        <v>24.41</v>
      </c>
      <c r="I100">
        <v>59.44</v>
      </c>
      <c r="J100">
        <v>61.7</v>
      </c>
      <c r="K100">
        <v>72.7</v>
      </c>
      <c r="L100">
        <v>29.31</v>
      </c>
      <c r="M100">
        <v>54.79</v>
      </c>
      <c r="N100">
        <v>59.72</v>
      </c>
      <c r="O100">
        <v>55.79</v>
      </c>
      <c r="P100">
        <v>54.72</v>
      </c>
      <c r="Q100">
        <v>18.63</v>
      </c>
      <c r="R100">
        <v>1082.42</v>
      </c>
      <c r="S100">
        <v>33.04</v>
      </c>
      <c r="T100">
        <v>18.84</v>
      </c>
      <c r="U100">
        <v>13.96</v>
      </c>
      <c r="V100">
        <v>38.89</v>
      </c>
      <c r="W100">
        <v>45.96</v>
      </c>
      <c r="X100">
        <v>26.48</v>
      </c>
      <c r="Y100">
        <v>46.67</v>
      </c>
      <c r="Z100">
        <v>42.21</v>
      </c>
      <c r="AA100">
        <v>74.599999999999994</v>
      </c>
      <c r="AB100">
        <v>54.9</v>
      </c>
      <c r="AC100">
        <v>39.82</v>
      </c>
      <c r="AD100">
        <v>556.22</v>
      </c>
      <c r="AE100">
        <v>625.34</v>
      </c>
      <c r="AF100">
        <v>43.08</v>
      </c>
      <c r="AG100">
        <v>54.29</v>
      </c>
      <c r="AH100">
        <v>45.62</v>
      </c>
      <c r="AI100">
        <v>48.21</v>
      </c>
    </row>
    <row r="101" spans="1:35" x14ac:dyDescent="0.45">
      <c r="A101" s="2">
        <v>45840</v>
      </c>
      <c r="B101">
        <v>28.7</v>
      </c>
      <c r="C101">
        <v>31.85</v>
      </c>
      <c r="D101">
        <v>17.48</v>
      </c>
      <c r="E101">
        <v>27</v>
      </c>
      <c r="F101">
        <v>32.19</v>
      </c>
      <c r="G101">
        <v>49.75</v>
      </c>
      <c r="H101">
        <v>24.41</v>
      </c>
      <c r="I101">
        <v>58.75</v>
      </c>
      <c r="J101">
        <v>61.59</v>
      </c>
      <c r="K101">
        <v>71.95</v>
      </c>
      <c r="L101">
        <v>28.91</v>
      </c>
      <c r="M101">
        <v>54.31</v>
      </c>
      <c r="N101">
        <v>59.34</v>
      </c>
      <c r="O101">
        <v>55.6</v>
      </c>
      <c r="P101">
        <v>55</v>
      </c>
      <c r="Q101">
        <v>18.559999999999999</v>
      </c>
      <c r="R101">
        <v>1106.73</v>
      </c>
      <c r="S101">
        <v>33.07</v>
      </c>
      <c r="T101">
        <v>18.600000000000001</v>
      </c>
      <c r="U101">
        <v>13.76</v>
      </c>
      <c r="V101">
        <v>38.44</v>
      </c>
      <c r="W101">
        <v>46.265000000000001</v>
      </c>
      <c r="X101">
        <v>26.54</v>
      </c>
      <c r="Y101">
        <v>46.33</v>
      </c>
      <c r="Z101">
        <v>42.17</v>
      </c>
      <c r="AA101">
        <v>74.459999999999994</v>
      </c>
      <c r="AB101">
        <v>55.27</v>
      </c>
      <c r="AC101">
        <v>39.61</v>
      </c>
      <c r="AD101">
        <v>550.79999999999995</v>
      </c>
      <c r="AE101">
        <v>620.45000000000005</v>
      </c>
      <c r="AF101">
        <v>43.27</v>
      </c>
      <c r="AG101">
        <v>54.3</v>
      </c>
      <c r="AH101">
        <v>45.51</v>
      </c>
      <c r="AI101">
        <v>48.29</v>
      </c>
    </row>
    <row r="102" spans="1:35" x14ac:dyDescent="0.45">
      <c r="A102" s="2">
        <v>45839</v>
      </c>
      <c r="B102">
        <v>28.71</v>
      </c>
      <c r="C102">
        <v>31.51</v>
      </c>
      <c r="D102">
        <v>17.489999999999998</v>
      </c>
      <c r="E102">
        <v>27.14</v>
      </c>
      <c r="F102">
        <v>32.06</v>
      </c>
      <c r="G102">
        <v>48.857199999999999</v>
      </c>
      <c r="H102">
        <v>24.38</v>
      </c>
      <c r="I102">
        <v>57.58</v>
      </c>
      <c r="J102">
        <v>61.12</v>
      </c>
      <c r="K102">
        <v>71.64</v>
      </c>
      <c r="L102">
        <v>28.79</v>
      </c>
      <c r="M102">
        <v>54.21</v>
      </c>
      <c r="N102">
        <v>58.63</v>
      </c>
      <c r="O102">
        <v>55.84</v>
      </c>
      <c r="P102">
        <v>55.27</v>
      </c>
      <c r="Q102">
        <v>18.579999999999998</v>
      </c>
      <c r="R102">
        <v>1107.69</v>
      </c>
      <c r="S102">
        <v>32.479999999999997</v>
      </c>
      <c r="T102">
        <v>18.66</v>
      </c>
      <c r="U102">
        <v>13.72</v>
      </c>
      <c r="V102">
        <v>38.25</v>
      </c>
      <c r="W102">
        <v>45.96</v>
      </c>
      <c r="X102">
        <v>26.35</v>
      </c>
      <c r="Y102">
        <v>46.19</v>
      </c>
      <c r="Z102">
        <v>42.01</v>
      </c>
      <c r="AA102">
        <v>74.42</v>
      </c>
      <c r="AB102">
        <v>54.98</v>
      </c>
      <c r="AC102">
        <v>39.85</v>
      </c>
      <c r="AD102">
        <v>546.99</v>
      </c>
      <c r="AE102">
        <v>617.65</v>
      </c>
      <c r="AF102">
        <v>42.87</v>
      </c>
      <c r="AG102">
        <v>54.07</v>
      </c>
      <c r="AH102">
        <v>45.19</v>
      </c>
      <c r="AI102">
        <v>48.05</v>
      </c>
    </row>
    <row r="103" spans="1:35" x14ac:dyDescent="0.45">
      <c r="A103" s="2">
        <v>45838</v>
      </c>
      <c r="B103">
        <v>28.71</v>
      </c>
      <c r="C103">
        <v>31.45</v>
      </c>
      <c r="D103">
        <v>17.63</v>
      </c>
      <c r="E103">
        <v>27.12</v>
      </c>
      <c r="F103">
        <v>32.26</v>
      </c>
      <c r="G103">
        <v>48.59</v>
      </c>
      <c r="H103">
        <v>24.34</v>
      </c>
      <c r="I103">
        <v>57.4</v>
      </c>
      <c r="J103">
        <v>60.56</v>
      </c>
      <c r="K103">
        <v>71.78</v>
      </c>
      <c r="L103">
        <v>28.85</v>
      </c>
      <c r="M103">
        <v>53.75</v>
      </c>
      <c r="N103">
        <v>58.04</v>
      </c>
      <c r="O103">
        <v>55.68</v>
      </c>
      <c r="P103">
        <v>55.1</v>
      </c>
      <c r="Q103">
        <v>18.62</v>
      </c>
      <c r="R103">
        <v>1100.01</v>
      </c>
      <c r="S103">
        <v>32.26</v>
      </c>
      <c r="T103">
        <v>18.72</v>
      </c>
      <c r="U103">
        <v>13.75</v>
      </c>
      <c r="V103">
        <v>38.54</v>
      </c>
      <c r="W103">
        <v>45.61</v>
      </c>
      <c r="X103">
        <v>26.32</v>
      </c>
      <c r="Y103">
        <v>46.2</v>
      </c>
      <c r="Z103">
        <v>42.31</v>
      </c>
      <c r="AA103">
        <v>74.97</v>
      </c>
      <c r="AB103">
        <v>54.81</v>
      </c>
      <c r="AC103">
        <v>39.72</v>
      </c>
      <c r="AD103">
        <v>551.64</v>
      </c>
      <c r="AE103">
        <v>617.85</v>
      </c>
      <c r="AF103">
        <v>42.8</v>
      </c>
      <c r="AG103">
        <v>54.5</v>
      </c>
      <c r="AH103">
        <v>45.74</v>
      </c>
      <c r="AI103">
        <v>48.14</v>
      </c>
    </row>
    <row r="104" spans="1:35" x14ac:dyDescent="0.45">
      <c r="A104" s="2">
        <v>45835</v>
      </c>
      <c r="B104">
        <v>28.46</v>
      </c>
      <c r="C104">
        <v>31.05</v>
      </c>
      <c r="D104">
        <v>17.489999999999998</v>
      </c>
      <c r="E104">
        <v>27.23</v>
      </c>
      <c r="F104">
        <v>31.69</v>
      </c>
      <c r="G104">
        <v>48.49</v>
      </c>
      <c r="H104">
        <v>24.07</v>
      </c>
      <c r="I104">
        <v>57.85</v>
      </c>
      <c r="J104">
        <v>60.32</v>
      </c>
      <c r="K104">
        <v>70.739999999999995</v>
      </c>
      <c r="L104">
        <v>28.14</v>
      </c>
      <c r="M104">
        <v>52.64</v>
      </c>
      <c r="N104">
        <v>58.17</v>
      </c>
      <c r="O104">
        <v>55.86</v>
      </c>
      <c r="P104">
        <v>55.18</v>
      </c>
      <c r="Q104">
        <v>18.57</v>
      </c>
      <c r="R104">
        <v>1062.78</v>
      </c>
      <c r="S104">
        <v>30.49</v>
      </c>
      <c r="T104">
        <v>18.57</v>
      </c>
      <c r="U104">
        <v>13.73</v>
      </c>
      <c r="V104">
        <v>38.26</v>
      </c>
      <c r="W104">
        <v>45.37</v>
      </c>
      <c r="X104">
        <v>26.09</v>
      </c>
      <c r="Y104">
        <v>45.58</v>
      </c>
      <c r="Z104">
        <v>42.3</v>
      </c>
      <c r="AA104">
        <v>75.28</v>
      </c>
      <c r="AB104">
        <v>54.63</v>
      </c>
      <c r="AC104">
        <v>39.72</v>
      </c>
      <c r="AD104">
        <v>548.09</v>
      </c>
      <c r="AE104">
        <v>614.91</v>
      </c>
      <c r="AF104">
        <v>42.61</v>
      </c>
      <c r="AG104">
        <v>54.36</v>
      </c>
      <c r="AH104">
        <v>46.02</v>
      </c>
      <c r="AI104">
        <v>47.86</v>
      </c>
    </row>
    <row r="105" spans="1:35" x14ac:dyDescent="0.45">
      <c r="A105" s="2">
        <v>45834</v>
      </c>
      <c r="B105">
        <v>28.79</v>
      </c>
      <c r="C105">
        <v>31.26</v>
      </c>
      <c r="D105">
        <v>17.510000000000002</v>
      </c>
      <c r="E105">
        <v>26.85</v>
      </c>
      <c r="F105">
        <v>31.65</v>
      </c>
      <c r="G105">
        <v>49.107799999999997</v>
      </c>
      <c r="H105">
        <v>24.07</v>
      </c>
      <c r="I105">
        <v>57.85</v>
      </c>
      <c r="J105">
        <v>60.31</v>
      </c>
      <c r="K105">
        <v>71.94</v>
      </c>
      <c r="L105">
        <v>28.13</v>
      </c>
      <c r="M105">
        <v>52.98</v>
      </c>
      <c r="N105">
        <v>59.31</v>
      </c>
      <c r="O105">
        <v>55.71</v>
      </c>
      <c r="P105">
        <v>55.54</v>
      </c>
      <c r="Q105">
        <v>18.53</v>
      </c>
      <c r="R105">
        <v>1067.6300000000001</v>
      </c>
      <c r="S105">
        <v>30.19</v>
      </c>
      <c r="T105">
        <v>18.5</v>
      </c>
      <c r="U105">
        <v>13.61</v>
      </c>
      <c r="V105">
        <v>38.159999999999997</v>
      </c>
      <c r="W105">
        <v>45.32</v>
      </c>
      <c r="X105">
        <v>26.43</v>
      </c>
      <c r="Y105">
        <v>45.92</v>
      </c>
      <c r="Z105">
        <v>41.64</v>
      </c>
      <c r="AA105">
        <v>73.97</v>
      </c>
      <c r="AB105">
        <v>54.26</v>
      </c>
      <c r="AC105">
        <v>39.69</v>
      </c>
      <c r="AD105">
        <v>546.22</v>
      </c>
      <c r="AE105">
        <v>611.87</v>
      </c>
      <c r="AF105">
        <v>42.14</v>
      </c>
      <c r="AG105">
        <v>53.97</v>
      </c>
      <c r="AH105">
        <v>45.33</v>
      </c>
      <c r="AI105">
        <v>47.5</v>
      </c>
    </row>
    <row r="106" spans="1:35" x14ac:dyDescent="0.45">
      <c r="A106" s="2">
        <v>45833</v>
      </c>
      <c r="B106">
        <v>28.805</v>
      </c>
      <c r="C106">
        <v>30.86</v>
      </c>
      <c r="D106">
        <v>17.18</v>
      </c>
      <c r="E106">
        <v>26.81</v>
      </c>
      <c r="F106">
        <v>30.57</v>
      </c>
      <c r="G106">
        <v>47.315899999999999</v>
      </c>
      <c r="H106">
        <v>23.82</v>
      </c>
      <c r="I106">
        <v>57.31</v>
      </c>
      <c r="J106">
        <v>59.68</v>
      </c>
      <c r="K106">
        <v>72.37</v>
      </c>
      <c r="L106">
        <v>27.57</v>
      </c>
      <c r="M106">
        <v>52.89</v>
      </c>
      <c r="N106">
        <v>58.42</v>
      </c>
      <c r="O106">
        <v>55</v>
      </c>
      <c r="P106">
        <v>55.53</v>
      </c>
      <c r="Q106">
        <v>18.36</v>
      </c>
      <c r="R106">
        <v>1068.73</v>
      </c>
      <c r="S106">
        <v>30.68</v>
      </c>
      <c r="T106">
        <v>18.22</v>
      </c>
      <c r="U106">
        <v>13.54</v>
      </c>
      <c r="V106">
        <v>37.82</v>
      </c>
      <c r="W106">
        <v>44.6</v>
      </c>
      <c r="X106">
        <v>26.03</v>
      </c>
      <c r="Y106">
        <v>45.32</v>
      </c>
      <c r="Z106">
        <v>41.15</v>
      </c>
      <c r="AA106">
        <v>72.44</v>
      </c>
      <c r="AB106">
        <v>53.75</v>
      </c>
      <c r="AC106">
        <v>39.28</v>
      </c>
      <c r="AD106">
        <v>541.16</v>
      </c>
      <c r="AE106">
        <v>607.12</v>
      </c>
      <c r="AF106">
        <v>41.89</v>
      </c>
      <c r="AG106">
        <v>53.8</v>
      </c>
      <c r="AH106">
        <v>44.67</v>
      </c>
      <c r="AI106">
        <v>47.17</v>
      </c>
    </row>
    <row r="107" spans="1:35" x14ac:dyDescent="0.45">
      <c r="A107" s="2">
        <v>45832</v>
      </c>
      <c r="B107">
        <v>28.55</v>
      </c>
      <c r="C107">
        <v>30.96</v>
      </c>
      <c r="D107">
        <v>17.38</v>
      </c>
      <c r="E107">
        <v>26.61</v>
      </c>
      <c r="F107">
        <v>30.56</v>
      </c>
      <c r="G107">
        <v>47.313000000000002</v>
      </c>
      <c r="H107">
        <v>23.77</v>
      </c>
      <c r="I107">
        <v>56.82</v>
      </c>
      <c r="J107">
        <v>59.21</v>
      </c>
      <c r="K107">
        <v>72.650000000000006</v>
      </c>
      <c r="L107">
        <v>27.98</v>
      </c>
      <c r="M107">
        <v>53.46</v>
      </c>
      <c r="N107">
        <v>57.86</v>
      </c>
      <c r="O107">
        <v>54.8</v>
      </c>
      <c r="P107">
        <v>55.57</v>
      </c>
      <c r="Q107">
        <v>18.25</v>
      </c>
      <c r="R107">
        <v>1094.58</v>
      </c>
      <c r="S107">
        <v>30.86</v>
      </c>
      <c r="T107">
        <v>18.3</v>
      </c>
      <c r="U107">
        <v>13.62</v>
      </c>
      <c r="V107">
        <v>37.72</v>
      </c>
      <c r="W107">
        <v>44.79</v>
      </c>
      <c r="X107">
        <v>26.05</v>
      </c>
      <c r="Y107">
        <v>45.62</v>
      </c>
      <c r="Z107">
        <v>41.39</v>
      </c>
      <c r="AA107">
        <v>72.739999999999995</v>
      </c>
      <c r="AB107">
        <v>54.32</v>
      </c>
      <c r="AC107">
        <v>39.409999999999997</v>
      </c>
      <c r="AD107">
        <v>539.78</v>
      </c>
      <c r="AE107">
        <v>606.78</v>
      </c>
      <c r="AF107">
        <v>42.04</v>
      </c>
      <c r="AG107">
        <v>54.16</v>
      </c>
      <c r="AH107">
        <v>44.95</v>
      </c>
      <c r="AI107">
        <v>47.2</v>
      </c>
    </row>
    <row r="108" spans="1:35" x14ac:dyDescent="0.45">
      <c r="A108" s="2">
        <v>45831</v>
      </c>
      <c r="B108">
        <v>28.03</v>
      </c>
      <c r="C108">
        <v>30.03</v>
      </c>
      <c r="D108">
        <v>16.89</v>
      </c>
      <c r="E108">
        <v>25.96</v>
      </c>
      <c r="F108">
        <v>29.51</v>
      </c>
      <c r="G108">
        <v>46.97</v>
      </c>
      <c r="H108">
        <v>23.53</v>
      </c>
      <c r="I108">
        <v>55.18</v>
      </c>
      <c r="J108">
        <v>57.94</v>
      </c>
      <c r="K108">
        <v>69.42</v>
      </c>
      <c r="L108">
        <v>27.66</v>
      </c>
      <c r="M108">
        <v>52.35</v>
      </c>
      <c r="N108">
        <v>56.55</v>
      </c>
      <c r="O108">
        <v>54.31</v>
      </c>
      <c r="P108">
        <v>54.13</v>
      </c>
      <c r="Q108">
        <v>17.96</v>
      </c>
      <c r="R108">
        <v>1113.58</v>
      </c>
      <c r="S108">
        <v>30.08</v>
      </c>
      <c r="T108">
        <v>17.66</v>
      </c>
      <c r="U108">
        <v>13.4</v>
      </c>
      <c r="V108">
        <v>37.1</v>
      </c>
      <c r="W108">
        <v>44.86</v>
      </c>
      <c r="X108">
        <v>25.79</v>
      </c>
      <c r="Y108">
        <v>45.33</v>
      </c>
      <c r="Z108">
        <v>40.75</v>
      </c>
      <c r="AA108">
        <v>72.02</v>
      </c>
      <c r="AB108">
        <v>53.46</v>
      </c>
      <c r="AC108">
        <v>39.17</v>
      </c>
      <c r="AD108">
        <v>531.65</v>
      </c>
      <c r="AE108">
        <v>600.15</v>
      </c>
      <c r="AF108">
        <v>41.57</v>
      </c>
      <c r="AG108">
        <v>53.03</v>
      </c>
      <c r="AH108">
        <v>43.96</v>
      </c>
      <c r="AI108">
        <v>46.45</v>
      </c>
    </row>
    <row r="109" spans="1:35" x14ac:dyDescent="0.45">
      <c r="A109" s="2">
        <v>45828</v>
      </c>
      <c r="B109">
        <v>27.925000000000001</v>
      </c>
      <c r="C109">
        <v>30.1</v>
      </c>
      <c r="D109">
        <v>17.18</v>
      </c>
      <c r="E109">
        <v>26.5</v>
      </c>
      <c r="F109">
        <v>29.72</v>
      </c>
      <c r="G109">
        <v>47.08</v>
      </c>
      <c r="H109">
        <v>23.41</v>
      </c>
      <c r="I109">
        <v>54.84</v>
      </c>
      <c r="J109">
        <v>58.11</v>
      </c>
      <c r="K109">
        <v>68.53</v>
      </c>
      <c r="L109">
        <v>27.67</v>
      </c>
      <c r="M109">
        <v>51.73</v>
      </c>
      <c r="N109">
        <v>54.71</v>
      </c>
      <c r="O109">
        <v>53.9</v>
      </c>
      <c r="P109">
        <v>53.5</v>
      </c>
      <c r="Q109">
        <v>17.72</v>
      </c>
      <c r="R109">
        <v>1114.49</v>
      </c>
      <c r="S109">
        <v>29.96</v>
      </c>
      <c r="T109">
        <v>17.260000000000002</v>
      </c>
      <c r="U109">
        <v>13.345000000000001</v>
      </c>
      <c r="V109">
        <v>36.56</v>
      </c>
      <c r="W109">
        <v>44.6</v>
      </c>
      <c r="X109">
        <v>25.55</v>
      </c>
      <c r="Y109">
        <v>45.1</v>
      </c>
      <c r="Z109">
        <v>40.340000000000003</v>
      </c>
      <c r="AA109">
        <v>71.760000000000005</v>
      </c>
      <c r="AB109">
        <v>52.68</v>
      </c>
      <c r="AC109">
        <v>38.9</v>
      </c>
      <c r="AD109">
        <v>526.83000000000004</v>
      </c>
      <c r="AE109">
        <v>594.28</v>
      </c>
      <c r="AF109">
        <v>41.29</v>
      </c>
      <c r="AG109">
        <v>51.892699999999998</v>
      </c>
      <c r="AH109">
        <v>43.81</v>
      </c>
      <c r="AI109">
        <v>46.36</v>
      </c>
    </row>
    <row r="110" spans="1:35" x14ac:dyDescent="0.45">
      <c r="A110" s="2">
        <v>45826</v>
      </c>
      <c r="B110">
        <v>27.96</v>
      </c>
      <c r="C110">
        <v>30.34</v>
      </c>
      <c r="D110">
        <v>17.87</v>
      </c>
      <c r="E110">
        <v>26.7</v>
      </c>
      <c r="F110">
        <v>29.36</v>
      </c>
      <c r="G110">
        <v>47.413699999999999</v>
      </c>
      <c r="H110">
        <v>23.59</v>
      </c>
      <c r="I110">
        <v>56.03</v>
      </c>
      <c r="J110">
        <v>58.97</v>
      </c>
      <c r="K110">
        <v>67.87</v>
      </c>
      <c r="L110">
        <v>28.08</v>
      </c>
      <c r="M110">
        <v>51.8</v>
      </c>
      <c r="N110">
        <v>54.58</v>
      </c>
      <c r="O110">
        <v>53.79</v>
      </c>
      <c r="P110">
        <v>53.93</v>
      </c>
      <c r="Q110">
        <v>17.82</v>
      </c>
      <c r="R110">
        <v>1122.7</v>
      </c>
      <c r="S110">
        <v>30.11</v>
      </c>
      <c r="T110">
        <v>16.989999999999998</v>
      </c>
      <c r="U110">
        <v>13.36</v>
      </c>
      <c r="V110">
        <v>36.36</v>
      </c>
      <c r="W110">
        <v>45.08</v>
      </c>
      <c r="X110">
        <v>25.86</v>
      </c>
      <c r="Y110">
        <v>45.32</v>
      </c>
      <c r="Z110">
        <v>40.28</v>
      </c>
      <c r="AA110">
        <v>73.05</v>
      </c>
      <c r="AB110">
        <v>53.25</v>
      </c>
      <c r="AC110">
        <v>39.22</v>
      </c>
      <c r="AD110">
        <v>528.99</v>
      </c>
      <c r="AE110">
        <v>597.44000000000005</v>
      </c>
      <c r="AF110">
        <v>41.67</v>
      </c>
      <c r="AG110">
        <v>52.247599999999998</v>
      </c>
      <c r="AH110">
        <v>43.98</v>
      </c>
      <c r="AI110">
        <v>46.46</v>
      </c>
    </row>
    <row r="111" spans="1:35" x14ac:dyDescent="0.45">
      <c r="A111" s="2">
        <v>45825</v>
      </c>
      <c r="B111">
        <v>28</v>
      </c>
      <c r="C111">
        <v>30.45</v>
      </c>
      <c r="D111">
        <v>18.02</v>
      </c>
      <c r="E111">
        <v>26.98</v>
      </c>
      <c r="F111">
        <v>29.39</v>
      </c>
      <c r="G111">
        <v>47.62</v>
      </c>
      <c r="H111">
        <v>23.53</v>
      </c>
      <c r="I111">
        <v>55.65</v>
      </c>
      <c r="J111">
        <v>58.91</v>
      </c>
      <c r="K111">
        <v>66.63</v>
      </c>
      <c r="L111">
        <v>28.11</v>
      </c>
      <c r="M111">
        <v>51.56</v>
      </c>
      <c r="N111">
        <v>54.88</v>
      </c>
      <c r="O111">
        <v>53.83</v>
      </c>
      <c r="P111">
        <v>54.44</v>
      </c>
      <c r="Q111">
        <v>17.895</v>
      </c>
      <c r="R111">
        <v>1128.6199999999999</v>
      </c>
      <c r="S111">
        <v>30.21</v>
      </c>
      <c r="T111">
        <v>17.239999999999998</v>
      </c>
      <c r="U111">
        <v>13.31</v>
      </c>
      <c r="V111">
        <v>36.83</v>
      </c>
      <c r="W111">
        <v>45.09</v>
      </c>
      <c r="X111">
        <v>25.77</v>
      </c>
      <c r="Y111">
        <v>45.45</v>
      </c>
      <c r="Z111">
        <v>40.4</v>
      </c>
      <c r="AA111">
        <v>72.28</v>
      </c>
      <c r="AB111">
        <v>53.42</v>
      </c>
      <c r="AC111">
        <v>39.200000000000003</v>
      </c>
      <c r="AD111">
        <v>529.08000000000004</v>
      </c>
      <c r="AE111">
        <v>597.53</v>
      </c>
      <c r="AF111">
        <v>41.74</v>
      </c>
      <c r="AG111">
        <v>52.33</v>
      </c>
      <c r="AH111">
        <v>44.43</v>
      </c>
      <c r="AI111">
        <v>46.26</v>
      </c>
    </row>
    <row r="112" spans="1:35" x14ac:dyDescent="0.45">
      <c r="A112" s="2">
        <v>45824</v>
      </c>
      <c r="B112">
        <v>28.12</v>
      </c>
      <c r="C112">
        <v>31.11</v>
      </c>
      <c r="D112">
        <v>18.010000000000002</v>
      </c>
      <c r="E112">
        <v>27.35</v>
      </c>
      <c r="F112">
        <v>29.38</v>
      </c>
      <c r="G112">
        <v>47.7117</v>
      </c>
      <c r="H112">
        <v>23.93</v>
      </c>
      <c r="I112">
        <v>56.46</v>
      </c>
      <c r="J112">
        <v>59.82</v>
      </c>
      <c r="K112">
        <v>68.19</v>
      </c>
      <c r="L112">
        <v>28.31</v>
      </c>
      <c r="M112">
        <v>53.04</v>
      </c>
      <c r="N112">
        <v>55.79</v>
      </c>
      <c r="O112">
        <v>54.56</v>
      </c>
      <c r="P112">
        <v>55.01</v>
      </c>
      <c r="Q112">
        <v>18.045000000000002</v>
      </c>
      <c r="R112">
        <v>1141.58</v>
      </c>
      <c r="S112">
        <v>30.63</v>
      </c>
      <c r="T112">
        <v>17.559999999999999</v>
      </c>
      <c r="U112">
        <v>13.26</v>
      </c>
      <c r="V112">
        <v>37.479999999999997</v>
      </c>
      <c r="W112">
        <v>45.97</v>
      </c>
      <c r="X112">
        <v>26.09</v>
      </c>
      <c r="Y112">
        <v>45.76</v>
      </c>
      <c r="Z112">
        <v>41.13</v>
      </c>
      <c r="AA112">
        <v>73.150000000000006</v>
      </c>
      <c r="AB112">
        <v>53.77</v>
      </c>
      <c r="AC112">
        <v>39.619999999999997</v>
      </c>
      <c r="AD112">
        <v>534.29</v>
      </c>
      <c r="AE112">
        <v>602.67999999999995</v>
      </c>
      <c r="AF112">
        <v>42.21</v>
      </c>
      <c r="AG112">
        <v>53.08</v>
      </c>
      <c r="AH112">
        <v>44.91</v>
      </c>
      <c r="AI112">
        <v>47.21</v>
      </c>
    </row>
    <row r="113" spans="1:35" x14ac:dyDescent="0.45">
      <c r="A113" s="2">
        <v>45821</v>
      </c>
      <c r="B113">
        <v>28.15</v>
      </c>
      <c r="C113">
        <v>31.83</v>
      </c>
      <c r="D113">
        <v>18.62</v>
      </c>
      <c r="E113">
        <v>27.66</v>
      </c>
      <c r="F113">
        <v>29.86</v>
      </c>
      <c r="G113">
        <v>48.2913</v>
      </c>
      <c r="H113">
        <v>24.26</v>
      </c>
      <c r="I113">
        <v>55.85</v>
      </c>
      <c r="J113">
        <v>61.06</v>
      </c>
      <c r="K113">
        <v>66.42</v>
      </c>
      <c r="L113">
        <v>28.14</v>
      </c>
      <c r="M113">
        <v>53.3</v>
      </c>
      <c r="N113">
        <v>56</v>
      </c>
      <c r="O113">
        <v>54.04</v>
      </c>
      <c r="P113">
        <v>54.77</v>
      </c>
      <c r="Q113">
        <v>18.2</v>
      </c>
      <c r="R113">
        <v>1139.1600000000001</v>
      </c>
      <c r="S113">
        <v>30.75</v>
      </c>
      <c r="T113">
        <v>17.88</v>
      </c>
      <c r="U113">
        <v>13.02</v>
      </c>
      <c r="V113">
        <v>37.130000000000003</v>
      </c>
      <c r="W113">
        <v>45.19</v>
      </c>
      <c r="X113">
        <v>26.32</v>
      </c>
      <c r="Y113">
        <v>45.88</v>
      </c>
      <c r="Z113">
        <v>41.51</v>
      </c>
      <c r="AA113">
        <v>73.599999999999994</v>
      </c>
      <c r="AB113">
        <v>55.22</v>
      </c>
      <c r="AC113">
        <v>40.42</v>
      </c>
      <c r="AD113">
        <v>526.96</v>
      </c>
      <c r="AE113">
        <v>597</v>
      </c>
      <c r="AF113">
        <v>42.83</v>
      </c>
      <c r="AG113">
        <v>53.54</v>
      </c>
      <c r="AH113">
        <v>45.49</v>
      </c>
      <c r="AI113">
        <v>47.43</v>
      </c>
    </row>
    <row r="114" spans="1:35" x14ac:dyDescent="0.45">
      <c r="A114" s="2">
        <v>45820</v>
      </c>
      <c r="B114">
        <v>28.42</v>
      </c>
      <c r="C114">
        <v>32.51</v>
      </c>
      <c r="D114">
        <v>18.899999999999999</v>
      </c>
      <c r="E114">
        <v>28.08</v>
      </c>
      <c r="F114">
        <v>30.63</v>
      </c>
      <c r="G114">
        <v>48.584800000000001</v>
      </c>
      <c r="H114">
        <v>24.54</v>
      </c>
      <c r="I114">
        <v>56.74</v>
      </c>
      <c r="J114">
        <v>61.57</v>
      </c>
      <c r="K114">
        <v>67.69</v>
      </c>
      <c r="L114">
        <v>28.15</v>
      </c>
      <c r="M114">
        <v>54.77</v>
      </c>
      <c r="N114">
        <v>56.89</v>
      </c>
      <c r="O114">
        <v>54.8</v>
      </c>
      <c r="P114">
        <v>55.79</v>
      </c>
      <c r="Q114">
        <v>18.899999999999999</v>
      </c>
      <c r="R114">
        <v>1135.24</v>
      </c>
      <c r="S114">
        <v>31.57</v>
      </c>
      <c r="T114">
        <v>18.395</v>
      </c>
      <c r="U114">
        <v>13.36</v>
      </c>
      <c r="V114">
        <v>38.07</v>
      </c>
      <c r="W114">
        <v>46.07</v>
      </c>
      <c r="X114">
        <v>26.64</v>
      </c>
      <c r="Y114">
        <v>46</v>
      </c>
      <c r="Z114">
        <v>42.22</v>
      </c>
      <c r="AA114">
        <v>74.209999999999994</v>
      </c>
      <c r="AB114">
        <v>56.27</v>
      </c>
      <c r="AC114">
        <v>40.78</v>
      </c>
      <c r="AD114">
        <v>533.66</v>
      </c>
      <c r="AE114">
        <v>603.75</v>
      </c>
      <c r="AF114">
        <v>43.57</v>
      </c>
      <c r="AG114">
        <v>54.73</v>
      </c>
      <c r="AH114">
        <v>46.02</v>
      </c>
      <c r="AI114">
        <v>48.25</v>
      </c>
    </row>
    <row r="115" spans="1:35" x14ac:dyDescent="0.45">
      <c r="A115" s="2">
        <v>45819</v>
      </c>
      <c r="B115">
        <v>28.29</v>
      </c>
      <c r="C115">
        <v>32.54</v>
      </c>
      <c r="D115">
        <v>18.91</v>
      </c>
      <c r="E115">
        <v>27.93</v>
      </c>
      <c r="F115">
        <v>30.62</v>
      </c>
      <c r="G115">
        <v>48.44</v>
      </c>
      <c r="H115">
        <v>24.45</v>
      </c>
      <c r="I115">
        <v>55.83</v>
      </c>
      <c r="J115">
        <v>61.56</v>
      </c>
      <c r="K115">
        <v>66.989999999999995</v>
      </c>
      <c r="L115">
        <v>28.22</v>
      </c>
      <c r="M115">
        <v>54.08</v>
      </c>
      <c r="N115">
        <v>56.52</v>
      </c>
      <c r="O115">
        <v>55.33</v>
      </c>
      <c r="P115">
        <v>55.86</v>
      </c>
      <c r="Q115">
        <v>18.96</v>
      </c>
      <c r="R115">
        <v>1136.43</v>
      </c>
      <c r="S115">
        <v>32.11</v>
      </c>
      <c r="T115">
        <v>18.72</v>
      </c>
      <c r="U115">
        <v>13.32</v>
      </c>
      <c r="V115">
        <v>38.46</v>
      </c>
      <c r="W115">
        <v>45.76</v>
      </c>
      <c r="X115">
        <v>26.6</v>
      </c>
      <c r="Y115">
        <v>45.66</v>
      </c>
      <c r="Z115">
        <v>42.11</v>
      </c>
      <c r="AA115">
        <v>73.67</v>
      </c>
      <c r="AB115">
        <v>55.43</v>
      </c>
      <c r="AC115">
        <v>40.409999999999997</v>
      </c>
      <c r="AD115">
        <v>532.41</v>
      </c>
      <c r="AE115">
        <v>601.36</v>
      </c>
      <c r="AF115">
        <v>43.11</v>
      </c>
      <c r="AG115">
        <v>54.37</v>
      </c>
      <c r="AH115">
        <v>45.9</v>
      </c>
      <c r="AI115">
        <v>47.93</v>
      </c>
    </row>
    <row r="116" spans="1:35" x14ac:dyDescent="0.45">
      <c r="A116" s="2">
        <v>45818</v>
      </c>
      <c r="B116">
        <v>28.1</v>
      </c>
      <c r="C116">
        <v>31.82</v>
      </c>
      <c r="D116">
        <v>18.84</v>
      </c>
      <c r="E116">
        <v>27.82</v>
      </c>
      <c r="F116">
        <v>30.83</v>
      </c>
      <c r="G116">
        <v>48.231099999999998</v>
      </c>
      <c r="H116">
        <v>24.28</v>
      </c>
      <c r="I116">
        <v>55.8</v>
      </c>
      <c r="J116">
        <v>61.36</v>
      </c>
      <c r="K116">
        <v>66.16</v>
      </c>
      <c r="L116">
        <v>27.72</v>
      </c>
      <c r="M116">
        <v>54.66</v>
      </c>
      <c r="N116">
        <v>56.48</v>
      </c>
      <c r="O116">
        <v>55.26</v>
      </c>
      <c r="P116">
        <v>55.69</v>
      </c>
      <c r="Q116">
        <v>18.920000000000002</v>
      </c>
      <c r="R116">
        <v>1140.6300000000001</v>
      </c>
      <c r="S116">
        <v>32.17</v>
      </c>
      <c r="T116">
        <v>18.78</v>
      </c>
      <c r="U116">
        <v>13.4</v>
      </c>
      <c r="V116">
        <v>38.72</v>
      </c>
      <c r="W116">
        <v>45.65</v>
      </c>
      <c r="X116">
        <v>26.71</v>
      </c>
      <c r="Y116">
        <v>45.43</v>
      </c>
      <c r="Z116">
        <v>42.12</v>
      </c>
      <c r="AA116">
        <v>73.88</v>
      </c>
      <c r="AB116">
        <v>55.67</v>
      </c>
      <c r="AC116">
        <v>40.31</v>
      </c>
      <c r="AD116">
        <v>534.21</v>
      </c>
      <c r="AE116">
        <v>603.08000000000004</v>
      </c>
      <c r="AF116">
        <v>43.21</v>
      </c>
      <c r="AG116">
        <v>54.57</v>
      </c>
      <c r="AH116">
        <v>45.94</v>
      </c>
      <c r="AI116">
        <v>47.93</v>
      </c>
    </row>
    <row r="117" spans="1:35" x14ac:dyDescent="0.45">
      <c r="A117" s="2">
        <v>45817</v>
      </c>
      <c r="B117">
        <v>28.3</v>
      </c>
      <c r="C117">
        <v>31.75</v>
      </c>
      <c r="D117">
        <v>18.59</v>
      </c>
      <c r="E117">
        <v>28.12</v>
      </c>
      <c r="F117">
        <v>30</v>
      </c>
      <c r="G117">
        <v>48.53</v>
      </c>
      <c r="H117">
        <v>24.32</v>
      </c>
      <c r="I117">
        <v>54.71</v>
      </c>
      <c r="J117">
        <v>61.09</v>
      </c>
      <c r="K117">
        <v>66.48</v>
      </c>
      <c r="L117">
        <v>27.62</v>
      </c>
      <c r="M117">
        <v>54.44</v>
      </c>
      <c r="N117">
        <v>55.85</v>
      </c>
      <c r="O117">
        <v>55.24</v>
      </c>
      <c r="P117">
        <v>55.52</v>
      </c>
      <c r="Q117">
        <v>18.829999999999998</v>
      </c>
      <c r="R117">
        <v>1132.02</v>
      </c>
      <c r="S117">
        <v>31.66</v>
      </c>
      <c r="T117">
        <v>18.71</v>
      </c>
      <c r="U117">
        <v>13.26</v>
      </c>
      <c r="V117">
        <v>38.57</v>
      </c>
      <c r="W117">
        <v>45.32</v>
      </c>
      <c r="X117">
        <v>26.44</v>
      </c>
      <c r="Y117">
        <v>45.3</v>
      </c>
      <c r="Z117">
        <v>42.31</v>
      </c>
      <c r="AA117">
        <v>73.930000000000007</v>
      </c>
      <c r="AB117">
        <v>55.62</v>
      </c>
      <c r="AC117">
        <v>40.340000000000003</v>
      </c>
      <c r="AD117">
        <v>530.70000000000005</v>
      </c>
      <c r="AE117">
        <v>599.67999999999995</v>
      </c>
      <c r="AF117">
        <v>43.08</v>
      </c>
      <c r="AG117">
        <v>54.02</v>
      </c>
      <c r="AH117">
        <v>45.91</v>
      </c>
      <c r="AI117">
        <v>48.18</v>
      </c>
    </row>
    <row r="118" spans="1:35" x14ac:dyDescent="0.45">
      <c r="A118" s="2">
        <v>45814</v>
      </c>
      <c r="B118">
        <v>28.22</v>
      </c>
      <c r="C118">
        <v>31.84</v>
      </c>
      <c r="D118">
        <v>18.510000000000002</v>
      </c>
      <c r="E118">
        <v>27.95</v>
      </c>
      <c r="F118">
        <v>29.46</v>
      </c>
      <c r="G118">
        <v>48.5916</v>
      </c>
      <c r="H118">
        <v>24.25</v>
      </c>
      <c r="I118">
        <v>54.11</v>
      </c>
      <c r="J118">
        <v>61.24</v>
      </c>
      <c r="K118">
        <v>65.569999999999993</v>
      </c>
      <c r="L118">
        <v>27.72</v>
      </c>
      <c r="M118">
        <v>53.94</v>
      </c>
      <c r="N118">
        <v>55.46</v>
      </c>
      <c r="O118">
        <v>54.91</v>
      </c>
      <c r="P118">
        <v>54.92</v>
      </c>
      <c r="Q118">
        <v>18.829999999999998</v>
      </c>
      <c r="R118">
        <v>1149.18</v>
      </c>
      <c r="S118">
        <v>31.61</v>
      </c>
      <c r="T118">
        <v>18.670000000000002</v>
      </c>
      <c r="U118">
        <v>13.64</v>
      </c>
      <c r="V118">
        <v>38.51</v>
      </c>
      <c r="W118">
        <v>45.31</v>
      </c>
      <c r="X118">
        <v>26.37</v>
      </c>
      <c r="Y118">
        <v>45.39</v>
      </c>
      <c r="Z118">
        <v>42.52</v>
      </c>
      <c r="AA118">
        <v>73.819999999999993</v>
      </c>
      <c r="AB118">
        <v>55.64</v>
      </c>
      <c r="AC118">
        <v>40.35</v>
      </c>
      <c r="AD118">
        <v>529.91999999999996</v>
      </c>
      <c r="AE118">
        <v>599.14</v>
      </c>
      <c r="AF118">
        <v>43.04</v>
      </c>
      <c r="AG118">
        <v>53.63</v>
      </c>
      <c r="AH118">
        <v>46.14</v>
      </c>
      <c r="AI118">
        <v>48.3</v>
      </c>
    </row>
    <row r="119" spans="1:35" x14ac:dyDescent="0.45">
      <c r="A119" s="2">
        <v>45813</v>
      </c>
      <c r="B119">
        <v>28.29</v>
      </c>
      <c r="C119">
        <v>32.17</v>
      </c>
      <c r="D119">
        <v>18.559999999999999</v>
      </c>
      <c r="E119">
        <v>27.96</v>
      </c>
      <c r="F119">
        <v>29.75</v>
      </c>
      <c r="G119">
        <v>48.796100000000003</v>
      </c>
      <c r="H119">
        <v>24.31</v>
      </c>
      <c r="I119">
        <v>53.74</v>
      </c>
      <c r="J119">
        <v>60.72</v>
      </c>
      <c r="K119">
        <v>65.36</v>
      </c>
      <c r="L119">
        <v>27.6</v>
      </c>
      <c r="M119">
        <v>54.03</v>
      </c>
      <c r="N119">
        <v>55.77</v>
      </c>
      <c r="O119">
        <v>54.18</v>
      </c>
      <c r="P119">
        <v>54.99</v>
      </c>
      <c r="Q119">
        <v>18.78</v>
      </c>
      <c r="R119">
        <v>1164.01</v>
      </c>
      <c r="S119">
        <v>31.44</v>
      </c>
      <c r="T119">
        <v>18.61</v>
      </c>
      <c r="U119">
        <v>13.74</v>
      </c>
      <c r="V119">
        <v>38.479999999999997</v>
      </c>
      <c r="W119">
        <v>45.53</v>
      </c>
      <c r="X119">
        <v>26.36</v>
      </c>
      <c r="Y119">
        <v>45.32</v>
      </c>
      <c r="Z119">
        <v>42.57</v>
      </c>
      <c r="AA119">
        <v>73.39</v>
      </c>
      <c r="AB119">
        <v>55.47</v>
      </c>
      <c r="AC119">
        <v>40.22</v>
      </c>
      <c r="AD119">
        <v>524.79</v>
      </c>
      <c r="AE119">
        <v>593.04999999999995</v>
      </c>
      <c r="AF119">
        <v>43.04</v>
      </c>
      <c r="AG119">
        <v>53.36</v>
      </c>
      <c r="AH119">
        <v>46.17</v>
      </c>
      <c r="AI119">
        <v>47.98</v>
      </c>
    </row>
    <row r="120" spans="1:35" x14ac:dyDescent="0.45">
      <c r="A120" s="2">
        <v>45812</v>
      </c>
      <c r="B120">
        <v>28.18</v>
      </c>
      <c r="C120">
        <v>31.88</v>
      </c>
      <c r="D120">
        <v>18.45</v>
      </c>
      <c r="E120">
        <v>27.66</v>
      </c>
      <c r="F120">
        <v>30.22</v>
      </c>
      <c r="G120">
        <v>48.064999999999998</v>
      </c>
      <c r="H120">
        <v>24.14</v>
      </c>
      <c r="I120">
        <v>53.96</v>
      </c>
      <c r="J120">
        <v>60.25</v>
      </c>
      <c r="K120">
        <v>63.98</v>
      </c>
      <c r="L120">
        <v>27.44</v>
      </c>
      <c r="M120">
        <v>53.46</v>
      </c>
      <c r="N120">
        <v>55.24</v>
      </c>
      <c r="O120">
        <v>53.92</v>
      </c>
      <c r="P120">
        <v>54.79</v>
      </c>
      <c r="Q120">
        <v>18.91</v>
      </c>
      <c r="R120">
        <v>1160.74</v>
      </c>
      <c r="S120">
        <v>31.36</v>
      </c>
      <c r="T120">
        <v>18.59</v>
      </c>
      <c r="U120">
        <v>13.86</v>
      </c>
      <c r="V120">
        <v>38.380000000000003</v>
      </c>
      <c r="W120">
        <v>45.25</v>
      </c>
      <c r="X120">
        <v>26.33</v>
      </c>
      <c r="Y120">
        <v>45.25</v>
      </c>
      <c r="Z120">
        <v>42.46</v>
      </c>
      <c r="AA120">
        <v>74.08</v>
      </c>
      <c r="AB120">
        <v>55.56</v>
      </c>
      <c r="AC120">
        <v>40.19</v>
      </c>
      <c r="AD120">
        <v>528.77</v>
      </c>
      <c r="AE120">
        <v>595.92999999999995</v>
      </c>
      <c r="AF120">
        <v>43.08</v>
      </c>
      <c r="AG120">
        <v>53.23</v>
      </c>
      <c r="AH120">
        <v>45.93</v>
      </c>
      <c r="AI120">
        <v>47.74</v>
      </c>
    </row>
    <row r="121" spans="1:35" x14ac:dyDescent="0.45">
      <c r="A121" s="2">
        <v>45811</v>
      </c>
      <c r="B121">
        <v>27.96</v>
      </c>
      <c r="C121">
        <v>31.58</v>
      </c>
      <c r="D121">
        <v>18.420000000000002</v>
      </c>
      <c r="E121">
        <v>27.78</v>
      </c>
      <c r="F121">
        <v>29.92</v>
      </c>
      <c r="G121">
        <v>47.95</v>
      </c>
      <c r="H121">
        <v>24.09</v>
      </c>
      <c r="I121">
        <v>53.15</v>
      </c>
      <c r="J121">
        <v>60.39</v>
      </c>
      <c r="K121">
        <v>61.89</v>
      </c>
      <c r="L121">
        <v>27.58</v>
      </c>
      <c r="M121">
        <v>53.13</v>
      </c>
      <c r="N121">
        <v>55.29</v>
      </c>
      <c r="O121">
        <v>53.96</v>
      </c>
      <c r="P121">
        <v>53.76</v>
      </c>
      <c r="Q121">
        <v>19.079999999999998</v>
      </c>
      <c r="R121">
        <v>1163.42</v>
      </c>
      <c r="S121">
        <v>30.84</v>
      </c>
      <c r="T121">
        <v>18.59</v>
      </c>
      <c r="U121">
        <v>13.96</v>
      </c>
      <c r="V121">
        <v>38</v>
      </c>
      <c r="W121">
        <v>44.61</v>
      </c>
      <c r="X121">
        <v>26.07</v>
      </c>
      <c r="Y121">
        <v>45.34</v>
      </c>
      <c r="Z121">
        <v>42.12</v>
      </c>
      <c r="AA121">
        <v>74.13</v>
      </c>
      <c r="AB121">
        <v>55.03</v>
      </c>
      <c r="AC121">
        <v>40.06</v>
      </c>
      <c r="AD121">
        <v>527.29999999999995</v>
      </c>
      <c r="AE121">
        <v>596.09</v>
      </c>
      <c r="AF121">
        <v>42.84</v>
      </c>
      <c r="AG121">
        <v>52.95</v>
      </c>
      <c r="AH121">
        <v>45.2</v>
      </c>
      <c r="AI121">
        <v>47.87</v>
      </c>
    </row>
    <row r="122" spans="1:35" x14ac:dyDescent="0.45">
      <c r="A122" s="2">
        <v>45810</v>
      </c>
      <c r="B122">
        <v>27.72</v>
      </c>
      <c r="C122">
        <v>31.53</v>
      </c>
      <c r="D122">
        <v>18.559999999999999</v>
      </c>
      <c r="E122">
        <v>27.6</v>
      </c>
      <c r="F122">
        <v>30.49</v>
      </c>
      <c r="G122">
        <v>47.72</v>
      </c>
      <c r="H122">
        <v>24.15</v>
      </c>
      <c r="I122">
        <v>52.84</v>
      </c>
      <c r="J122">
        <v>60.64</v>
      </c>
      <c r="K122">
        <v>61.74</v>
      </c>
      <c r="L122">
        <v>27.27</v>
      </c>
      <c r="M122">
        <v>53.27</v>
      </c>
      <c r="N122">
        <v>55.7</v>
      </c>
      <c r="O122">
        <v>54.54</v>
      </c>
      <c r="P122">
        <v>53.26</v>
      </c>
      <c r="Q122">
        <v>18.8</v>
      </c>
      <c r="R122">
        <v>1178.43</v>
      </c>
      <c r="S122">
        <v>30.05</v>
      </c>
      <c r="T122">
        <v>18.45</v>
      </c>
      <c r="U122">
        <v>13.81</v>
      </c>
      <c r="V122">
        <v>38.159999999999997</v>
      </c>
      <c r="W122">
        <v>45.04</v>
      </c>
      <c r="X122">
        <v>26.15</v>
      </c>
      <c r="Y122">
        <v>45.39</v>
      </c>
      <c r="Z122">
        <v>42.34</v>
      </c>
      <c r="AA122">
        <v>75.040000000000006</v>
      </c>
      <c r="AB122">
        <v>55.54</v>
      </c>
      <c r="AC122">
        <v>40.29</v>
      </c>
      <c r="AD122">
        <v>523.21</v>
      </c>
      <c r="AE122">
        <v>592.71</v>
      </c>
      <c r="AF122">
        <v>43.14</v>
      </c>
      <c r="AG122">
        <v>53.285800000000002</v>
      </c>
      <c r="AH122">
        <v>45.62</v>
      </c>
      <c r="AI122">
        <v>48.32</v>
      </c>
    </row>
    <row r="123" spans="1:35" x14ac:dyDescent="0.45">
      <c r="A123" s="2">
        <v>45807</v>
      </c>
      <c r="B123">
        <v>27.67</v>
      </c>
      <c r="C123">
        <v>31.5</v>
      </c>
      <c r="D123">
        <v>18.88</v>
      </c>
      <c r="E123">
        <v>27.24</v>
      </c>
      <c r="F123">
        <v>30.37</v>
      </c>
      <c r="G123">
        <v>46.64</v>
      </c>
      <c r="H123">
        <v>23.96</v>
      </c>
      <c r="I123">
        <v>52.38</v>
      </c>
      <c r="J123">
        <v>60.17</v>
      </c>
      <c r="K123">
        <v>60.63</v>
      </c>
      <c r="L123">
        <v>27.21</v>
      </c>
      <c r="M123">
        <v>52.21</v>
      </c>
      <c r="N123">
        <v>55</v>
      </c>
      <c r="O123">
        <v>54.31</v>
      </c>
      <c r="P123">
        <v>52.82</v>
      </c>
      <c r="Q123">
        <v>18.75</v>
      </c>
      <c r="R123">
        <v>1176.3599999999999</v>
      </c>
      <c r="S123">
        <v>29.99</v>
      </c>
      <c r="T123">
        <v>18.57</v>
      </c>
      <c r="U123">
        <v>13.59</v>
      </c>
      <c r="V123">
        <v>38.33</v>
      </c>
      <c r="W123">
        <v>44.39</v>
      </c>
      <c r="X123">
        <v>25.81</v>
      </c>
      <c r="Y123">
        <v>44.96</v>
      </c>
      <c r="Z123">
        <v>41.97</v>
      </c>
      <c r="AA123">
        <v>74.12</v>
      </c>
      <c r="AB123">
        <v>55.18</v>
      </c>
      <c r="AC123">
        <v>39.92</v>
      </c>
      <c r="AD123">
        <v>519.11</v>
      </c>
      <c r="AE123">
        <v>589.39</v>
      </c>
      <c r="AF123">
        <v>42.49</v>
      </c>
      <c r="AG123">
        <v>52.85</v>
      </c>
      <c r="AH123">
        <v>45.45</v>
      </c>
      <c r="AI123">
        <v>47.77</v>
      </c>
    </row>
    <row r="124" spans="1:35" x14ac:dyDescent="0.45">
      <c r="A124" s="2">
        <v>45806</v>
      </c>
      <c r="B124">
        <v>28.02</v>
      </c>
      <c r="C124">
        <v>32.08</v>
      </c>
      <c r="D124">
        <v>18.95</v>
      </c>
      <c r="E124">
        <v>27.84</v>
      </c>
      <c r="F124">
        <v>30.72</v>
      </c>
      <c r="G124">
        <v>46.613599999999998</v>
      </c>
      <c r="H124">
        <v>24.3</v>
      </c>
      <c r="I124">
        <v>52.87</v>
      </c>
      <c r="J124">
        <v>61.23</v>
      </c>
      <c r="K124">
        <v>61.8</v>
      </c>
      <c r="L124">
        <v>27.7</v>
      </c>
      <c r="M124">
        <v>53.05</v>
      </c>
      <c r="N124">
        <v>55.71</v>
      </c>
      <c r="O124">
        <v>54.59</v>
      </c>
      <c r="P124">
        <v>53.86</v>
      </c>
      <c r="Q124">
        <v>18.829999999999998</v>
      </c>
      <c r="R124">
        <v>1173.3699999999999</v>
      </c>
      <c r="S124">
        <v>30.54</v>
      </c>
      <c r="T124">
        <v>18.59</v>
      </c>
      <c r="U124">
        <v>13.51</v>
      </c>
      <c r="V124">
        <v>38.39</v>
      </c>
      <c r="W124">
        <v>43.97</v>
      </c>
      <c r="X124">
        <v>25.64</v>
      </c>
      <c r="Y124">
        <v>44.78</v>
      </c>
      <c r="Z124">
        <v>41.85</v>
      </c>
      <c r="AA124">
        <v>74.03</v>
      </c>
      <c r="AB124">
        <v>54.9</v>
      </c>
      <c r="AC124">
        <v>39.79</v>
      </c>
      <c r="AD124">
        <v>519.92999999999995</v>
      </c>
      <c r="AE124">
        <v>590.04999999999995</v>
      </c>
      <c r="AF124">
        <v>42.76</v>
      </c>
      <c r="AG124">
        <v>52.94</v>
      </c>
      <c r="AH124">
        <v>45.36</v>
      </c>
      <c r="AI124">
        <v>47.58</v>
      </c>
    </row>
    <row r="125" spans="1:35" x14ac:dyDescent="0.45">
      <c r="A125" s="2">
        <v>45805</v>
      </c>
      <c r="B125">
        <v>27.83</v>
      </c>
      <c r="C125">
        <v>32.17</v>
      </c>
      <c r="D125">
        <v>18.91</v>
      </c>
      <c r="E125">
        <v>27.93</v>
      </c>
      <c r="F125">
        <v>31.25</v>
      </c>
      <c r="G125">
        <v>46.5428</v>
      </c>
      <c r="H125">
        <v>24.47</v>
      </c>
      <c r="I125">
        <v>53.26</v>
      </c>
      <c r="J125">
        <v>60.9</v>
      </c>
      <c r="K125">
        <v>60.75</v>
      </c>
      <c r="L125">
        <v>27.69</v>
      </c>
      <c r="M125">
        <v>52.03</v>
      </c>
      <c r="N125">
        <v>55.85</v>
      </c>
      <c r="O125">
        <v>54.284999999999997</v>
      </c>
      <c r="P125">
        <v>53.33</v>
      </c>
      <c r="Q125">
        <v>18.940000000000001</v>
      </c>
      <c r="R125">
        <v>1179.81</v>
      </c>
      <c r="S125">
        <v>30.56</v>
      </c>
      <c r="T125">
        <v>18.66</v>
      </c>
      <c r="U125">
        <v>13.71</v>
      </c>
      <c r="V125">
        <v>38.6</v>
      </c>
      <c r="W125">
        <v>44.23</v>
      </c>
      <c r="X125">
        <v>25.56</v>
      </c>
      <c r="Y125">
        <v>44.76</v>
      </c>
      <c r="Z125">
        <v>41.77</v>
      </c>
      <c r="AA125">
        <v>73.61</v>
      </c>
      <c r="AB125">
        <v>54.62</v>
      </c>
      <c r="AC125">
        <v>39.67</v>
      </c>
      <c r="AD125">
        <v>518.91</v>
      </c>
      <c r="AE125">
        <v>587.73</v>
      </c>
      <c r="AF125">
        <v>42.47</v>
      </c>
      <c r="AG125">
        <v>52.59</v>
      </c>
      <c r="AH125">
        <v>45.24</v>
      </c>
      <c r="AI125">
        <v>47.55</v>
      </c>
    </row>
    <row r="126" spans="1:35" x14ac:dyDescent="0.45">
      <c r="A126" s="2">
        <v>45804</v>
      </c>
      <c r="B126">
        <v>27.9</v>
      </c>
      <c r="C126">
        <v>32.75</v>
      </c>
      <c r="D126">
        <v>19.04</v>
      </c>
      <c r="E126">
        <v>27.78</v>
      </c>
      <c r="F126">
        <v>30.82</v>
      </c>
      <c r="G126">
        <v>46.83</v>
      </c>
      <c r="H126">
        <v>24.52</v>
      </c>
      <c r="I126">
        <v>53.58</v>
      </c>
      <c r="J126">
        <v>61.13</v>
      </c>
      <c r="K126">
        <v>59.98</v>
      </c>
      <c r="L126">
        <v>27.99</v>
      </c>
      <c r="M126">
        <v>51.91</v>
      </c>
      <c r="N126">
        <v>55.02</v>
      </c>
      <c r="O126">
        <v>54.53</v>
      </c>
      <c r="P126">
        <v>54.04</v>
      </c>
      <c r="Q126">
        <v>18.91</v>
      </c>
      <c r="R126">
        <v>1189.1400000000001</v>
      </c>
      <c r="S126">
        <v>30.86</v>
      </c>
      <c r="T126">
        <v>18.62</v>
      </c>
      <c r="U126">
        <v>13.585000000000001</v>
      </c>
      <c r="V126">
        <v>38.21</v>
      </c>
      <c r="W126">
        <v>45.38</v>
      </c>
      <c r="X126">
        <v>25.87</v>
      </c>
      <c r="Y126">
        <v>44.82</v>
      </c>
      <c r="Z126">
        <v>42.31</v>
      </c>
      <c r="AA126">
        <v>74.95</v>
      </c>
      <c r="AB126">
        <v>55.2</v>
      </c>
      <c r="AC126">
        <v>40.07</v>
      </c>
      <c r="AD126">
        <v>521.22</v>
      </c>
      <c r="AE126">
        <v>591.15</v>
      </c>
      <c r="AF126">
        <v>42.92</v>
      </c>
      <c r="AG126">
        <v>53</v>
      </c>
      <c r="AH126">
        <v>45.55</v>
      </c>
      <c r="AI126">
        <v>47.66</v>
      </c>
    </row>
    <row r="127" spans="1:35" x14ac:dyDescent="0.45">
      <c r="A127" s="2">
        <v>45800</v>
      </c>
      <c r="B127">
        <v>28.2</v>
      </c>
      <c r="C127">
        <v>32.85</v>
      </c>
      <c r="D127">
        <v>19.16</v>
      </c>
      <c r="E127">
        <v>27.81</v>
      </c>
      <c r="F127">
        <v>29.85</v>
      </c>
      <c r="G127">
        <v>46.76</v>
      </c>
      <c r="H127">
        <v>24.58</v>
      </c>
      <c r="I127">
        <v>53.52</v>
      </c>
      <c r="J127">
        <v>60.67</v>
      </c>
      <c r="K127">
        <v>58.96</v>
      </c>
      <c r="L127">
        <v>27.65</v>
      </c>
      <c r="M127">
        <v>52.52</v>
      </c>
      <c r="N127">
        <v>53.23</v>
      </c>
      <c r="O127">
        <v>54.58</v>
      </c>
      <c r="P127">
        <v>54.78</v>
      </c>
      <c r="Q127">
        <v>19.149999999999999</v>
      </c>
      <c r="R127">
        <v>1187.06</v>
      </c>
      <c r="S127">
        <v>31.24</v>
      </c>
      <c r="T127">
        <v>18.45</v>
      </c>
      <c r="U127">
        <v>13.14</v>
      </c>
      <c r="V127">
        <v>39.17</v>
      </c>
      <c r="W127">
        <v>45.36</v>
      </c>
      <c r="X127">
        <v>25.65</v>
      </c>
      <c r="Y127">
        <v>44.44</v>
      </c>
      <c r="Z127">
        <v>41.26</v>
      </c>
      <c r="AA127">
        <v>73.03</v>
      </c>
      <c r="AB127">
        <v>55.03</v>
      </c>
      <c r="AC127">
        <v>39.880000000000003</v>
      </c>
      <c r="AD127">
        <v>509.24</v>
      </c>
      <c r="AE127">
        <v>579.11</v>
      </c>
      <c r="AF127">
        <v>42.4</v>
      </c>
      <c r="AG127">
        <v>52.26</v>
      </c>
      <c r="AH127">
        <v>45.32</v>
      </c>
      <c r="AI127">
        <v>46.96</v>
      </c>
    </row>
    <row r="128" spans="1:35" x14ac:dyDescent="0.45">
      <c r="A128" s="2">
        <v>45799</v>
      </c>
      <c r="B128">
        <v>28.3</v>
      </c>
      <c r="C128">
        <v>32.634999999999998</v>
      </c>
      <c r="D128">
        <v>18.91</v>
      </c>
      <c r="E128">
        <v>27.27</v>
      </c>
      <c r="F128">
        <v>29.99</v>
      </c>
      <c r="G128">
        <v>45.76</v>
      </c>
      <c r="H128">
        <v>24.24</v>
      </c>
      <c r="I128">
        <v>53.7</v>
      </c>
      <c r="J128">
        <v>59.83</v>
      </c>
      <c r="K128">
        <v>58.29</v>
      </c>
      <c r="L128">
        <v>27.52</v>
      </c>
      <c r="M128">
        <v>51.43</v>
      </c>
      <c r="N128">
        <v>53.88</v>
      </c>
      <c r="O128">
        <v>53.79</v>
      </c>
      <c r="P128">
        <v>54.75</v>
      </c>
      <c r="Q128">
        <v>19.11</v>
      </c>
      <c r="R128">
        <v>1195.77</v>
      </c>
      <c r="S128">
        <v>31.7</v>
      </c>
      <c r="T128">
        <v>18.53</v>
      </c>
      <c r="U128">
        <v>13.17</v>
      </c>
      <c r="V128">
        <v>39.28</v>
      </c>
      <c r="W128">
        <v>45.08</v>
      </c>
      <c r="X128">
        <v>25.41</v>
      </c>
      <c r="Y128">
        <v>44</v>
      </c>
      <c r="Z128">
        <v>41.64</v>
      </c>
      <c r="AA128">
        <v>72.37</v>
      </c>
      <c r="AB128">
        <v>54.77</v>
      </c>
      <c r="AC128">
        <v>39.53</v>
      </c>
      <c r="AD128">
        <v>514</v>
      </c>
      <c r="AE128">
        <v>583.09</v>
      </c>
      <c r="AF128">
        <v>42.65</v>
      </c>
      <c r="AG128">
        <v>52.54</v>
      </c>
      <c r="AH128">
        <v>45.09</v>
      </c>
      <c r="AI128">
        <v>47.54</v>
      </c>
    </row>
    <row r="129" spans="1:35" x14ac:dyDescent="0.45">
      <c r="A129" s="2">
        <v>45798</v>
      </c>
      <c r="B129">
        <v>28.4</v>
      </c>
      <c r="C129">
        <v>32.69</v>
      </c>
      <c r="D129">
        <v>18.79</v>
      </c>
      <c r="E129">
        <v>27.46</v>
      </c>
      <c r="F129">
        <v>30.09</v>
      </c>
      <c r="G129">
        <v>45.66</v>
      </c>
      <c r="H129">
        <v>24.49</v>
      </c>
      <c r="I129">
        <v>53.72</v>
      </c>
      <c r="J129">
        <v>60.32</v>
      </c>
      <c r="K129">
        <v>59.1</v>
      </c>
      <c r="L129">
        <v>27.67</v>
      </c>
      <c r="M129">
        <v>51.45</v>
      </c>
      <c r="N129">
        <v>54.14</v>
      </c>
      <c r="O129">
        <v>54.03</v>
      </c>
      <c r="P129">
        <v>54.99</v>
      </c>
      <c r="Q129">
        <v>19.18</v>
      </c>
      <c r="R129">
        <v>1194.49</v>
      </c>
      <c r="S129">
        <v>31.42</v>
      </c>
      <c r="T129">
        <v>18.57</v>
      </c>
      <c r="U129">
        <v>13.21</v>
      </c>
      <c r="V129">
        <v>39.299999999999997</v>
      </c>
      <c r="W129">
        <v>45.22</v>
      </c>
      <c r="X129">
        <v>25.41</v>
      </c>
      <c r="Y129">
        <v>43.94</v>
      </c>
      <c r="Z129">
        <v>41.68</v>
      </c>
      <c r="AA129">
        <v>72.31</v>
      </c>
      <c r="AB129">
        <v>55.04</v>
      </c>
      <c r="AC129">
        <v>39.43</v>
      </c>
      <c r="AD129">
        <v>513.04</v>
      </c>
      <c r="AE129">
        <v>582.86</v>
      </c>
      <c r="AF129">
        <v>42.71</v>
      </c>
      <c r="AG129">
        <v>52.48</v>
      </c>
      <c r="AH129">
        <v>45.94</v>
      </c>
      <c r="AI129">
        <v>47.65</v>
      </c>
    </row>
    <row r="130" spans="1:35" x14ac:dyDescent="0.45">
      <c r="A130" s="2">
        <v>45797</v>
      </c>
      <c r="B130">
        <v>28.28</v>
      </c>
      <c r="C130">
        <v>32.75</v>
      </c>
      <c r="D130">
        <v>18.53</v>
      </c>
      <c r="E130">
        <v>27.36</v>
      </c>
      <c r="F130">
        <v>30.77</v>
      </c>
      <c r="G130">
        <v>45.57</v>
      </c>
      <c r="H130">
        <v>24.5</v>
      </c>
      <c r="I130">
        <v>53.48</v>
      </c>
      <c r="J130">
        <v>60.53</v>
      </c>
      <c r="K130">
        <v>58.4</v>
      </c>
      <c r="L130">
        <v>28.16</v>
      </c>
      <c r="M130">
        <v>51.61</v>
      </c>
      <c r="N130">
        <v>53.89</v>
      </c>
      <c r="O130">
        <v>54.07</v>
      </c>
      <c r="P130">
        <v>55.2</v>
      </c>
      <c r="Q130">
        <v>19.059999999999999</v>
      </c>
      <c r="R130">
        <v>1216.71</v>
      </c>
      <c r="S130">
        <v>31.86</v>
      </c>
      <c r="T130">
        <v>18.71</v>
      </c>
      <c r="U130">
        <v>13.09</v>
      </c>
      <c r="V130">
        <v>39.89</v>
      </c>
      <c r="W130">
        <v>45.2</v>
      </c>
      <c r="X130">
        <v>25.63</v>
      </c>
      <c r="Y130">
        <v>44.19</v>
      </c>
      <c r="Z130">
        <v>41.77</v>
      </c>
      <c r="AA130">
        <v>72.989999999999995</v>
      </c>
      <c r="AB130">
        <v>55.17</v>
      </c>
      <c r="AC130">
        <v>39.61</v>
      </c>
      <c r="AD130">
        <v>520.27</v>
      </c>
      <c r="AE130">
        <v>592.85</v>
      </c>
      <c r="AF130">
        <v>43.1</v>
      </c>
      <c r="AG130">
        <v>52.8</v>
      </c>
      <c r="AH130">
        <v>46.35</v>
      </c>
      <c r="AI130">
        <v>47.84</v>
      </c>
    </row>
    <row r="131" spans="1:35" x14ac:dyDescent="0.45">
      <c r="A131" s="2">
        <v>45796</v>
      </c>
      <c r="B131">
        <v>28.14</v>
      </c>
      <c r="C131">
        <v>32.96</v>
      </c>
      <c r="D131">
        <v>18.739999999999998</v>
      </c>
      <c r="E131">
        <v>27.9</v>
      </c>
      <c r="F131">
        <v>30.53</v>
      </c>
      <c r="G131">
        <v>45.16</v>
      </c>
      <c r="H131">
        <v>24.69</v>
      </c>
      <c r="I131">
        <v>53.82</v>
      </c>
      <c r="J131">
        <v>60.57</v>
      </c>
      <c r="K131">
        <v>58.82</v>
      </c>
      <c r="L131">
        <v>28.18</v>
      </c>
      <c r="M131">
        <v>51.08</v>
      </c>
      <c r="N131">
        <v>52.9</v>
      </c>
      <c r="O131">
        <v>54.78</v>
      </c>
      <c r="P131">
        <v>54.7</v>
      </c>
      <c r="Q131">
        <v>19.05</v>
      </c>
      <c r="R131">
        <v>1214.3900000000001</v>
      </c>
      <c r="S131">
        <v>32.49</v>
      </c>
      <c r="T131">
        <v>18.649999999999999</v>
      </c>
      <c r="U131">
        <v>12.865</v>
      </c>
      <c r="V131">
        <v>39.909999999999997</v>
      </c>
      <c r="W131">
        <v>45.15</v>
      </c>
      <c r="X131">
        <v>25.63</v>
      </c>
      <c r="Y131">
        <v>44.05</v>
      </c>
      <c r="Z131">
        <v>41.56</v>
      </c>
      <c r="AA131">
        <v>72.569999999999993</v>
      </c>
      <c r="AB131">
        <v>55.02</v>
      </c>
      <c r="AC131">
        <v>39.33</v>
      </c>
      <c r="AD131">
        <v>522.01</v>
      </c>
      <c r="AE131">
        <v>594.85</v>
      </c>
      <c r="AF131">
        <v>42.73</v>
      </c>
      <c r="AG131">
        <v>52.645000000000003</v>
      </c>
      <c r="AH131">
        <v>46.19</v>
      </c>
      <c r="AI131">
        <v>47.3</v>
      </c>
    </row>
    <row r="132" spans="1:35" x14ac:dyDescent="0.45">
      <c r="A132" s="2">
        <v>45793</v>
      </c>
      <c r="B132">
        <v>28.24</v>
      </c>
      <c r="C132">
        <v>32.61</v>
      </c>
      <c r="D132">
        <v>18.39</v>
      </c>
      <c r="E132">
        <v>27.69</v>
      </c>
      <c r="F132">
        <v>30.32</v>
      </c>
      <c r="G132">
        <v>44.57</v>
      </c>
      <c r="H132">
        <v>24.87</v>
      </c>
      <c r="I132">
        <v>54.01</v>
      </c>
      <c r="J132">
        <v>59.51</v>
      </c>
      <c r="K132">
        <v>58.79</v>
      </c>
      <c r="L132">
        <v>28</v>
      </c>
      <c r="M132">
        <v>51.24</v>
      </c>
      <c r="N132">
        <v>52.5</v>
      </c>
      <c r="O132">
        <v>54.66</v>
      </c>
      <c r="P132">
        <v>54.42</v>
      </c>
      <c r="Q132">
        <v>18.88</v>
      </c>
      <c r="R132">
        <v>1210.94</v>
      </c>
      <c r="S132">
        <v>32.43</v>
      </c>
      <c r="T132">
        <v>18.48</v>
      </c>
      <c r="U132">
        <v>12.75</v>
      </c>
      <c r="V132">
        <v>40.19</v>
      </c>
      <c r="W132">
        <v>45.41</v>
      </c>
      <c r="X132">
        <v>25.47</v>
      </c>
      <c r="Y132">
        <v>43.89</v>
      </c>
      <c r="Z132">
        <v>40.85</v>
      </c>
      <c r="AA132">
        <v>72.489999999999995</v>
      </c>
      <c r="AB132">
        <v>54.41</v>
      </c>
      <c r="AC132">
        <v>38.9</v>
      </c>
      <c r="AD132">
        <v>521.51</v>
      </c>
      <c r="AE132">
        <v>594.20000000000005</v>
      </c>
      <c r="AF132">
        <v>42.25</v>
      </c>
      <c r="AG132">
        <v>52.19</v>
      </c>
      <c r="AH132">
        <v>45.61</v>
      </c>
      <c r="AI132">
        <v>46.85</v>
      </c>
    </row>
    <row r="133" spans="1:35" x14ac:dyDescent="0.45">
      <c r="A133" s="2">
        <v>45792</v>
      </c>
      <c r="B133">
        <v>28.25</v>
      </c>
      <c r="C133">
        <v>33.07</v>
      </c>
      <c r="D133">
        <v>18.27</v>
      </c>
      <c r="E133">
        <v>27.62</v>
      </c>
      <c r="F133">
        <v>30.49</v>
      </c>
      <c r="G133">
        <v>45.06</v>
      </c>
      <c r="H133">
        <v>25.08</v>
      </c>
      <c r="I133">
        <v>53.99</v>
      </c>
      <c r="J133">
        <v>59.26</v>
      </c>
      <c r="K133">
        <v>58.8</v>
      </c>
      <c r="L133">
        <v>28.01</v>
      </c>
      <c r="M133">
        <v>51.09</v>
      </c>
      <c r="N133">
        <v>52.15</v>
      </c>
      <c r="O133">
        <v>54.77</v>
      </c>
      <c r="P133">
        <v>54.57</v>
      </c>
      <c r="Q133">
        <v>18.84</v>
      </c>
      <c r="R133">
        <v>1206.5899999999999</v>
      </c>
      <c r="S133">
        <v>31.91</v>
      </c>
      <c r="T133">
        <v>18.3</v>
      </c>
      <c r="U133">
        <v>12.81</v>
      </c>
      <c r="V133">
        <v>40.130000000000003</v>
      </c>
      <c r="W133">
        <v>45.6</v>
      </c>
      <c r="X133">
        <v>25.55</v>
      </c>
      <c r="Y133">
        <v>43.83</v>
      </c>
      <c r="Z133">
        <v>40.86</v>
      </c>
      <c r="AA133">
        <v>72.3</v>
      </c>
      <c r="AB133">
        <v>54.02</v>
      </c>
      <c r="AC133">
        <v>38.799999999999997</v>
      </c>
      <c r="AD133">
        <v>519.25</v>
      </c>
      <c r="AE133">
        <v>590.46</v>
      </c>
      <c r="AF133">
        <v>42.09</v>
      </c>
      <c r="AG133">
        <v>52.25</v>
      </c>
      <c r="AH133">
        <v>45.62</v>
      </c>
      <c r="AI133">
        <v>46.53</v>
      </c>
    </row>
    <row r="134" spans="1:35" x14ac:dyDescent="0.45">
      <c r="A134" s="2">
        <v>45791</v>
      </c>
      <c r="B134">
        <v>28.58</v>
      </c>
      <c r="C134">
        <v>33.24</v>
      </c>
      <c r="D134">
        <v>17.97</v>
      </c>
      <c r="E134">
        <v>28.01</v>
      </c>
      <c r="F134">
        <v>30.68</v>
      </c>
      <c r="G134">
        <v>44.95</v>
      </c>
      <c r="H134">
        <v>25.07</v>
      </c>
      <c r="I134">
        <v>53.77</v>
      </c>
      <c r="J134">
        <v>59.36</v>
      </c>
      <c r="K134">
        <v>58.61</v>
      </c>
      <c r="L134">
        <v>28.2</v>
      </c>
      <c r="M134">
        <v>50.22</v>
      </c>
      <c r="N134">
        <v>52.22</v>
      </c>
      <c r="O134">
        <v>53.97</v>
      </c>
      <c r="P134">
        <v>55.6</v>
      </c>
      <c r="Q134">
        <v>18.829999999999998</v>
      </c>
      <c r="R134">
        <v>1220.27</v>
      </c>
      <c r="S134">
        <v>32.479999999999997</v>
      </c>
      <c r="T134">
        <v>18.16</v>
      </c>
      <c r="U134">
        <v>12.82</v>
      </c>
      <c r="V134">
        <v>40.21</v>
      </c>
      <c r="W134">
        <v>45.33</v>
      </c>
      <c r="X134">
        <v>25.16</v>
      </c>
      <c r="Y134">
        <v>43.44</v>
      </c>
      <c r="Z134">
        <v>40.340000000000003</v>
      </c>
      <c r="AA134">
        <v>71.45</v>
      </c>
      <c r="AB134">
        <v>52.94</v>
      </c>
      <c r="AC134">
        <v>38.25</v>
      </c>
      <c r="AD134">
        <v>518.67999999999995</v>
      </c>
      <c r="AE134">
        <v>587.59</v>
      </c>
      <c r="AF134">
        <v>41.88</v>
      </c>
      <c r="AG134">
        <v>52.2</v>
      </c>
      <c r="AH134">
        <v>45.11</v>
      </c>
      <c r="AI134">
        <v>46.26</v>
      </c>
    </row>
    <row r="135" spans="1:35" x14ac:dyDescent="0.45">
      <c r="A135" s="2">
        <v>45790</v>
      </c>
      <c r="B135">
        <v>28.34</v>
      </c>
      <c r="C135">
        <v>32.56</v>
      </c>
      <c r="D135">
        <v>17.54</v>
      </c>
      <c r="E135">
        <v>28.06</v>
      </c>
      <c r="F135">
        <v>30.8</v>
      </c>
      <c r="G135">
        <v>45.11</v>
      </c>
      <c r="H135">
        <v>24.87</v>
      </c>
      <c r="I135">
        <v>53.28</v>
      </c>
      <c r="J135">
        <v>59.08</v>
      </c>
      <c r="K135">
        <v>58.12</v>
      </c>
      <c r="L135">
        <v>28.33</v>
      </c>
      <c r="M135">
        <v>50.41</v>
      </c>
      <c r="N135">
        <v>52.07</v>
      </c>
      <c r="O135">
        <v>54.01</v>
      </c>
      <c r="P135">
        <v>54.7</v>
      </c>
      <c r="Q135">
        <v>18.755299999999998</v>
      </c>
      <c r="R135">
        <v>1187.8599999999999</v>
      </c>
      <c r="S135">
        <v>32.46</v>
      </c>
      <c r="T135">
        <v>18.36</v>
      </c>
      <c r="U135">
        <v>12.74</v>
      </c>
      <c r="V135">
        <v>40.299999999999997</v>
      </c>
      <c r="W135">
        <v>45.62</v>
      </c>
      <c r="X135">
        <v>25.42</v>
      </c>
      <c r="Y135">
        <v>43.4</v>
      </c>
      <c r="Z135">
        <v>40.590000000000003</v>
      </c>
      <c r="AA135">
        <v>72.25</v>
      </c>
      <c r="AB135">
        <v>53.19</v>
      </c>
      <c r="AC135">
        <v>38.42</v>
      </c>
      <c r="AD135">
        <v>515.59</v>
      </c>
      <c r="AE135">
        <v>586.84</v>
      </c>
      <c r="AF135">
        <v>42.1</v>
      </c>
      <c r="AG135">
        <v>52.04</v>
      </c>
      <c r="AH135">
        <v>45.23</v>
      </c>
      <c r="AI135">
        <v>46</v>
      </c>
    </row>
    <row r="136" spans="1:35" x14ac:dyDescent="0.45">
      <c r="A136" s="2">
        <v>45789</v>
      </c>
      <c r="B136">
        <v>28.45</v>
      </c>
      <c r="C136">
        <v>32.35</v>
      </c>
      <c r="D136">
        <v>17.399999999999999</v>
      </c>
      <c r="E136">
        <v>27.75</v>
      </c>
      <c r="F136">
        <v>30.5</v>
      </c>
      <c r="G136">
        <v>44.74</v>
      </c>
      <c r="H136">
        <v>24.5</v>
      </c>
      <c r="I136">
        <v>52.95</v>
      </c>
      <c r="J136">
        <v>57.84</v>
      </c>
      <c r="K136">
        <v>58.04</v>
      </c>
      <c r="L136">
        <v>27.49</v>
      </c>
      <c r="M136">
        <v>50.19</v>
      </c>
      <c r="N136">
        <v>51.6</v>
      </c>
      <c r="O136">
        <v>54.32</v>
      </c>
      <c r="P136">
        <v>55.06</v>
      </c>
      <c r="Q136">
        <v>18.7</v>
      </c>
      <c r="R136">
        <v>1198.98</v>
      </c>
      <c r="S136">
        <v>32.619999999999997</v>
      </c>
      <c r="T136">
        <v>18.13</v>
      </c>
      <c r="U136">
        <v>12.69</v>
      </c>
      <c r="V136">
        <v>40.04</v>
      </c>
      <c r="W136">
        <v>44.75</v>
      </c>
      <c r="X136">
        <v>25.18</v>
      </c>
      <c r="Y136">
        <v>43.08</v>
      </c>
      <c r="Z136">
        <v>40.380000000000003</v>
      </c>
      <c r="AA136">
        <v>72.8</v>
      </c>
      <c r="AB136">
        <v>53.53</v>
      </c>
      <c r="AC136">
        <v>38.24</v>
      </c>
      <c r="AD136">
        <v>507.85</v>
      </c>
      <c r="AE136">
        <v>582.99</v>
      </c>
      <c r="AF136">
        <v>41.81</v>
      </c>
      <c r="AG136">
        <v>51.6</v>
      </c>
      <c r="AH136">
        <v>45.09</v>
      </c>
      <c r="AI136">
        <v>45.66</v>
      </c>
    </row>
    <row r="137" spans="1:35" x14ac:dyDescent="0.45">
      <c r="A137" s="2">
        <v>45786</v>
      </c>
      <c r="B137">
        <v>27.78</v>
      </c>
      <c r="C137">
        <v>32.200000000000003</v>
      </c>
      <c r="D137">
        <v>17.41</v>
      </c>
      <c r="E137">
        <v>27.62</v>
      </c>
      <c r="F137">
        <v>30.88</v>
      </c>
      <c r="G137">
        <v>45.330300000000001</v>
      </c>
      <c r="H137">
        <v>24.45</v>
      </c>
      <c r="I137">
        <v>51.75</v>
      </c>
      <c r="J137">
        <v>58.12</v>
      </c>
      <c r="K137">
        <v>57.69</v>
      </c>
      <c r="L137">
        <v>27.56</v>
      </c>
      <c r="M137">
        <v>50.64</v>
      </c>
      <c r="N137">
        <v>51.048299999999998</v>
      </c>
      <c r="O137">
        <v>52.39</v>
      </c>
      <c r="P137">
        <v>53.25</v>
      </c>
      <c r="Q137">
        <v>18.690000000000001</v>
      </c>
      <c r="R137">
        <v>1197.26</v>
      </c>
      <c r="S137">
        <v>31.41</v>
      </c>
      <c r="T137">
        <v>18.149999999999999</v>
      </c>
      <c r="U137">
        <v>12.49</v>
      </c>
      <c r="V137">
        <v>39.54</v>
      </c>
      <c r="W137">
        <v>45.17</v>
      </c>
      <c r="X137">
        <v>25.01</v>
      </c>
      <c r="Y137">
        <v>42.85</v>
      </c>
      <c r="Z137">
        <v>40.770000000000003</v>
      </c>
      <c r="AA137">
        <v>72.010000000000005</v>
      </c>
      <c r="AB137">
        <v>53.58</v>
      </c>
      <c r="AC137">
        <v>38.29</v>
      </c>
      <c r="AD137">
        <v>487.97</v>
      </c>
      <c r="AE137">
        <v>564.34</v>
      </c>
      <c r="AF137">
        <v>41.68</v>
      </c>
      <c r="AG137">
        <v>50.79</v>
      </c>
      <c r="AH137">
        <v>44.38</v>
      </c>
      <c r="AI137">
        <v>45.81</v>
      </c>
    </row>
    <row r="138" spans="1:35" x14ac:dyDescent="0.45">
      <c r="A138" s="2">
        <v>45785</v>
      </c>
      <c r="B138">
        <v>27.85</v>
      </c>
      <c r="C138">
        <v>32.15</v>
      </c>
      <c r="D138">
        <v>17.45</v>
      </c>
      <c r="E138">
        <v>27.16</v>
      </c>
      <c r="F138">
        <v>29.94</v>
      </c>
      <c r="G138">
        <v>45.02</v>
      </c>
      <c r="H138">
        <v>24.31</v>
      </c>
      <c r="I138">
        <v>51.16</v>
      </c>
      <c r="J138">
        <v>58.11</v>
      </c>
      <c r="K138">
        <v>57.2</v>
      </c>
      <c r="L138">
        <v>27.48</v>
      </c>
      <c r="M138">
        <v>49.85</v>
      </c>
      <c r="N138">
        <v>50.26</v>
      </c>
      <c r="O138">
        <v>51.54</v>
      </c>
      <c r="P138">
        <v>53.45</v>
      </c>
      <c r="Q138">
        <v>18.614999999999998</v>
      </c>
      <c r="R138">
        <v>1171.1199999999999</v>
      </c>
      <c r="S138">
        <v>31.19</v>
      </c>
      <c r="T138">
        <v>18.14</v>
      </c>
      <c r="U138">
        <v>12.6</v>
      </c>
      <c r="V138">
        <v>39.44</v>
      </c>
      <c r="W138">
        <v>44.23</v>
      </c>
      <c r="X138">
        <v>24.83</v>
      </c>
      <c r="Y138">
        <v>42.81</v>
      </c>
      <c r="Z138">
        <v>40.46</v>
      </c>
      <c r="AA138">
        <v>71.83</v>
      </c>
      <c r="AB138">
        <v>53.58</v>
      </c>
      <c r="AC138">
        <v>38.11</v>
      </c>
      <c r="AD138">
        <v>488.29</v>
      </c>
      <c r="AE138">
        <v>565.05999999999995</v>
      </c>
      <c r="AF138">
        <v>41.32</v>
      </c>
      <c r="AG138">
        <v>50.32</v>
      </c>
      <c r="AH138">
        <v>44.26</v>
      </c>
      <c r="AI138">
        <v>45.36</v>
      </c>
    </row>
    <row r="139" spans="1:35" x14ac:dyDescent="0.45">
      <c r="A139" s="2">
        <v>45784</v>
      </c>
      <c r="B139">
        <v>27.58</v>
      </c>
      <c r="C139">
        <v>31.75</v>
      </c>
      <c r="D139">
        <v>17.71</v>
      </c>
      <c r="E139">
        <v>27.56</v>
      </c>
      <c r="F139">
        <v>29.66</v>
      </c>
      <c r="G139">
        <v>44.79</v>
      </c>
      <c r="H139">
        <v>24.68</v>
      </c>
      <c r="I139">
        <v>51</v>
      </c>
      <c r="J139">
        <v>59.09</v>
      </c>
      <c r="K139">
        <v>57.79</v>
      </c>
      <c r="L139">
        <v>26.4</v>
      </c>
      <c r="M139">
        <v>50.23</v>
      </c>
      <c r="N139">
        <v>50.37</v>
      </c>
      <c r="O139">
        <v>53.22</v>
      </c>
      <c r="P139">
        <v>52.69</v>
      </c>
      <c r="Q139">
        <v>18.510000000000002</v>
      </c>
      <c r="R139">
        <v>1159.53</v>
      </c>
      <c r="S139">
        <v>30.31</v>
      </c>
      <c r="T139">
        <v>18.18</v>
      </c>
      <c r="U139">
        <v>12.42</v>
      </c>
      <c r="V139">
        <v>39.53</v>
      </c>
      <c r="W139">
        <v>44.56</v>
      </c>
      <c r="X139">
        <v>24.89</v>
      </c>
      <c r="Y139">
        <v>42.89</v>
      </c>
      <c r="Z139">
        <v>40.44</v>
      </c>
      <c r="AA139">
        <v>71.98</v>
      </c>
      <c r="AB139">
        <v>54.15</v>
      </c>
      <c r="AC139">
        <v>38.43</v>
      </c>
      <c r="AD139">
        <v>483.3</v>
      </c>
      <c r="AE139">
        <v>561.15</v>
      </c>
      <c r="AF139">
        <v>41.32</v>
      </c>
      <c r="AG139">
        <v>50.21</v>
      </c>
      <c r="AH139">
        <v>44.38</v>
      </c>
      <c r="AI139">
        <v>44.99</v>
      </c>
    </row>
    <row r="140" spans="1:35" x14ac:dyDescent="0.45">
      <c r="A140" s="2">
        <v>45783</v>
      </c>
      <c r="B140">
        <v>27.82</v>
      </c>
      <c r="C140">
        <v>31.62</v>
      </c>
      <c r="D140">
        <v>17.739999999999998</v>
      </c>
      <c r="E140">
        <v>27.35</v>
      </c>
      <c r="F140">
        <v>29.48</v>
      </c>
      <c r="G140">
        <v>45.45</v>
      </c>
      <c r="H140">
        <v>24.64</v>
      </c>
      <c r="I140">
        <v>51.56</v>
      </c>
      <c r="J140">
        <v>58.39</v>
      </c>
      <c r="K140">
        <v>58.5</v>
      </c>
      <c r="L140">
        <v>26.61</v>
      </c>
      <c r="M140">
        <v>50.71</v>
      </c>
      <c r="N140">
        <v>50.13</v>
      </c>
      <c r="O140">
        <v>53.68</v>
      </c>
      <c r="P140">
        <v>53.95</v>
      </c>
      <c r="Q140">
        <v>18.55</v>
      </c>
      <c r="R140">
        <v>1159</v>
      </c>
      <c r="S140">
        <v>30.76</v>
      </c>
      <c r="T140">
        <v>18.309999999999999</v>
      </c>
      <c r="U140">
        <v>12.22</v>
      </c>
      <c r="V140">
        <v>39.72</v>
      </c>
      <c r="W140">
        <v>44.82</v>
      </c>
      <c r="X140">
        <v>25.05</v>
      </c>
      <c r="Y140">
        <v>42.77</v>
      </c>
      <c r="Z140">
        <v>40.67</v>
      </c>
      <c r="AA140">
        <v>72.430000000000007</v>
      </c>
      <c r="AB140">
        <v>54.34</v>
      </c>
      <c r="AC140">
        <v>38.57</v>
      </c>
      <c r="AD140">
        <v>481.41</v>
      </c>
      <c r="AE140">
        <v>558.79999999999995</v>
      </c>
      <c r="AF140">
        <v>41.62</v>
      </c>
      <c r="AG140">
        <v>49.98</v>
      </c>
      <c r="AH140">
        <v>44.18</v>
      </c>
      <c r="AI140">
        <v>45.22</v>
      </c>
    </row>
    <row r="141" spans="1:35" x14ac:dyDescent="0.45">
      <c r="A141" s="2">
        <v>45782</v>
      </c>
      <c r="B141">
        <v>27.7</v>
      </c>
      <c r="C141">
        <v>31.58</v>
      </c>
      <c r="D141">
        <v>17.649999999999999</v>
      </c>
      <c r="E141">
        <v>27.03</v>
      </c>
      <c r="F141">
        <v>29.83</v>
      </c>
      <c r="G141">
        <v>44.700299999999999</v>
      </c>
      <c r="H141">
        <v>24.86</v>
      </c>
      <c r="I141">
        <v>52.96</v>
      </c>
      <c r="J141">
        <v>56.68</v>
      </c>
      <c r="K141">
        <v>58.38</v>
      </c>
      <c r="L141">
        <v>26.71</v>
      </c>
      <c r="M141">
        <v>50.44</v>
      </c>
      <c r="N141">
        <v>50.44</v>
      </c>
      <c r="O141">
        <v>54.32</v>
      </c>
      <c r="P141">
        <v>53.4</v>
      </c>
      <c r="Q141">
        <v>18.55</v>
      </c>
      <c r="R141">
        <v>1146.8599999999999</v>
      </c>
      <c r="S141">
        <v>30.7</v>
      </c>
      <c r="T141">
        <v>18.23</v>
      </c>
      <c r="U141">
        <v>12.27</v>
      </c>
      <c r="V141">
        <v>39.71</v>
      </c>
      <c r="W141">
        <v>44.49</v>
      </c>
      <c r="X141">
        <v>24.99</v>
      </c>
      <c r="Y141">
        <v>42.66</v>
      </c>
      <c r="Z141">
        <v>40.72</v>
      </c>
      <c r="AA141">
        <v>72.39</v>
      </c>
      <c r="AB141">
        <v>54.64</v>
      </c>
      <c r="AC141">
        <v>38.64</v>
      </c>
      <c r="AD141">
        <v>485.93</v>
      </c>
      <c r="AE141">
        <v>563.51</v>
      </c>
      <c r="AF141">
        <v>41.84</v>
      </c>
      <c r="AG141">
        <v>50.14</v>
      </c>
      <c r="AH141">
        <v>44.28</v>
      </c>
      <c r="AI141">
        <v>45.07</v>
      </c>
    </row>
    <row r="142" spans="1:35" x14ac:dyDescent="0.45">
      <c r="A142" s="2">
        <v>45779</v>
      </c>
      <c r="B142">
        <v>27.66</v>
      </c>
      <c r="C142">
        <v>31.35</v>
      </c>
      <c r="D142">
        <v>17.63</v>
      </c>
      <c r="E142">
        <v>27.27</v>
      </c>
      <c r="F142">
        <v>30.09</v>
      </c>
      <c r="G142">
        <v>44.44</v>
      </c>
      <c r="H142">
        <v>24.85</v>
      </c>
      <c r="I142">
        <v>50.95</v>
      </c>
      <c r="J142">
        <v>56.94</v>
      </c>
      <c r="K142">
        <v>57.71</v>
      </c>
      <c r="L142">
        <v>27.12</v>
      </c>
      <c r="M142">
        <v>50.19</v>
      </c>
      <c r="N142">
        <v>50.1</v>
      </c>
      <c r="O142">
        <v>53.91</v>
      </c>
      <c r="P142">
        <v>53.42</v>
      </c>
      <c r="Q142">
        <v>18.54</v>
      </c>
      <c r="R142">
        <v>1153.77</v>
      </c>
      <c r="S142">
        <v>30.94</v>
      </c>
      <c r="T142">
        <v>18.14</v>
      </c>
      <c r="U142">
        <v>12.24</v>
      </c>
      <c r="V142">
        <v>40.33</v>
      </c>
      <c r="W142">
        <v>44.29</v>
      </c>
      <c r="X142">
        <v>25.31</v>
      </c>
      <c r="Y142">
        <v>42.84</v>
      </c>
      <c r="Z142">
        <v>40.340000000000003</v>
      </c>
      <c r="AA142">
        <v>71.89</v>
      </c>
      <c r="AB142">
        <v>54.47</v>
      </c>
      <c r="AC142">
        <v>38.6</v>
      </c>
      <c r="AD142">
        <v>488.83</v>
      </c>
      <c r="AE142">
        <v>566.76</v>
      </c>
      <c r="AF142">
        <v>41.86</v>
      </c>
      <c r="AG142">
        <v>50.27</v>
      </c>
      <c r="AH142">
        <v>44.55</v>
      </c>
      <c r="AI142">
        <v>44.99</v>
      </c>
    </row>
    <row r="143" spans="1:35" x14ac:dyDescent="0.45">
      <c r="A143" s="2">
        <v>45778</v>
      </c>
      <c r="B143">
        <v>26.92</v>
      </c>
      <c r="C143">
        <v>31.07</v>
      </c>
      <c r="D143">
        <v>17.3</v>
      </c>
      <c r="E143">
        <v>26.86</v>
      </c>
      <c r="F143">
        <v>29.45</v>
      </c>
      <c r="G143">
        <v>43.74</v>
      </c>
      <c r="H143">
        <v>24.12</v>
      </c>
      <c r="I143">
        <v>47.82</v>
      </c>
      <c r="J143">
        <v>56.67</v>
      </c>
      <c r="K143">
        <v>55.6</v>
      </c>
      <c r="L143">
        <v>26.88</v>
      </c>
      <c r="M143">
        <v>49.27</v>
      </c>
      <c r="N143">
        <v>49.3</v>
      </c>
      <c r="O143">
        <v>53.54</v>
      </c>
      <c r="P143">
        <v>51.59</v>
      </c>
      <c r="Q143">
        <v>18.34</v>
      </c>
      <c r="R143">
        <v>1144.05</v>
      </c>
      <c r="S143">
        <v>30.66</v>
      </c>
      <c r="T143">
        <v>17.96</v>
      </c>
      <c r="U143">
        <v>12.11</v>
      </c>
      <c r="V143">
        <v>40.01</v>
      </c>
      <c r="W143">
        <v>43.06</v>
      </c>
      <c r="X143">
        <v>24.65</v>
      </c>
      <c r="Y143">
        <v>42.31</v>
      </c>
      <c r="Z143">
        <v>39.46</v>
      </c>
      <c r="AA143">
        <v>71.17</v>
      </c>
      <c r="AB143">
        <v>53.52</v>
      </c>
      <c r="AC143">
        <v>37.880000000000003</v>
      </c>
      <c r="AD143">
        <v>481.68</v>
      </c>
      <c r="AE143">
        <v>558.47</v>
      </c>
      <c r="AF143">
        <v>41.07</v>
      </c>
      <c r="AG143">
        <v>48.78</v>
      </c>
      <c r="AH143">
        <v>43.12</v>
      </c>
      <c r="AI143">
        <v>44.26</v>
      </c>
    </row>
    <row r="144" spans="1:35" x14ac:dyDescent="0.45">
      <c r="A144" s="2">
        <v>45777</v>
      </c>
      <c r="B144">
        <v>27.06</v>
      </c>
      <c r="C144">
        <v>31.13</v>
      </c>
      <c r="D144">
        <v>17.309999999999999</v>
      </c>
      <c r="E144">
        <v>26.89</v>
      </c>
      <c r="F144">
        <v>29.48</v>
      </c>
      <c r="G144">
        <v>44.33</v>
      </c>
      <c r="H144">
        <v>24.17</v>
      </c>
      <c r="I144">
        <v>47.48</v>
      </c>
      <c r="J144">
        <v>56.97</v>
      </c>
      <c r="K144">
        <v>56.19</v>
      </c>
      <c r="L144">
        <v>27.04</v>
      </c>
      <c r="M144">
        <v>49.52</v>
      </c>
      <c r="N144">
        <v>49.52</v>
      </c>
      <c r="O144">
        <v>53.57</v>
      </c>
      <c r="P144">
        <v>51.66</v>
      </c>
      <c r="Q144">
        <v>18.309999999999999</v>
      </c>
      <c r="R144">
        <v>1134.71</v>
      </c>
      <c r="S144">
        <v>30.67</v>
      </c>
      <c r="T144">
        <v>17.88</v>
      </c>
      <c r="U144">
        <v>12.07</v>
      </c>
      <c r="V144">
        <v>40.43</v>
      </c>
      <c r="W144">
        <v>42.61</v>
      </c>
      <c r="X144">
        <v>24.67</v>
      </c>
      <c r="Y144">
        <v>42.45</v>
      </c>
      <c r="Z144">
        <v>39.49</v>
      </c>
      <c r="AA144">
        <v>71.430000000000007</v>
      </c>
      <c r="AB144">
        <v>53.86</v>
      </c>
      <c r="AC144">
        <v>38.1</v>
      </c>
      <c r="AD144">
        <v>475.47</v>
      </c>
      <c r="AE144">
        <v>554.54</v>
      </c>
      <c r="AF144">
        <v>41.04</v>
      </c>
      <c r="AG144">
        <v>48.85</v>
      </c>
      <c r="AH144">
        <v>43.64</v>
      </c>
      <c r="AI144">
        <v>44.21</v>
      </c>
    </row>
    <row r="145" spans="1:35" x14ac:dyDescent="0.45">
      <c r="A145" s="2">
        <v>45776</v>
      </c>
      <c r="B145">
        <v>27.14</v>
      </c>
      <c r="C145">
        <v>31.44</v>
      </c>
      <c r="D145">
        <v>17.100000000000001</v>
      </c>
      <c r="E145">
        <v>26.41</v>
      </c>
      <c r="F145">
        <v>30.3</v>
      </c>
      <c r="G145">
        <v>44.8</v>
      </c>
      <c r="H145">
        <v>23.7</v>
      </c>
      <c r="I145">
        <v>47.15</v>
      </c>
      <c r="J145">
        <v>56.42</v>
      </c>
      <c r="K145">
        <v>56.1</v>
      </c>
      <c r="L145">
        <v>27.36</v>
      </c>
      <c r="M145">
        <v>49.14</v>
      </c>
      <c r="N145">
        <v>49.99</v>
      </c>
      <c r="O145">
        <v>53.54</v>
      </c>
      <c r="P145">
        <v>51.68</v>
      </c>
      <c r="Q145">
        <v>18.2</v>
      </c>
      <c r="R145">
        <v>1150.95</v>
      </c>
      <c r="S145">
        <v>31.18</v>
      </c>
      <c r="T145">
        <v>17.989999999999998</v>
      </c>
      <c r="U145">
        <v>12.05</v>
      </c>
      <c r="V145">
        <v>40.74</v>
      </c>
      <c r="W145">
        <v>43.35</v>
      </c>
      <c r="X145">
        <v>24.55</v>
      </c>
      <c r="Y145">
        <v>42.45</v>
      </c>
      <c r="Z145">
        <v>39.67</v>
      </c>
      <c r="AA145">
        <v>72.02</v>
      </c>
      <c r="AB145">
        <v>53.67</v>
      </c>
      <c r="AC145">
        <v>38.35</v>
      </c>
      <c r="AD145">
        <v>475.53</v>
      </c>
      <c r="AE145">
        <v>554.32000000000005</v>
      </c>
      <c r="AF145">
        <v>40.94</v>
      </c>
      <c r="AG145">
        <v>48.92</v>
      </c>
      <c r="AH145">
        <v>43</v>
      </c>
      <c r="AI145">
        <v>44.67</v>
      </c>
    </row>
    <row r="146" spans="1:35" x14ac:dyDescent="0.45">
      <c r="A146" s="2">
        <v>45775</v>
      </c>
      <c r="B146">
        <v>27.14</v>
      </c>
      <c r="C146">
        <v>31.24</v>
      </c>
      <c r="D146">
        <v>16.93</v>
      </c>
      <c r="E146">
        <v>26.18</v>
      </c>
      <c r="F146">
        <v>30.3</v>
      </c>
      <c r="G146">
        <v>44.6021</v>
      </c>
      <c r="H146">
        <v>23.71</v>
      </c>
      <c r="I146">
        <v>46.47</v>
      </c>
      <c r="J146">
        <v>58.12</v>
      </c>
      <c r="K146">
        <v>55.65</v>
      </c>
      <c r="L146">
        <v>27.21</v>
      </c>
      <c r="M146">
        <v>49.09</v>
      </c>
      <c r="N146">
        <v>49.71</v>
      </c>
      <c r="O146">
        <v>53.29</v>
      </c>
      <c r="P146">
        <v>51.85</v>
      </c>
      <c r="Q146">
        <v>18.14</v>
      </c>
      <c r="R146">
        <v>1141.28</v>
      </c>
      <c r="S146">
        <v>31.48</v>
      </c>
      <c r="T146">
        <v>17.64</v>
      </c>
      <c r="U146">
        <v>11.95</v>
      </c>
      <c r="V146">
        <v>40.85</v>
      </c>
      <c r="W146">
        <v>43.6</v>
      </c>
      <c r="X146">
        <v>24.52</v>
      </c>
      <c r="Y146">
        <v>42.37</v>
      </c>
      <c r="Z146">
        <v>39.47</v>
      </c>
      <c r="AA146">
        <v>71.739999999999995</v>
      </c>
      <c r="AB146">
        <v>53.71</v>
      </c>
      <c r="AC146">
        <v>38.19</v>
      </c>
      <c r="AD146">
        <v>472.41</v>
      </c>
      <c r="AE146">
        <v>550.85</v>
      </c>
      <c r="AF146">
        <v>41.04</v>
      </c>
      <c r="AG146">
        <v>48.79</v>
      </c>
      <c r="AH146">
        <v>43.61</v>
      </c>
      <c r="AI146">
        <v>44.23</v>
      </c>
    </row>
    <row r="147" spans="1:35" x14ac:dyDescent="0.45">
      <c r="A147" s="2">
        <v>45772</v>
      </c>
      <c r="B147">
        <v>27.25</v>
      </c>
      <c r="C147">
        <v>31.67</v>
      </c>
      <c r="D147">
        <v>16.77</v>
      </c>
      <c r="E147">
        <v>26.26</v>
      </c>
      <c r="F147">
        <v>30.04</v>
      </c>
      <c r="G147">
        <v>44.4285</v>
      </c>
      <c r="H147">
        <v>23.43</v>
      </c>
      <c r="I147">
        <v>46.34</v>
      </c>
      <c r="J147">
        <v>57.94</v>
      </c>
      <c r="K147">
        <v>55.81</v>
      </c>
      <c r="L147">
        <v>26.94</v>
      </c>
      <c r="M147">
        <v>48.38</v>
      </c>
      <c r="N147">
        <v>49.52</v>
      </c>
      <c r="O147">
        <v>52.85</v>
      </c>
      <c r="P147">
        <v>51.91</v>
      </c>
      <c r="Q147">
        <v>18.16</v>
      </c>
      <c r="R147">
        <v>1138.9000000000001</v>
      </c>
      <c r="S147">
        <v>31.96</v>
      </c>
      <c r="T147">
        <v>17.47</v>
      </c>
      <c r="U147">
        <v>12.01</v>
      </c>
      <c r="V147">
        <v>41.16</v>
      </c>
      <c r="W147">
        <v>43.76</v>
      </c>
      <c r="X147">
        <v>24.51</v>
      </c>
      <c r="Y147">
        <v>42.04</v>
      </c>
      <c r="Z147">
        <v>39.36</v>
      </c>
      <c r="AA147">
        <v>70.77</v>
      </c>
      <c r="AB147">
        <v>53.04</v>
      </c>
      <c r="AC147">
        <v>37.94</v>
      </c>
      <c r="AD147">
        <v>472.56</v>
      </c>
      <c r="AE147">
        <v>550.64</v>
      </c>
      <c r="AF147">
        <v>40.950000000000003</v>
      </c>
      <c r="AG147">
        <v>48.78</v>
      </c>
      <c r="AH147">
        <v>43.62</v>
      </c>
      <c r="AI147">
        <v>44.04</v>
      </c>
    </row>
    <row r="148" spans="1:35" x14ac:dyDescent="0.45">
      <c r="A148" s="2">
        <v>45771</v>
      </c>
      <c r="B148">
        <v>27.29</v>
      </c>
      <c r="C148">
        <v>31.7</v>
      </c>
      <c r="D148">
        <v>16.760000000000002</v>
      </c>
      <c r="E148">
        <v>25.96</v>
      </c>
      <c r="F148">
        <v>30.19</v>
      </c>
      <c r="G148">
        <v>44.55</v>
      </c>
      <c r="H148">
        <v>23.43</v>
      </c>
      <c r="I148">
        <v>46.18</v>
      </c>
      <c r="J148">
        <v>57.34</v>
      </c>
      <c r="K148">
        <v>55.95</v>
      </c>
      <c r="L148">
        <v>26.74</v>
      </c>
      <c r="M148">
        <v>47.96</v>
      </c>
      <c r="N148">
        <v>49.95</v>
      </c>
      <c r="O148">
        <v>53.74</v>
      </c>
      <c r="P148">
        <v>51.97</v>
      </c>
      <c r="Q148">
        <v>18.12</v>
      </c>
      <c r="R148">
        <v>1128.6600000000001</v>
      </c>
      <c r="S148">
        <v>32.18</v>
      </c>
      <c r="T148">
        <v>17.57</v>
      </c>
      <c r="U148">
        <v>12</v>
      </c>
      <c r="V148">
        <v>41.05</v>
      </c>
      <c r="W148">
        <v>43.805</v>
      </c>
      <c r="X148">
        <v>24.51</v>
      </c>
      <c r="Y148">
        <v>42.06</v>
      </c>
      <c r="Z148">
        <v>39.03</v>
      </c>
      <c r="AA148">
        <v>70.28</v>
      </c>
      <c r="AB148">
        <v>52.96</v>
      </c>
      <c r="AC148">
        <v>37.89</v>
      </c>
      <c r="AD148">
        <v>467.35</v>
      </c>
      <c r="AE148">
        <v>546.69000000000005</v>
      </c>
      <c r="AF148">
        <v>40.72</v>
      </c>
      <c r="AG148">
        <v>48.41</v>
      </c>
      <c r="AH148">
        <v>43.32</v>
      </c>
      <c r="AI148">
        <v>43.48</v>
      </c>
    </row>
    <row r="149" spans="1:35" x14ac:dyDescent="0.45">
      <c r="A149" s="2">
        <v>45770</v>
      </c>
      <c r="B149">
        <v>27.2</v>
      </c>
      <c r="C149">
        <v>31.19</v>
      </c>
      <c r="D149">
        <v>16.61</v>
      </c>
      <c r="E149">
        <v>25.59</v>
      </c>
      <c r="F149">
        <v>29.43</v>
      </c>
      <c r="G149">
        <v>43.98</v>
      </c>
      <c r="H149">
        <v>23.07</v>
      </c>
      <c r="I149">
        <v>45.5</v>
      </c>
      <c r="J149">
        <v>56.51</v>
      </c>
      <c r="K149">
        <v>55.6</v>
      </c>
      <c r="L149">
        <v>26.31</v>
      </c>
      <c r="M149">
        <v>47.55</v>
      </c>
      <c r="N149">
        <v>49.35</v>
      </c>
      <c r="O149">
        <v>53.18</v>
      </c>
      <c r="P149">
        <v>51.66</v>
      </c>
      <c r="Q149">
        <v>17.899999999999999</v>
      </c>
      <c r="R149">
        <v>1133.95</v>
      </c>
      <c r="S149">
        <v>31.77</v>
      </c>
      <c r="T149">
        <v>17.23</v>
      </c>
      <c r="U149">
        <v>11.62</v>
      </c>
      <c r="V149">
        <v>40.369999999999997</v>
      </c>
      <c r="W149">
        <v>42.823799999999999</v>
      </c>
      <c r="X149">
        <v>24</v>
      </c>
      <c r="Y149">
        <v>41.52</v>
      </c>
      <c r="Z149">
        <v>38.44</v>
      </c>
      <c r="AA149">
        <v>69.48</v>
      </c>
      <c r="AB149">
        <v>52.23</v>
      </c>
      <c r="AC149">
        <v>37.549999999999997</v>
      </c>
      <c r="AD149">
        <v>454.56</v>
      </c>
      <c r="AE149">
        <v>535.41999999999996</v>
      </c>
      <c r="AF149">
        <v>40.119999999999997</v>
      </c>
      <c r="AG149">
        <v>47.77</v>
      </c>
      <c r="AH149">
        <v>42.43</v>
      </c>
      <c r="AI149">
        <v>42.69</v>
      </c>
    </row>
    <row r="150" spans="1:35" x14ac:dyDescent="0.45">
      <c r="A150" s="2">
        <v>45769</v>
      </c>
      <c r="B150">
        <v>27.16</v>
      </c>
      <c r="C150">
        <v>30.91</v>
      </c>
      <c r="D150">
        <v>16.36</v>
      </c>
      <c r="E150">
        <v>25.55</v>
      </c>
      <c r="F150">
        <v>29.25</v>
      </c>
      <c r="G150">
        <v>43.835999999999999</v>
      </c>
      <c r="H150">
        <v>22.91</v>
      </c>
      <c r="I150">
        <v>44.33</v>
      </c>
      <c r="J150">
        <v>55.51</v>
      </c>
      <c r="K150">
        <v>54.81</v>
      </c>
      <c r="L150">
        <v>25.86</v>
      </c>
      <c r="M150">
        <v>48.16</v>
      </c>
      <c r="N150">
        <v>49.05</v>
      </c>
      <c r="O150">
        <v>53.5</v>
      </c>
      <c r="P150">
        <v>50.9</v>
      </c>
      <c r="Q150">
        <v>17.91</v>
      </c>
      <c r="R150">
        <v>1088.18</v>
      </c>
      <c r="S150">
        <v>31.66</v>
      </c>
      <c r="T150">
        <v>17.010000000000002</v>
      </c>
      <c r="U150">
        <v>11.64</v>
      </c>
      <c r="V150">
        <v>40.409999999999997</v>
      </c>
      <c r="W150">
        <v>43.094999999999999</v>
      </c>
      <c r="X150">
        <v>23.96</v>
      </c>
      <c r="Y150">
        <v>41.39</v>
      </c>
      <c r="Z150">
        <v>38.03</v>
      </c>
      <c r="AA150">
        <v>69.27</v>
      </c>
      <c r="AB150">
        <v>52.45</v>
      </c>
      <c r="AC150">
        <v>37.58</v>
      </c>
      <c r="AD150">
        <v>444.48</v>
      </c>
      <c r="AE150">
        <v>527.25</v>
      </c>
      <c r="AF150">
        <v>39.840000000000003</v>
      </c>
      <c r="AG150">
        <v>47.1</v>
      </c>
      <c r="AH150">
        <v>42.68</v>
      </c>
      <c r="AI150">
        <v>42.81</v>
      </c>
    </row>
    <row r="151" spans="1:35" x14ac:dyDescent="0.45">
      <c r="A151" s="2">
        <v>45768</v>
      </c>
      <c r="B151">
        <v>27.04</v>
      </c>
      <c r="C151">
        <v>30.05</v>
      </c>
      <c r="D151">
        <v>16.03</v>
      </c>
      <c r="E151">
        <v>25.17</v>
      </c>
      <c r="F151">
        <v>28.63</v>
      </c>
      <c r="G151">
        <v>43.48</v>
      </c>
      <c r="H151">
        <v>23.04</v>
      </c>
      <c r="I151">
        <v>44.22</v>
      </c>
      <c r="J151">
        <v>54.34</v>
      </c>
      <c r="K151">
        <v>54.39</v>
      </c>
      <c r="L151">
        <v>25.2</v>
      </c>
      <c r="M151">
        <v>47.6</v>
      </c>
      <c r="N151">
        <v>47.02</v>
      </c>
      <c r="O151">
        <v>53</v>
      </c>
      <c r="P151">
        <v>49.39</v>
      </c>
      <c r="Q151">
        <v>17.78</v>
      </c>
      <c r="R151">
        <v>1074.5899999999999</v>
      </c>
      <c r="S151">
        <v>31.71</v>
      </c>
      <c r="T151">
        <v>16.760000000000002</v>
      </c>
      <c r="U151">
        <v>11.51</v>
      </c>
      <c r="V151">
        <v>39.9</v>
      </c>
      <c r="W151">
        <v>43.38</v>
      </c>
      <c r="X151">
        <v>23.48</v>
      </c>
      <c r="Y151">
        <v>40.770000000000003</v>
      </c>
      <c r="Z151">
        <v>37.03</v>
      </c>
      <c r="AA151">
        <v>67.92</v>
      </c>
      <c r="AB151">
        <v>51.82</v>
      </c>
      <c r="AC151">
        <v>36.82</v>
      </c>
      <c r="AD151">
        <v>433.11</v>
      </c>
      <c r="AE151">
        <v>513.88</v>
      </c>
      <c r="AF151">
        <v>38.97</v>
      </c>
      <c r="AG151">
        <v>46.09</v>
      </c>
      <c r="AH151">
        <v>41.77</v>
      </c>
      <c r="AI151">
        <v>41.94</v>
      </c>
    </row>
    <row r="152" spans="1:35" x14ac:dyDescent="0.45">
      <c r="A152" s="2">
        <v>45764</v>
      </c>
      <c r="B152">
        <v>26.82</v>
      </c>
      <c r="C152">
        <v>29.95</v>
      </c>
      <c r="D152">
        <v>16.13</v>
      </c>
      <c r="E152">
        <v>25.3019</v>
      </c>
      <c r="F152">
        <v>28.29</v>
      </c>
      <c r="G152">
        <v>43.2</v>
      </c>
      <c r="H152">
        <v>22.77</v>
      </c>
      <c r="I152">
        <v>44.88</v>
      </c>
      <c r="J152">
        <v>54.93</v>
      </c>
      <c r="K152">
        <v>54.31</v>
      </c>
      <c r="L152">
        <v>25.22</v>
      </c>
      <c r="M152">
        <v>47.9</v>
      </c>
      <c r="N152">
        <v>47.34</v>
      </c>
      <c r="O152">
        <v>52.26</v>
      </c>
      <c r="P152">
        <v>49.29</v>
      </c>
      <c r="Q152">
        <v>17.72</v>
      </c>
      <c r="R152">
        <v>1125.21</v>
      </c>
      <c r="S152">
        <v>31.91</v>
      </c>
      <c r="T152">
        <v>16.760000000000002</v>
      </c>
      <c r="U152">
        <v>11.73</v>
      </c>
      <c r="V152">
        <v>40.19</v>
      </c>
      <c r="W152">
        <v>43.5</v>
      </c>
      <c r="X152">
        <v>23.61</v>
      </c>
      <c r="Y152">
        <v>41.1</v>
      </c>
      <c r="Z152">
        <v>37.4</v>
      </c>
      <c r="AA152">
        <v>68.069999999999993</v>
      </c>
      <c r="AB152">
        <v>51.95</v>
      </c>
      <c r="AC152">
        <v>36.97</v>
      </c>
      <c r="AD152">
        <v>444.1</v>
      </c>
      <c r="AE152">
        <v>526.41</v>
      </c>
      <c r="AF152">
        <v>39.22</v>
      </c>
      <c r="AG152">
        <v>46.55</v>
      </c>
      <c r="AH152">
        <v>41.9</v>
      </c>
      <c r="AI152">
        <v>42.13</v>
      </c>
    </row>
    <row r="153" spans="1:35" x14ac:dyDescent="0.45">
      <c r="A153" s="2">
        <v>45763</v>
      </c>
      <c r="B153">
        <v>26.92</v>
      </c>
      <c r="C153">
        <v>29.43</v>
      </c>
      <c r="D153">
        <v>15.93</v>
      </c>
      <c r="E153">
        <v>25.25</v>
      </c>
      <c r="F153">
        <v>27.74</v>
      </c>
      <c r="G153">
        <v>43.351100000000002</v>
      </c>
      <c r="H153">
        <v>22.44</v>
      </c>
      <c r="I153">
        <v>44.99</v>
      </c>
      <c r="J153">
        <v>53.02</v>
      </c>
      <c r="K153">
        <v>54.06</v>
      </c>
      <c r="L153">
        <v>24.79</v>
      </c>
      <c r="M153">
        <v>47.43</v>
      </c>
      <c r="N153">
        <v>47.35</v>
      </c>
      <c r="O153">
        <v>51.13</v>
      </c>
      <c r="P153">
        <v>49.16</v>
      </c>
      <c r="Q153">
        <v>17.78</v>
      </c>
      <c r="R153">
        <v>1161.81</v>
      </c>
      <c r="S153">
        <v>31.21</v>
      </c>
      <c r="T153">
        <v>16.68</v>
      </c>
      <c r="U153">
        <v>11.5</v>
      </c>
      <c r="V153">
        <v>40.04</v>
      </c>
      <c r="W153">
        <v>43.03</v>
      </c>
      <c r="X153">
        <v>23.42</v>
      </c>
      <c r="Y153">
        <v>40.83</v>
      </c>
      <c r="Z153">
        <v>37.22</v>
      </c>
      <c r="AA153">
        <v>66.78</v>
      </c>
      <c r="AB153">
        <v>51.29</v>
      </c>
      <c r="AC153">
        <v>36.549999999999997</v>
      </c>
      <c r="AD153">
        <v>444.18</v>
      </c>
      <c r="AE153">
        <v>525.66</v>
      </c>
      <c r="AF153">
        <v>38.96</v>
      </c>
      <c r="AG153">
        <v>46.26</v>
      </c>
      <c r="AH153">
        <v>41.07</v>
      </c>
      <c r="AI153">
        <v>41.76</v>
      </c>
    </row>
    <row r="154" spans="1:35" x14ac:dyDescent="0.45">
      <c r="A154" s="2">
        <v>45762</v>
      </c>
      <c r="B154">
        <v>26.7</v>
      </c>
      <c r="C154">
        <v>29.35</v>
      </c>
      <c r="D154">
        <v>16.14</v>
      </c>
      <c r="E154">
        <v>25.414100000000001</v>
      </c>
      <c r="F154">
        <v>27.58</v>
      </c>
      <c r="G154">
        <v>43.15</v>
      </c>
      <c r="H154">
        <v>22.63</v>
      </c>
      <c r="I154">
        <v>46.05</v>
      </c>
      <c r="J154">
        <v>52.19</v>
      </c>
      <c r="K154">
        <v>54.38</v>
      </c>
      <c r="L154">
        <v>24.86</v>
      </c>
      <c r="M154">
        <v>47.1</v>
      </c>
      <c r="N154">
        <v>47.414999999999999</v>
      </c>
      <c r="O154">
        <v>51.13</v>
      </c>
      <c r="P154">
        <v>50.17</v>
      </c>
      <c r="Q154">
        <v>17.89</v>
      </c>
      <c r="R154">
        <v>1172.69</v>
      </c>
      <c r="S154">
        <v>31.85</v>
      </c>
      <c r="T154">
        <v>16.79</v>
      </c>
      <c r="U154">
        <v>11.74</v>
      </c>
      <c r="V154">
        <v>40.24</v>
      </c>
      <c r="W154">
        <v>42.68</v>
      </c>
      <c r="X154">
        <v>23.36</v>
      </c>
      <c r="Y154">
        <v>40.53</v>
      </c>
      <c r="Z154">
        <v>37.200000000000003</v>
      </c>
      <c r="AA154">
        <v>67.44</v>
      </c>
      <c r="AB154">
        <v>51.45</v>
      </c>
      <c r="AC154">
        <v>36.65</v>
      </c>
      <c r="AD154">
        <v>457.99</v>
      </c>
      <c r="AE154">
        <v>537.61</v>
      </c>
      <c r="AF154">
        <v>39</v>
      </c>
      <c r="AG154">
        <v>46.89</v>
      </c>
      <c r="AH154">
        <v>41.39</v>
      </c>
      <c r="AI154">
        <v>41.54</v>
      </c>
    </row>
    <row r="155" spans="1:35" x14ac:dyDescent="0.45">
      <c r="A155" s="2">
        <v>45761</v>
      </c>
      <c r="B155">
        <v>26.96</v>
      </c>
      <c r="C155">
        <v>29.13</v>
      </c>
      <c r="D155">
        <v>16.09</v>
      </c>
      <c r="E155">
        <v>25.19</v>
      </c>
      <c r="F155">
        <v>27.59</v>
      </c>
      <c r="G155">
        <v>43.14</v>
      </c>
      <c r="H155">
        <v>22.65</v>
      </c>
      <c r="I155">
        <v>45.77</v>
      </c>
      <c r="J155">
        <v>51.91</v>
      </c>
      <c r="K155">
        <v>54.35</v>
      </c>
      <c r="L155">
        <v>25.01</v>
      </c>
      <c r="M155">
        <v>47.22</v>
      </c>
      <c r="N155">
        <v>46.92</v>
      </c>
      <c r="O155">
        <v>51.03</v>
      </c>
      <c r="P155">
        <v>50.56</v>
      </c>
      <c r="Q155">
        <v>17.79</v>
      </c>
      <c r="R155">
        <v>1168.02</v>
      </c>
      <c r="S155">
        <v>32.130000000000003</v>
      </c>
      <c r="T155">
        <v>16.71</v>
      </c>
      <c r="U155">
        <v>11.93</v>
      </c>
      <c r="V155">
        <v>40.01</v>
      </c>
      <c r="W155">
        <v>43.1</v>
      </c>
      <c r="X155">
        <v>23.29</v>
      </c>
      <c r="Y155">
        <v>40.44</v>
      </c>
      <c r="Z155">
        <v>36.82</v>
      </c>
      <c r="AA155">
        <v>66.900000000000006</v>
      </c>
      <c r="AB155">
        <v>51.2</v>
      </c>
      <c r="AC155">
        <v>36.15</v>
      </c>
      <c r="AD155">
        <v>457.48</v>
      </c>
      <c r="AE155">
        <v>539.12</v>
      </c>
      <c r="AF155">
        <v>38.85</v>
      </c>
      <c r="AG155">
        <v>46.61</v>
      </c>
      <c r="AH155">
        <v>40.72</v>
      </c>
      <c r="AI155">
        <v>40.92</v>
      </c>
    </row>
    <row r="156" spans="1:35" x14ac:dyDescent="0.45">
      <c r="A156" s="2">
        <v>45758</v>
      </c>
      <c r="B156">
        <v>27.09</v>
      </c>
      <c r="C156">
        <v>28.39</v>
      </c>
      <c r="D156">
        <v>15.87</v>
      </c>
      <c r="E156">
        <v>24.96</v>
      </c>
      <c r="F156">
        <v>27.25</v>
      </c>
      <c r="G156">
        <v>42.085000000000001</v>
      </c>
      <c r="H156">
        <v>22.46</v>
      </c>
      <c r="I156">
        <v>45.62</v>
      </c>
      <c r="J156">
        <v>50.68</v>
      </c>
      <c r="K156">
        <v>54.31</v>
      </c>
      <c r="L156">
        <v>24.69</v>
      </c>
      <c r="M156">
        <v>45.62</v>
      </c>
      <c r="N156">
        <v>45.92</v>
      </c>
      <c r="O156">
        <v>50.76</v>
      </c>
      <c r="P156">
        <v>49.68</v>
      </c>
      <c r="Q156">
        <v>17.61</v>
      </c>
      <c r="R156">
        <v>1158.0899999999999</v>
      </c>
      <c r="S156">
        <v>32.08</v>
      </c>
      <c r="T156">
        <v>16.510000000000002</v>
      </c>
      <c r="U156">
        <v>11.87</v>
      </c>
      <c r="V156">
        <v>39.58</v>
      </c>
      <c r="W156">
        <v>42.39</v>
      </c>
      <c r="X156">
        <v>22.77</v>
      </c>
      <c r="Y156">
        <v>39.869999999999997</v>
      </c>
      <c r="Z156">
        <v>36.369999999999997</v>
      </c>
      <c r="AA156">
        <v>65.819999999999993</v>
      </c>
      <c r="AB156">
        <v>51.05</v>
      </c>
      <c r="AC156">
        <v>35.57</v>
      </c>
      <c r="AD156">
        <v>454.4</v>
      </c>
      <c r="AE156">
        <v>533.94000000000005</v>
      </c>
      <c r="AF156">
        <v>38.97</v>
      </c>
      <c r="AG156">
        <v>45.81</v>
      </c>
      <c r="AH156">
        <v>40.31</v>
      </c>
      <c r="AI156">
        <v>40.53</v>
      </c>
    </row>
    <row r="157" spans="1:35" x14ac:dyDescent="0.45">
      <c r="A157" s="2">
        <v>45757</v>
      </c>
      <c r="B157">
        <v>26.64</v>
      </c>
      <c r="C157">
        <v>27.51</v>
      </c>
      <c r="D157">
        <v>15.45</v>
      </c>
      <c r="E157">
        <v>24.18</v>
      </c>
      <c r="F157">
        <v>26.93</v>
      </c>
      <c r="G157">
        <v>40.805900000000001</v>
      </c>
      <c r="H157">
        <v>22.05</v>
      </c>
      <c r="I157">
        <v>43.32</v>
      </c>
      <c r="J157">
        <v>50.3</v>
      </c>
      <c r="K157">
        <v>51.82</v>
      </c>
      <c r="L157">
        <v>24.19</v>
      </c>
      <c r="M157">
        <v>43.94</v>
      </c>
      <c r="N157">
        <v>44.76</v>
      </c>
      <c r="O157">
        <v>50.52</v>
      </c>
      <c r="P157">
        <v>47.98</v>
      </c>
      <c r="Q157">
        <v>17.52</v>
      </c>
      <c r="R157">
        <v>1175.45</v>
      </c>
      <c r="S157">
        <v>31.9</v>
      </c>
      <c r="T157">
        <v>16.170000000000002</v>
      </c>
      <c r="U157">
        <v>11.31</v>
      </c>
      <c r="V157">
        <v>39.340000000000003</v>
      </c>
      <c r="W157">
        <v>41.79</v>
      </c>
      <c r="X157">
        <v>22.35</v>
      </c>
      <c r="Y157">
        <v>38.74</v>
      </c>
      <c r="Z157">
        <v>35.799999999999997</v>
      </c>
      <c r="AA157">
        <v>64.22</v>
      </c>
      <c r="AB157">
        <v>49.7</v>
      </c>
      <c r="AC157">
        <v>34.67</v>
      </c>
      <c r="AD157">
        <v>446.18</v>
      </c>
      <c r="AE157">
        <v>524.58000000000004</v>
      </c>
      <c r="AF157">
        <v>37.99</v>
      </c>
      <c r="AG157">
        <v>44.67</v>
      </c>
      <c r="AH157">
        <v>39.65</v>
      </c>
      <c r="AI157">
        <v>39.659999999999997</v>
      </c>
    </row>
    <row r="158" spans="1:35" x14ac:dyDescent="0.45">
      <c r="A158" s="2">
        <v>45756</v>
      </c>
      <c r="B158">
        <v>26.4</v>
      </c>
      <c r="C158">
        <v>28.24</v>
      </c>
      <c r="D158">
        <v>15.56</v>
      </c>
      <c r="E158">
        <v>25.16</v>
      </c>
      <c r="F158">
        <v>27.69</v>
      </c>
      <c r="G158">
        <v>41.46</v>
      </c>
      <c r="H158">
        <v>22.14</v>
      </c>
      <c r="I158">
        <v>44.79</v>
      </c>
      <c r="J158">
        <v>51.86</v>
      </c>
      <c r="K158">
        <v>53.28</v>
      </c>
      <c r="L158">
        <v>24.71</v>
      </c>
      <c r="M158">
        <v>44.27</v>
      </c>
      <c r="N158">
        <v>44.85</v>
      </c>
      <c r="O158">
        <v>51.22</v>
      </c>
      <c r="P158">
        <v>48.06</v>
      </c>
      <c r="Q158">
        <v>17.57</v>
      </c>
      <c r="R158">
        <v>1187.9000000000001</v>
      </c>
      <c r="S158">
        <v>32.83</v>
      </c>
      <c r="T158">
        <v>16.46</v>
      </c>
      <c r="U158">
        <v>11.46</v>
      </c>
      <c r="V158">
        <v>40.200000000000003</v>
      </c>
      <c r="W158">
        <v>41.36</v>
      </c>
      <c r="X158">
        <v>22.81</v>
      </c>
      <c r="Y158">
        <v>39.54</v>
      </c>
      <c r="Z158">
        <v>36.22</v>
      </c>
      <c r="AA158">
        <v>66.34</v>
      </c>
      <c r="AB158">
        <v>49.71</v>
      </c>
      <c r="AC158">
        <v>35.11</v>
      </c>
      <c r="AD158">
        <v>466</v>
      </c>
      <c r="AE158">
        <v>548.62</v>
      </c>
      <c r="AF158">
        <v>38.61</v>
      </c>
      <c r="AG158">
        <v>46.05</v>
      </c>
      <c r="AH158">
        <v>39.92</v>
      </c>
      <c r="AI158">
        <v>40.22</v>
      </c>
    </row>
    <row r="159" spans="1:35" x14ac:dyDescent="0.45">
      <c r="A159" s="2">
        <v>45755</v>
      </c>
      <c r="B159">
        <v>24.95</v>
      </c>
      <c r="C159">
        <v>26.5</v>
      </c>
      <c r="D159">
        <v>14.36</v>
      </c>
      <c r="E159">
        <v>24.13</v>
      </c>
      <c r="F159">
        <v>24.7</v>
      </c>
      <c r="G159">
        <v>38.53</v>
      </c>
      <c r="H159">
        <v>21.2</v>
      </c>
      <c r="I159">
        <v>40.950000000000003</v>
      </c>
      <c r="J159">
        <v>48.06</v>
      </c>
      <c r="K159">
        <v>48.92</v>
      </c>
      <c r="L159">
        <v>23.44</v>
      </c>
      <c r="M159">
        <v>40.54</v>
      </c>
      <c r="N159">
        <v>42.65</v>
      </c>
      <c r="O159">
        <v>49.16</v>
      </c>
      <c r="P159">
        <v>45.22</v>
      </c>
      <c r="Q159">
        <v>17.23</v>
      </c>
      <c r="R159">
        <v>1190.3599999999999</v>
      </c>
      <c r="S159">
        <v>31.83</v>
      </c>
      <c r="T159">
        <v>15.58</v>
      </c>
      <c r="U159">
        <v>10.130000000000001</v>
      </c>
      <c r="V159">
        <v>38.17</v>
      </c>
      <c r="W159">
        <v>39.479999999999997</v>
      </c>
      <c r="X159">
        <v>20.82</v>
      </c>
      <c r="Y159">
        <v>37.17</v>
      </c>
      <c r="Z159">
        <v>33.22</v>
      </c>
      <c r="AA159">
        <v>61.65</v>
      </c>
      <c r="AB159">
        <v>47.12</v>
      </c>
      <c r="AC159">
        <v>33.19</v>
      </c>
      <c r="AD159">
        <v>416.06</v>
      </c>
      <c r="AE159">
        <v>496.48</v>
      </c>
      <c r="AF159">
        <v>35.65</v>
      </c>
      <c r="AG159">
        <v>41.88</v>
      </c>
      <c r="AH159">
        <v>37.07</v>
      </c>
      <c r="AI159">
        <v>36.6</v>
      </c>
    </row>
    <row r="160" spans="1:35" x14ac:dyDescent="0.45">
      <c r="A160" s="2">
        <v>45754</v>
      </c>
      <c r="B160">
        <v>24.71</v>
      </c>
      <c r="C160">
        <v>27.09</v>
      </c>
      <c r="D160">
        <v>15.15</v>
      </c>
      <c r="E160">
        <v>24.14</v>
      </c>
      <c r="F160">
        <v>24.54</v>
      </c>
      <c r="G160">
        <v>39.07</v>
      </c>
      <c r="H160">
        <v>21.75</v>
      </c>
      <c r="I160">
        <v>42.03</v>
      </c>
      <c r="J160">
        <v>48.52</v>
      </c>
      <c r="K160">
        <v>50.78</v>
      </c>
      <c r="L160">
        <v>23.95</v>
      </c>
      <c r="M160">
        <v>40.770000000000003</v>
      </c>
      <c r="N160">
        <v>40.770000000000003</v>
      </c>
      <c r="O160">
        <v>49.13</v>
      </c>
      <c r="P160">
        <v>46</v>
      </c>
      <c r="Q160">
        <v>17.16</v>
      </c>
      <c r="R160">
        <v>1184.93</v>
      </c>
      <c r="S160">
        <v>31.86</v>
      </c>
      <c r="T160">
        <v>15.88</v>
      </c>
      <c r="U160">
        <v>11.16</v>
      </c>
      <c r="V160">
        <v>38.75</v>
      </c>
      <c r="W160">
        <v>39.39</v>
      </c>
      <c r="X160">
        <v>20.85</v>
      </c>
      <c r="Y160">
        <v>37.79</v>
      </c>
      <c r="Z160">
        <v>33.549999999999997</v>
      </c>
      <c r="AA160">
        <v>61.32</v>
      </c>
      <c r="AB160">
        <v>47.04</v>
      </c>
      <c r="AC160">
        <v>33.29</v>
      </c>
      <c r="AD160">
        <v>423.69</v>
      </c>
      <c r="AE160">
        <v>504.38</v>
      </c>
      <c r="AF160">
        <v>35.97</v>
      </c>
      <c r="AG160">
        <v>42.58</v>
      </c>
      <c r="AH160">
        <v>37.340000000000003</v>
      </c>
      <c r="AI160">
        <v>37.06</v>
      </c>
    </row>
    <row r="161" spans="1:35" x14ac:dyDescent="0.45">
      <c r="A161" s="2">
        <v>45751</v>
      </c>
      <c r="B161">
        <v>26.56</v>
      </c>
      <c r="C161">
        <v>28.19</v>
      </c>
      <c r="D161">
        <v>15.09</v>
      </c>
      <c r="E161">
        <v>23.83</v>
      </c>
      <c r="F161">
        <v>25.14</v>
      </c>
      <c r="G161">
        <v>40.049999999999997</v>
      </c>
      <c r="H161">
        <v>21.91</v>
      </c>
      <c r="I161">
        <v>43.82</v>
      </c>
      <c r="J161">
        <v>49.92</v>
      </c>
      <c r="K161">
        <v>51.25</v>
      </c>
      <c r="L161">
        <v>24.5</v>
      </c>
      <c r="M161">
        <v>41.29</v>
      </c>
      <c r="N161">
        <v>43.59</v>
      </c>
      <c r="O161">
        <v>49.19</v>
      </c>
      <c r="P161">
        <v>50</v>
      </c>
      <c r="Q161">
        <v>16.829999999999998</v>
      </c>
      <c r="R161">
        <v>1190.06</v>
      </c>
      <c r="S161">
        <v>31.67</v>
      </c>
      <c r="T161">
        <v>15.6</v>
      </c>
      <c r="U161">
        <v>11.64</v>
      </c>
      <c r="V161">
        <v>38.979999999999997</v>
      </c>
      <c r="W161">
        <v>40.130000000000003</v>
      </c>
      <c r="X161">
        <v>21.15</v>
      </c>
      <c r="Y161">
        <v>38.409999999999997</v>
      </c>
      <c r="Z161">
        <v>34.32</v>
      </c>
      <c r="AA161">
        <v>61.51</v>
      </c>
      <c r="AB161">
        <v>48.36</v>
      </c>
      <c r="AC161">
        <v>34.619999999999997</v>
      </c>
      <c r="AD161">
        <v>422.67</v>
      </c>
      <c r="AE161">
        <v>505.28</v>
      </c>
      <c r="AF161">
        <v>37.21</v>
      </c>
      <c r="AG161">
        <v>43.14</v>
      </c>
      <c r="AH161">
        <v>38.17</v>
      </c>
      <c r="AI161">
        <v>38.49</v>
      </c>
    </row>
    <row r="162" spans="1:35" x14ac:dyDescent="0.45">
      <c r="A162" s="2">
        <v>45750</v>
      </c>
      <c r="B162">
        <v>27.65</v>
      </c>
      <c r="C162">
        <v>30.07</v>
      </c>
      <c r="D162">
        <v>15.88</v>
      </c>
      <c r="E162">
        <v>25.04</v>
      </c>
      <c r="F162">
        <v>27.51</v>
      </c>
      <c r="G162">
        <v>43.42</v>
      </c>
      <c r="H162">
        <v>23.01</v>
      </c>
      <c r="I162">
        <v>46.05</v>
      </c>
      <c r="J162">
        <v>54.26</v>
      </c>
      <c r="K162">
        <v>53.14</v>
      </c>
      <c r="L162">
        <v>26.33</v>
      </c>
      <c r="M162">
        <v>44.88</v>
      </c>
      <c r="N162">
        <v>47.32</v>
      </c>
      <c r="O162">
        <v>51.18</v>
      </c>
      <c r="P162">
        <v>53.67</v>
      </c>
      <c r="Q162">
        <v>17.66</v>
      </c>
      <c r="R162">
        <v>1186.6099999999999</v>
      </c>
      <c r="S162">
        <v>32.200000000000003</v>
      </c>
      <c r="T162">
        <v>16.350000000000001</v>
      </c>
      <c r="U162">
        <v>11.4</v>
      </c>
      <c r="V162">
        <v>40.61</v>
      </c>
      <c r="W162">
        <v>42.72</v>
      </c>
      <c r="X162">
        <v>23.25</v>
      </c>
      <c r="Y162">
        <v>40.619999999999997</v>
      </c>
      <c r="Z162">
        <v>36.729999999999997</v>
      </c>
      <c r="AA162">
        <v>65.41</v>
      </c>
      <c r="AB162">
        <v>51.41</v>
      </c>
      <c r="AC162">
        <v>37.28</v>
      </c>
      <c r="AD162">
        <v>450.66</v>
      </c>
      <c r="AE162">
        <v>536.70000000000005</v>
      </c>
      <c r="AF162">
        <v>39.479999999999997</v>
      </c>
      <c r="AG162">
        <v>45.71</v>
      </c>
      <c r="AH162">
        <v>41.47</v>
      </c>
      <c r="AI162">
        <v>41.77</v>
      </c>
    </row>
    <row r="163" spans="1:35" x14ac:dyDescent="0.45">
      <c r="A163" s="2">
        <v>45749</v>
      </c>
      <c r="B163">
        <v>27.91</v>
      </c>
      <c r="C163">
        <v>29.91</v>
      </c>
      <c r="D163">
        <v>16.329999999999998</v>
      </c>
      <c r="E163">
        <v>25.56</v>
      </c>
      <c r="F163">
        <v>28.79</v>
      </c>
      <c r="G163">
        <v>44.85</v>
      </c>
      <c r="H163">
        <v>23.32</v>
      </c>
      <c r="I163">
        <v>48.48</v>
      </c>
      <c r="J163">
        <v>52.16</v>
      </c>
      <c r="K163">
        <v>54.63</v>
      </c>
      <c r="L163">
        <v>26.14</v>
      </c>
      <c r="M163">
        <v>46.65</v>
      </c>
      <c r="N163">
        <v>48.1</v>
      </c>
      <c r="O163">
        <v>51.56</v>
      </c>
      <c r="P163">
        <v>54.16</v>
      </c>
      <c r="Q163">
        <v>17.86</v>
      </c>
      <c r="R163">
        <v>1181.71</v>
      </c>
      <c r="S163">
        <v>32.44</v>
      </c>
      <c r="T163">
        <v>17</v>
      </c>
      <c r="U163">
        <v>12.7</v>
      </c>
      <c r="V163">
        <v>41.52</v>
      </c>
      <c r="W163">
        <v>42.67</v>
      </c>
      <c r="X163">
        <v>23.89</v>
      </c>
      <c r="Y163">
        <v>41.59</v>
      </c>
      <c r="Z163">
        <v>37.380000000000003</v>
      </c>
      <c r="AA163">
        <v>68.22</v>
      </c>
      <c r="AB163">
        <v>51.49</v>
      </c>
      <c r="AC163">
        <v>37.61</v>
      </c>
      <c r="AD163">
        <v>476.15</v>
      </c>
      <c r="AE163">
        <v>564.52</v>
      </c>
      <c r="AF163">
        <v>40.18</v>
      </c>
      <c r="AG163">
        <v>46.87</v>
      </c>
      <c r="AH163">
        <v>42.61</v>
      </c>
      <c r="AI163">
        <v>42.66</v>
      </c>
    </row>
    <row r="164" spans="1:35" x14ac:dyDescent="0.45">
      <c r="A164" s="2">
        <v>45748</v>
      </c>
      <c r="B164">
        <v>27.92</v>
      </c>
      <c r="C164">
        <v>30.2</v>
      </c>
      <c r="D164">
        <v>16.25</v>
      </c>
      <c r="E164">
        <v>25.26</v>
      </c>
      <c r="F164">
        <v>28.28</v>
      </c>
      <c r="G164">
        <v>44.57</v>
      </c>
      <c r="H164">
        <v>23.03</v>
      </c>
      <c r="I164">
        <v>48.2</v>
      </c>
      <c r="J164">
        <v>52.05</v>
      </c>
      <c r="K164">
        <v>54.85</v>
      </c>
      <c r="L164">
        <v>26.14</v>
      </c>
      <c r="M164">
        <v>48.1</v>
      </c>
      <c r="N164">
        <v>47.63</v>
      </c>
      <c r="O164">
        <v>51.05</v>
      </c>
      <c r="P164">
        <v>54.55</v>
      </c>
      <c r="Q164">
        <v>17.88</v>
      </c>
      <c r="R164">
        <v>1189.6600000000001</v>
      </c>
      <c r="S164">
        <v>32.89</v>
      </c>
      <c r="T164">
        <v>16.93</v>
      </c>
      <c r="U164">
        <v>12.56</v>
      </c>
      <c r="V164">
        <v>41.34</v>
      </c>
      <c r="W164">
        <v>42.39</v>
      </c>
      <c r="X164">
        <v>23.71</v>
      </c>
      <c r="Y164">
        <v>41.13</v>
      </c>
      <c r="Z164">
        <v>37.29</v>
      </c>
      <c r="AA164">
        <v>68.2</v>
      </c>
      <c r="AB164">
        <v>51.76</v>
      </c>
      <c r="AC164">
        <v>37.44</v>
      </c>
      <c r="AD164">
        <v>472.7</v>
      </c>
      <c r="AE164">
        <v>560.97</v>
      </c>
      <c r="AF164">
        <v>40.049999999999997</v>
      </c>
      <c r="AG164">
        <v>46.7</v>
      </c>
      <c r="AH164">
        <v>42.25</v>
      </c>
      <c r="AI164">
        <v>42.46</v>
      </c>
    </row>
    <row r="165" spans="1:35" x14ac:dyDescent="0.45">
      <c r="A165" s="2">
        <v>45747</v>
      </c>
      <c r="B165">
        <v>28.03</v>
      </c>
      <c r="C165">
        <v>29.82</v>
      </c>
      <c r="D165">
        <v>16.3</v>
      </c>
      <c r="E165">
        <v>25.3</v>
      </c>
      <c r="F165">
        <v>28.01</v>
      </c>
      <c r="G165">
        <v>43.89</v>
      </c>
      <c r="H165">
        <v>23.08</v>
      </c>
      <c r="I165">
        <v>47.48</v>
      </c>
      <c r="J165">
        <v>50.96</v>
      </c>
      <c r="K165">
        <v>54.04</v>
      </c>
      <c r="L165">
        <v>25.85</v>
      </c>
      <c r="M165">
        <v>48.13</v>
      </c>
      <c r="N165">
        <v>46.97</v>
      </c>
      <c r="O165">
        <v>51.48</v>
      </c>
      <c r="P165">
        <v>54.4</v>
      </c>
      <c r="Q165">
        <v>17.84</v>
      </c>
      <c r="R165">
        <v>1176.17</v>
      </c>
      <c r="S165">
        <v>32.82</v>
      </c>
      <c r="T165">
        <v>16.97</v>
      </c>
      <c r="U165">
        <v>12.48</v>
      </c>
      <c r="V165">
        <v>41.37</v>
      </c>
      <c r="W165">
        <v>42.08</v>
      </c>
      <c r="X165">
        <v>23.44</v>
      </c>
      <c r="Y165">
        <v>40.75</v>
      </c>
      <c r="Z165">
        <v>37.08</v>
      </c>
      <c r="AA165">
        <v>68.56</v>
      </c>
      <c r="AB165">
        <v>51.79</v>
      </c>
      <c r="AC165">
        <v>37.47</v>
      </c>
      <c r="AD165">
        <v>468.92</v>
      </c>
      <c r="AE165">
        <v>559.39</v>
      </c>
      <c r="AF165">
        <v>39.799999999999997</v>
      </c>
      <c r="AG165">
        <v>46.73</v>
      </c>
      <c r="AH165">
        <v>42.08</v>
      </c>
      <c r="AI165">
        <v>42.32</v>
      </c>
    </row>
    <row r="166" spans="1:35" x14ac:dyDescent="0.45">
      <c r="A166" s="2">
        <v>45744</v>
      </c>
      <c r="B166">
        <v>28.08</v>
      </c>
      <c r="C166">
        <v>29.76</v>
      </c>
      <c r="D166">
        <v>16.37</v>
      </c>
      <c r="E166">
        <v>24.98</v>
      </c>
      <c r="F166">
        <v>28.43</v>
      </c>
      <c r="G166">
        <v>44.200800000000001</v>
      </c>
      <c r="H166">
        <v>23</v>
      </c>
      <c r="I166">
        <v>47.82</v>
      </c>
      <c r="J166">
        <v>51.62</v>
      </c>
      <c r="K166">
        <v>54.79</v>
      </c>
      <c r="L166">
        <v>25.96</v>
      </c>
      <c r="M166">
        <v>47.6</v>
      </c>
      <c r="N166">
        <v>48.470100000000002</v>
      </c>
      <c r="O166">
        <v>51.28</v>
      </c>
      <c r="P166">
        <v>54.57</v>
      </c>
      <c r="Q166">
        <v>17.75</v>
      </c>
      <c r="R166">
        <v>1170.2</v>
      </c>
      <c r="S166">
        <v>32.67</v>
      </c>
      <c r="T166">
        <v>16.850000000000001</v>
      </c>
      <c r="U166">
        <v>12.38</v>
      </c>
      <c r="V166">
        <v>41.07</v>
      </c>
      <c r="W166">
        <v>42.05</v>
      </c>
      <c r="X166">
        <v>23.47</v>
      </c>
      <c r="Y166">
        <v>40.57</v>
      </c>
      <c r="Z166">
        <v>37.39</v>
      </c>
      <c r="AA166">
        <v>69.22</v>
      </c>
      <c r="AB166">
        <v>52.48</v>
      </c>
      <c r="AC166">
        <v>37.590000000000003</v>
      </c>
      <c r="AD166">
        <v>468.94</v>
      </c>
      <c r="AE166">
        <v>555.66</v>
      </c>
      <c r="AF166">
        <v>40.35</v>
      </c>
      <c r="AG166">
        <v>47.34</v>
      </c>
      <c r="AH166">
        <v>42.94</v>
      </c>
      <c r="AI166">
        <v>42.8</v>
      </c>
    </row>
    <row r="167" spans="1:35" x14ac:dyDescent="0.45">
      <c r="A167" s="2">
        <v>45743</v>
      </c>
      <c r="B167">
        <v>28.34</v>
      </c>
      <c r="C167">
        <v>30.17</v>
      </c>
      <c r="D167">
        <v>16.420000000000002</v>
      </c>
      <c r="E167">
        <v>25.1</v>
      </c>
      <c r="F167">
        <v>28.69</v>
      </c>
      <c r="G167">
        <v>44.86</v>
      </c>
      <c r="H167">
        <v>23.55</v>
      </c>
      <c r="I167">
        <v>49.2</v>
      </c>
      <c r="J167">
        <v>52.15</v>
      </c>
      <c r="K167">
        <v>56.49</v>
      </c>
      <c r="L167">
        <v>26.33</v>
      </c>
      <c r="M167">
        <v>48.21</v>
      </c>
      <c r="N167">
        <v>48.9</v>
      </c>
      <c r="O167">
        <v>51.79</v>
      </c>
      <c r="P167">
        <v>55.81</v>
      </c>
      <c r="Q167">
        <v>17.87</v>
      </c>
      <c r="R167">
        <v>1173.76</v>
      </c>
      <c r="S167">
        <v>32.31</v>
      </c>
      <c r="T167">
        <v>17.05</v>
      </c>
      <c r="U167">
        <v>12.56</v>
      </c>
      <c r="V167">
        <v>41.39</v>
      </c>
      <c r="W167">
        <v>42.6</v>
      </c>
      <c r="X167">
        <v>23.75</v>
      </c>
      <c r="Y167">
        <v>41.25</v>
      </c>
      <c r="Z167">
        <v>37.590000000000003</v>
      </c>
      <c r="AA167">
        <v>70.650000000000006</v>
      </c>
      <c r="AB167">
        <v>52.59</v>
      </c>
      <c r="AC167">
        <v>37.659999999999997</v>
      </c>
      <c r="AD167">
        <v>481.62</v>
      </c>
      <c r="AE167">
        <v>567.08000000000004</v>
      </c>
      <c r="AF167">
        <v>40.549999999999997</v>
      </c>
      <c r="AG167">
        <v>47.817599999999999</v>
      </c>
      <c r="AH167">
        <v>43.53</v>
      </c>
      <c r="AI167">
        <v>43.07</v>
      </c>
    </row>
    <row r="168" spans="1:35" x14ac:dyDescent="0.45">
      <c r="A168" s="2">
        <v>45742</v>
      </c>
      <c r="B168">
        <v>28.16</v>
      </c>
      <c r="C168">
        <v>30.27</v>
      </c>
      <c r="D168">
        <v>16.309999999999999</v>
      </c>
      <c r="E168">
        <v>25.021999999999998</v>
      </c>
      <c r="F168">
        <v>28.42</v>
      </c>
      <c r="G168">
        <v>44.493099999999998</v>
      </c>
      <c r="H168">
        <v>23.21</v>
      </c>
      <c r="I168">
        <v>49.51</v>
      </c>
      <c r="J168">
        <v>52.01</v>
      </c>
      <c r="K168">
        <v>56.81</v>
      </c>
      <c r="L168">
        <v>26.3</v>
      </c>
      <c r="M168">
        <v>48.16</v>
      </c>
      <c r="N168">
        <v>48.42</v>
      </c>
      <c r="O168">
        <v>51.4</v>
      </c>
      <c r="P168">
        <v>55</v>
      </c>
      <c r="Q168">
        <v>17.79</v>
      </c>
      <c r="R168">
        <v>1159.6400000000001</v>
      </c>
      <c r="S168">
        <v>32.76</v>
      </c>
      <c r="T168">
        <v>16.91</v>
      </c>
      <c r="U168">
        <v>12.49</v>
      </c>
      <c r="V168">
        <v>40.869999999999997</v>
      </c>
      <c r="W168">
        <v>42.48</v>
      </c>
      <c r="X168">
        <v>23.71</v>
      </c>
      <c r="Y168">
        <v>41.38</v>
      </c>
      <c r="Z168">
        <v>37.56</v>
      </c>
      <c r="AA168">
        <v>70.75</v>
      </c>
      <c r="AB168">
        <v>52.45</v>
      </c>
      <c r="AC168">
        <v>37.51</v>
      </c>
      <c r="AD168">
        <v>484.38</v>
      </c>
      <c r="AE168">
        <v>568.59</v>
      </c>
      <c r="AF168">
        <v>40.479999999999997</v>
      </c>
      <c r="AG168">
        <v>47.839799999999997</v>
      </c>
      <c r="AH168">
        <v>43.58</v>
      </c>
      <c r="AI168">
        <v>42.61</v>
      </c>
    </row>
    <row r="169" spans="1:35" x14ac:dyDescent="0.45">
      <c r="A169" s="2">
        <v>45741</v>
      </c>
      <c r="B169">
        <v>28.33</v>
      </c>
      <c r="C169">
        <v>30.76</v>
      </c>
      <c r="D169">
        <v>15.72</v>
      </c>
      <c r="E169">
        <v>25.2</v>
      </c>
      <c r="F169">
        <v>29.11</v>
      </c>
      <c r="G169">
        <v>45.2331</v>
      </c>
      <c r="H169">
        <v>23.17</v>
      </c>
      <c r="I169">
        <v>50.46</v>
      </c>
      <c r="J169">
        <v>52.59</v>
      </c>
      <c r="K169">
        <v>57.07</v>
      </c>
      <c r="L169">
        <v>26.42</v>
      </c>
      <c r="M169">
        <v>47.93</v>
      </c>
      <c r="N169">
        <v>48.48</v>
      </c>
      <c r="O169">
        <v>52.04</v>
      </c>
      <c r="P169">
        <v>55</v>
      </c>
      <c r="Q169">
        <v>17.87</v>
      </c>
      <c r="R169">
        <v>1160.06</v>
      </c>
      <c r="S169">
        <v>32.630000000000003</v>
      </c>
      <c r="T169">
        <v>16.91</v>
      </c>
      <c r="U169">
        <v>12.69</v>
      </c>
      <c r="V169">
        <v>40.28</v>
      </c>
      <c r="W169">
        <v>42.41</v>
      </c>
      <c r="X169">
        <v>23.81</v>
      </c>
      <c r="Y169">
        <v>41.71</v>
      </c>
      <c r="Z169">
        <v>38.380000000000003</v>
      </c>
      <c r="AA169">
        <v>71.680000000000007</v>
      </c>
      <c r="AB169">
        <v>52.98</v>
      </c>
      <c r="AC169">
        <v>37.64</v>
      </c>
      <c r="AD169">
        <v>493.46</v>
      </c>
      <c r="AE169">
        <v>575.46</v>
      </c>
      <c r="AF169">
        <v>41.23</v>
      </c>
      <c r="AG169">
        <v>48.56</v>
      </c>
      <c r="AH169">
        <v>44.67</v>
      </c>
      <c r="AI169">
        <v>43.42</v>
      </c>
    </row>
    <row r="170" spans="1:35" x14ac:dyDescent="0.45">
      <c r="A170" s="2">
        <v>45740</v>
      </c>
      <c r="B170">
        <v>28.3</v>
      </c>
      <c r="C170">
        <v>30.41</v>
      </c>
      <c r="D170">
        <v>15.34</v>
      </c>
      <c r="E170">
        <v>25.43</v>
      </c>
      <c r="F170">
        <v>28.56</v>
      </c>
      <c r="G170">
        <v>44.6</v>
      </c>
      <c r="H170">
        <v>23</v>
      </c>
      <c r="I170">
        <v>50.38</v>
      </c>
      <c r="J170">
        <v>52.04</v>
      </c>
      <c r="K170">
        <v>57.31</v>
      </c>
      <c r="L170">
        <v>26.19</v>
      </c>
      <c r="M170">
        <v>47.71</v>
      </c>
      <c r="N170">
        <v>48.31</v>
      </c>
      <c r="O170">
        <v>52.12</v>
      </c>
      <c r="P170">
        <v>55.61</v>
      </c>
      <c r="Q170">
        <v>17.86</v>
      </c>
      <c r="R170">
        <v>1187.6300000000001</v>
      </c>
      <c r="S170">
        <v>31.74</v>
      </c>
      <c r="T170">
        <v>17.04</v>
      </c>
      <c r="U170">
        <v>12.7</v>
      </c>
      <c r="V170">
        <v>40.49</v>
      </c>
      <c r="W170">
        <v>41.83</v>
      </c>
      <c r="X170">
        <v>23.7</v>
      </c>
      <c r="Y170">
        <v>41.51</v>
      </c>
      <c r="Z170">
        <v>38.03</v>
      </c>
      <c r="AA170">
        <v>71.17</v>
      </c>
      <c r="AB170">
        <v>52.9</v>
      </c>
      <c r="AC170">
        <v>37.53</v>
      </c>
      <c r="AD170">
        <v>490.66</v>
      </c>
      <c r="AE170">
        <v>574.08000000000004</v>
      </c>
      <c r="AF170">
        <v>40.909999999999997</v>
      </c>
      <c r="AG170">
        <v>48.33</v>
      </c>
      <c r="AH170">
        <v>44.24</v>
      </c>
      <c r="AI170">
        <v>42.98</v>
      </c>
    </row>
    <row r="171" spans="1:35" x14ac:dyDescent="0.45">
      <c r="A171" s="2">
        <v>45737</v>
      </c>
      <c r="B171">
        <v>28.17</v>
      </c>
      <c r="C171">
        <v>30.3</v>
      </c>
      <c r="D171">
        <v>15.62</v>
      </c>
      <c r="E171">
        <v>25.79</v>
      </c>
      <c r="F171">
        <v>28.13</v>
      </c>
      <c r="G171">
        <v>44.66</v>
      </c>
      <c r="H171">
        <v>23.15</v>
      </c>
      <c r="I171">
        <v>50.22</v>
      </c>
      <c r="J171">
        <v>51.7</v>
      </c>
      <c r="K171">
        <v>56.86</v>
      </c>
      <c r="L171">
        <v>26.57</v>
      </c>
      <c r="M171">
        <v>47.6</v>
      </c>
      <c r="N171">
        <v>46.99</v>
      </c>
      <c r="O171">
        <v>51.47</v>
      </c>
      <c r="P171">
        <v>55.65</v>
      </c>
      <c r="Q171">
        <v>17.989999999999998</v>
      </c>
      <c r="R171">
        <v>1177.44</v>
      </c>
      <c r="S171">
        <v>30.77</v>
      </c>
      <c r="T171">
        <v>16.829999999999998</v>
      </c>
      <c r="U171">
        <v>12.54</v>
      </c>
      <c r="V171">
        <v>40.340000000000003</v>
      </c>
      <c r="W171">
        <v>41.82</v>
      </c>
      <c r="X171">
        <v>23.43</v>
      </c>
      <c r="Y171">
        <v>40.880000000000003</v>
      </c>
      <c r="Z171">
        <v>38.090000000000003</v>
      </c>
      <c r="AA171">
        <v>71.33</v>
      </c>
      <c r="AB171">
        <v>53.06</v>
      </c>
      <c r="AC171">
        <v>37.53</v>
      </c>
      <c r="AD171">
        <v>480.84</v>
      </c>
      <c r="AE171">
        <v>563.98</v>
      </c>
      <c r="AF171">
        <v>40.909999999999997</v>
      </c>
      <c r="AG171">
        <v>48.25</v>
      </c>
      <c r="AH171">
        <v>44.03</v>
      </c>
      <c r="AI171">
        <v>42.95</v>
      </c>
    </row>
    <row r="172" spans="1:35" x14ac:dyDescent="0.45">
      <c r="A172" s="2">
        <v>45736</v>
      </c>
      <c r="B172">
        <v>28.46</v>
      </c>
      <c r="C172">
        <v>30.52</v>
      </c>
      <c r="D172">
        <v>15.91</v>
      </c>
      <c r="E172">
        <v>25.91</v>
      </c>
      <c r="F172">
        <v>28.35</v>
      </c>
      <c r="G172">
        <v>44.589399999999998</v>
      </c>
      <c r="H172">
        <v>22.94</v>
      </c>
      <c r="I172">
        <v>50.28</v>
      </c>
      <c r="J172">
        <v>52.26</v>
      </c>
      <c r="K172">
        <v>56.73</v>
      </c>
      <c r="L172">
        <v>26.58</v>
      </c>
      <c r="M172">
        <v>48.03</v>
      </c>
      <c r="N172">
        <v>47.865000000000002</v>
      </c>
      <c r="O172">
        <v>50.76</v>
      </c>
      <c r="P172">
        <v>56.69</v>
      </c>
      <c r="Q172">
        <v>17.920000000000002</v>
      </c>
      <c r="R172">
        <v>1202.03</v>
      </c>
      <c r="S172">
        <v>33.28</v>
      </c>
      <c r="T172">
        <v>16.95</v>
      </c>
      <c r="U172">
        <v>12.4</v>
      </c>
      <c r="V172">
        <v>40.35</v>
      </c>
      <c r="W172">
        <v>41.75</v>
      </c>
      <c r="X172">
        <v>23.53</v>
      </c>
      <c r="Y172">
        <v>41.03</v>
      </c>
      <c r="Z172">
        <v>38.36</v>
      </c>
      <c r="AA172">
        <v>71.319999999999993</v>
      </c>
      <c r="AB172">
        <v>53.28</v>
      </c>
      <c r="AC172">
        <v>37.880000000000003</v>
      </c>
      <c r="AD172">
        <v>479.26</v>
      </c>
      <c r="AE172">
        <v>565.49</v>
      </c>
      <c r="AF172">
        <v>41.28</v>
      </c>
      <c r="AG172">
        <v>48.87</v>
      </c>
      <c r="AH172">
        <v>44.41</v>
      </c>
      <c r="AI172">
        <v>43.26</v>
      </c>
    </row>
    <row r="173" spans="1:35" x14ac:dyDescent="0.45">
      <c r="A173" s="2">
        <v>45735</v>
      </c>
      <c r="B173">
        <v>28.96</v>
      </c>
      <c r="C173">
        <v>30.94</v>
      </c>
      <c r="D173">
        <v>15.95</v>
      </c>
      <c r="E173">
        <v>25.87</v>
      </c>
      <c r="F173">
        <v>28.79</v>
      </c>
      <c r="G173">
        <v>44.48</v>
      </c>
      <c r="H173">
        <v>23.32</v>
      </c>
      <c r="I173">
        <v>50.14</v>
      </c>
      <c r="J173">
        <v>52.42</v>
      </c>
      <c r="K173">
        <v>57.24</v>
      </c>
      <c r="L173">
        <v>26.94</v>
      </c>
      <c r="M173">
        <v>48.77</v>
      </c>
      <c r="N173">
        <v>48.03</v>
      </c>
      <c r="O173">
        <v>50.61</v>
      </c>
      <c r="P173">
        <v>58.31</v>
      </c>
      <c r="Q173">
        <v>18.14</v>
      </c>
      <c r="R173">
        <v>1189.55</v>
      </c>
      <c r="S173">
        <v>33.04</v>
      </c>
      <c r="T173">
        <v>17.02</v>
      </c>
      <c r="U173">
        <v>12.6</v>
      </c>
      <c r="V173">
        <v>40.380000000000003</v>
      </c>
      <c r="W173">
        <v>42.29</v>
      </c>
      <c r="X173">
        <v>23.65</v>
      </c>
      <c r="Y173">
        <v>41.04</v>
      </c>
      <c r="Z173">
        <v>39.04</v>
      </c>
      <c r="AA173">
        <v>71.7</v>
      </c>
      <c r="AB173">
        <v>53.24</v>
      </c>
      <c r="AC173">
        <v>37.99</v>
      </c>
      <c r="AD173">
        <v>480.89</v>
      </c>
      <c r="AE173">
        <v>567.13</v>
      </c>
      <c r="AF173">
        <v>41.97</v>
      </c>
      <c r="AG173">
        <v>49.49</v>
      </c>
      <c r="AH173">
        <v>44.73</v>
      </c>
      <c r="AI173">
        <v>43.99</v>
      </c>
    </row>
    <row r="174" spans="1:35" x14ac:dyDescent="0.45">
      <c r="A174" s="2">
        <v>45734</v>
      </c>
      <c r="B174">
        <v>29.02</v>
      </c>
      <c r="C174">
        <v>30.9</v>
      </c>
      <c r="D174">
        <v>15.74</v>
      </c>
      <c r="E174">
        <v>25.67</v>
      </c>
      <c r="F174">
        <v>29.15</v>
      </c>
      <c r="G174">
        <v>44.281399999999998</v>
      </c>
      <c r="H174">
        <v>23.39</v>
      </c>
      <c r="I174">
        <v>50.2</v>
      </c>
      <c r="J174">
        <v>52.41</v>
      </c>
      <c r="K174">
        <v>56.97</v>
      </c>
      <c r="L174">
        <v>26.57</v>
      </c>
      <c r="M174">
        <v>47.69</v>
      </c>
      <c r="N174">
        <v>48.150500000000001</v>
      </c>
      <c r="O174">
        <v>49.88</v>
      </c>
      <c r="P174">
        <v>58.36</v>
      </c>
      <c r="Q174">
        <v>18.149999999999999</v>
      </c>
      <c r="R174">
        <v>1206.96</v>
      </c>
      <c r="S174">
        <v>37.79</v>
      </c>
      <c r="T174">
        <v>16.940000000000001</v>
      </c>
      <c r="U174">
        <v>12.62</v>
      </c>
      <c r="V174">
        <v>40.590000000000003</v>
      </c>
      <c r="W174">
        <v>41.95</v>
      </c>
      <c r="X174">
        <v>23.43</v>
      </c>
      <c r="Y174">
        <v>40.520000000000003</v>
      </c>
      <c r="Z174">
        <v>39.31</v>
      </c>
      <c r="AA174">
        <v>70.89</v>
      </c>
      <c r="AB174">
        <v>53.43</v>
      </c>
      <c r="AC174">
        <v>37.950000000000003</v>
      </c>
      <c r="AD174">
        <v>474.54</v>
      </c>
      <c r="AE174">
        <v>561.02</v>
      </c>
      <c r="AF174">
        <v>41.81</v>
      </c>
      <c r="AG174">
        <v>49.28</v>
      </c>
      <c r="AH174">
        <v>44.67</v>
      </c>
      <c r="AI174">
        <v>43.92</v>
      </c>
    </row>
    <row r="175" spans="1:35" x14ac:dyDescent="0.45">
      <c r="A175" s="2">
        <v>45733</v>
      </c>
      <c r="B175">
        <v>29.2</v>
      </c>
      <c r="C175">
        <v>30.71</v>
      </c>
      <c r="D175">
        <v>16.62</v>
      </c>
      <c r="E175">
        <v>26</v>
      </c>
      <c r="F175">
        <v>29.01</v>
      </c>
      <c r="G175">
        <v>44.12</v>
      </c>
      <c r="H175">
        <v>23.44</v>
      </c>
      <c r="I175">
        <v>50.71</v>
      </c>
      <c r="J175">
        <v>53.28</v>
      </c>
      <c r="K175">
        <v>57.86</v>
      </c>
      <c r="L175">
        <v>26.45</v>
      </c>
      <c r="M175">
        <v>47.74</v>
      </c>
      <c r="N175">
        <v>48.59</v>
      </c>
      <c r="O175">
        <v>49.44</v>
      </c>
      <c r="P175">
        <v>58.65</v>
      </c>
      <c r="Q175">
        <v>18.18</v>
      </c>
      <c r="R175">
        <v>1177.6400000000001</v>
      </c>
      <c r="S175">
        <v>38.549999999999997</v>
      </c>
      <c r="T175">
        <v>17.100000000000001</v>
      </c>
      <c r="U175">
        <v>12.76</v>
      </c>
      <c r="V175">
        <v>41.13</v>
      </c>
      <c r="W175">
        <v>42.77</v>
      </c>
      <c r="X175">
        <v>23.87</v>
      </c>
      <c r="Y175">
        <v>40.69</v>
      </c>
      <c r="Z175">
        <v>39.03</v>
      </c>
      <c r="AA175">
        <v>71.09</v>
      </c>
      <c r="AB175">
        <v>53.33</v>
      </c>
      <c r="AC175">
        <v>37.97</v>
      </c>
      <c r="AD175">
        <v>482.77</v>
      </c>
      <c r="AE175">
        <v>567.15</v>
      </c>
      <c r="AF175">
        <v>41.68</v>
      </c>
      <c r="AG175">
        <v>49.21</v>
      </c>
      <c r="AH175">
        <v>44.97</v>
      </c>
      <c r="AI175">
        <v>43.53</v>
      </c>
    </row>
    <row r="176" spans="1:35" x14ac:dyDescent="0.45">
      <c r="A176" s="2">
        <v>45730</v>
      </c>
      <c r="B176">
        <v>29.34</v>
      </c>
      <c r="C176">
        <v>30.06</v>
      </c>
      <c r="D176">
        <v>16.57</v>
      </c>
      <c r="E176">
        <v>25.785</v>
      </c>
      <c r="F176">
        <v>28.5</v>
      </c>
      <c r="G176">
        <v>43.37</v>
      </c>
      <c r="H176">
        <v>23.21</v>
      </c>
      <c r="I176">
        <v>50.27</v>
      </c>
      <c r="J176">
        <v>52.36</v>
      </c>
      <c r="K176">
        <v>56.14</v>
      </c>
      <c r="L176">
        <v>25.84</v>
      </c>
      <c r="M176">
        <v>47</v>
      </c>
      <c r="N176">
        <v>47.95</v>
      </c>
      <c r="O176">
        <v>48.91</v>
      </c>
      <c r="P176">
        <v>57.37</v>
      </c>
      <c r="Q176">
        <v>18.12</v>
      </c>
      <c r="R176">
        <v>1188.4100000000001</v>
      </c>
      <c r="S176">
        <v>38.340000000000003</v>
      </c>
      <c r="T176">
        <v>16.97</v>
      </c>
      <c r="U176">
        <v>12.66</v>
      </c>
      <c r="V176">
        <v>40.479999999999997</v>
      </c>
      <c r="W176">
        <v>42.45</v>
      </c>
      <c r="X176">
        <v>23.5</v>
      </c>
      <c r="Y176">
        <v>40.11</v>
      </c>
      <c r="Z176">
        <v>38.619999999999997</v>
      </c>
      <c r="AA176">
        <v>70.349999999999994</v>
      </c>
      <c r="AB176">
        <v>52.59</v>
      </c>
      <c r="AC176">
        <v>37.71</v>
      </c>
      <c r="AD176">
        <v>479.66</v>
      </c>
      <c r="AE176">
        <v>562.80999999999995</v>
      </c>
      <c r="AF176">
        <v>41.29</v>
      </c>
      <c r="AG176">
        <v>48.68</v>
      </c>
      <c r="AH176">
        <v>44.55</v>
      </c>
      <c r="AI176">
        <v>43.03</v>
      </c>
    </row>
    <row r="177" spans="1:35" x14ac:dyDescent="0.45">
      <c r="A177" s="2">
        <v>45729</v>
      </c>
      <c r="B177">
        <v>28.34</v>
      </c>
      <c r="C177">
        <v>29.76</v>
      </c>
      <c r="D177">
        <v>16.73</v>
      </c>
      <c r="E177">
        <v>25.38</v>
      </c>
      <c r="F177">
        <v>27.58</v>
      </c>
      <c r="G177">
        <v>42.25</v>
      </c>
      <c r="H177">
        <v>22.91</v>
      </c>
      <c r="I177">
        <v>49.63</v>
      </c>
      <c r="J177">
        <v>51.19</v>
      </c>
      <c r="K177">
        <v>55.22</v>
      </c>
      <c r="L177">
        <v>24.8</v>
      </c>
      <c r="M177">
        <v>45.86</v>
      </c>
      <c r="N177">
        <v>46.83</v>
      </c>
      <c r="O177">
        <v>48.51</v>
      </c>
      <c r="P177">
        <v>55.77</v>
      </c>
      <c r="Q177">
        <v>17.940000000000001</v>
      </c>
      <c r="R177">
        <v>1203.72</v>
      </c>
      <c r="S177">
        <v>37.89</v>
      </c>
      <c r="T177">
        <v>16.78</v>
      </c>
      <c r="U177">
        <v>12.44</v>
      </c>
      <c r="V177">
        <v>40.020000000000003</v>
      </c>
      <c r="W177">
        <v>41.91</v>
      </c>
      <c r="X177">
        <v>23.02</v>
      </c>
      <c r="Y177">
        <v>39.299999999999997</v>
      </c>
      <c r="Z177">
        <v>37.590000000000003</v>
      </c>
      <c r="AA177">
        <v>69.260000000000005</v>
      </c>
      <c r="AB177">
        <v>52.14</v>
      </c>
      <c r="AC177">
        <v>37.130000000000003</v>
      </c>
      <c r="AD177">
        <v>468.34</v>
      </c>
      <c r="AE177">
        <v>551.41999999999996</v>
      </c>
      <c r="AF177">
        <v>40.47</v>
      </c>
      <c r="AG177">
        <v>47.580100000000002</v>
      </c>
      <c r="AH177">
        <v>43.07</v>
      </c>
      <c r="AI177">
        <v>41.94</v>
      </c>
    </row>
    <row r="178" spans="1:35" x14ac:dyDescent="0.45">
      <c r="A178" s="2">
        <v>45728</v>
      </c>
      <c r="B178">
        <v>28.434999999999999</v>
      </c>
      <c r="C178">
        <v>29.34</v>
      </c>
      <c r="D178">
        <v>16.87</v>
      </c>
      <c r="E178">
        <v>25.08</v>
      </c>
      <c r="F178">
        <v>27.17</v>
      </c>
      <c r="G178">
        <v>41.747100000000003</v>
      </c>
      <c r="H178">
        <v>22.53</v>
      </c>
      <c r="I178">
        <v>50.67</v>
      </c>
      <c r="J178">
        <v>50.98</v>
      </c>
      <c r="K178">
        <v>55.95</v>
      </c>
      <c r="L178">
        <v>24.48</v>
      </c>
      <c r="M178">
        <v>45.97</v>
      </c>
      <c r="N178">
        <v>46.85</v>
      </c>
      <c r="O178">
        <v>48.73</v>
      </c>
      <c r="P178">
        <v>55.63</v>
      </c>
      <c r="Q178">
        <v>18.079999999999998</v>
      </c>
      <c r="R178">
        <v>1215.73</v>
      </c>
      <c r="S178">
        <v>37.619999999999997</v>
      </c>
      <c r="T178">
        <v>16.78</v>
      </c>
      <c r="U178">
        <v>12.58</v>
      </c>
      <c r="V178">
        <v>40.06</v>
      </c>
      <c r="W178">
        <v>42.34</v>
      </c>
      <c r="X178">
        <v>23.31</v>
      </c>
      <c r="Y178">
        <v>39.840000000000003</v>
      </c>
      <c r="Z178">
        <v>37.99</v>
      </c>
      <c r="AA178">
        <v>69.52</v>
      </c>
      <c r="AB178">
        <v>52.41</v>
      </c>
      <c r="AC178">
        <v>37.119999999999997</v>
      </c>
      <c r="AD178">
        <v>476.92</v>
      </c>
      <c r="AE178">
        <v>558.87</v>
      </c>
      <c r="AF178">
        <v>40.97</v>
      </c>
      <c r="AG178">
        <v>48.12</v>
      </c>
      <c r="AH178">
        <v>43.77</v>
      </c>
      <c r="AI178">
        <v>42.5</v>
      </c>
    </row>
    <row r="179" spans="1:35" x14ac:dyDescent="0.45">
      <c r="A179" s="2">
        <v>45727</v>
      </c>
      <c r="B179">
        <v>28.51</v>
      </c>
      <c r="C179">
        <v>29.39</v>
      </c>
      <c r="D179">
        <v>16.46</v>
      </c>
      <c r="E179">
        <v>25.07</v>
      </c>
      <c r="F179">
        <v>26.88</v>
      </c>
      <c r="G179">
        <v>41.101199999999999</v>
      </c>
      <c r="H179">
        <v>23.1</v>
      </c>
      <c r="I179">
        <v>49.98</v>
      </c>
      <c r="J179">
        <v>50.25</v>
      </c>
      <c r="K179">
        <v>54.69</v>
      </c>
      <c r="L179">
        <v>24.38</v>
      </c>
      <c r="M179">
        <v>46.31</v>
      </c>
      <c r="N179">
        <v>45.64</v>
      </c>
      <c r="O179">
        <v>48.66</v>
      </c>
      <c r="P179">
        <v>55.83</v>
      </c>
      <c r="Q179">
        <v>18.05</v>
      </c>
      <c r="R179">
        <v>1231.1400000000001</v>
      </c>
      <c r="S179">
        <v>37.049999999999997</v>
      </c>
      <c r="T179">
        <v>16.579999999999998</v>
      </c>
      <c r="U179">
        <v>12.41</v>
      </c>
      <c r="V179">
        <v>39.950000000000003</v>
      </c>
      <c r="W179">
        <v>42.39</v>
      </c>
      <c r="X179">
        <v>23.32</v>
      </c>
      <c r="Y179">
        <v>39.479999999999997</v>
      </c>
      <c r="Z179">
        <v>37.74</v>
      </c>
      <c r="AA179">
        <v>68.260000000000005</v>
      </c>
      <c r="AB179">
        <v>51.87</v>
      </c>
      <c r="AC179">
        <v>36.96</v>
      </c>
      <c r="AD179">
        <v>471.6</v>
      </c>
      <c r="AE179">
        <v>555.91999999999996</v>
      </c>
      <c r="AF179">
        <v>41.09</v>
      </c>
      <c r="AG179">
        <v>47.81</v>
      </c>
      <c r="AH179">
        <v>43.88</v>
      </c>
      <c r="AI179">
        <v>42.27</v>
      </c>
    </row>
    <row r="180" spans="1:35" x14ac:dyDescent="0.45">
      <c r="A180" s="2">
        <v>45726</v>
      </c>
      <c r="B180">
        <v>28.09</v>
      </c>
      <c r="C180">
        <v>29.16</v>
      </c>
      <c r="D180">
        <v>16.690000000000001</v>
      </c>
      <c r="E180">
        <v>25.47</v>
      </c>
      <c r="F180">
        <v>26.44</v>
      </c>
      <c r="G180">
        <v>40.6935</v>
      </c>
      <c r="H180">
        <v>23.12</v>
      </c>
      <c r="I180">
        <v>49.89</v>
      </c>
      <c r="J180">
        <v>50.16</v>
      </c>
      <c r="K180">
        <v>54.09</v>
      </c>
      <c r="L180">
        <v>24.3</v>
      </c>
      <c r="M180">
        <v>45.77</v>
      </c>
      <c r="N180">
        <v>44.77</v>
      </c>
      <c r="O180">
        <v>48.36</v>
      </c>
      <c r="P180">
        <v>54.79</v>
      </c>
      <c r="Q180">
        <v>18.07</v>
      </c>
      <c r="R180">
        <v>1206.3900000000001</v>
      </c>
      <c r="S180">
        <v>36.82</v>
      </c>
      <c r="T180">
        <v>16.61</v>
      </c>
      <c r="U180">
        <v>12.24</v>
      </c>
      <c r="V180">
        <v>40.04</v>
      </c>
      <c r="W180">
        <v>42.75</v>
      </c>
      <c r="X180">
        <v>23.42</v>
      </c>
      <c r="Y180">
        <v>39.68</v>
      </c>
      <c r="Z180">
        <v>37.79</v>
      </c>
      <c r="AA180">
        <v>68.680000000000007</v>
      </c>
      <c r="AB180">
        <v>52.62</v>
      </c>
      <c r="AC180">
        <v>37.049999999999997</v>
      </c>
      <c r="AD180">
        <v>472.73</v>
      </c>
      <c r="AE180">
        <v>560.58000000000004</v>
      </c>
      <c r="AF180">
        <v>41</v>
      </c>
      <c r="AG180">
        <v>47.48</v>
      </c>
      <c r="AH180">
        <v>43.82</v>
      </c>
      <c r="AI180">
        <v>42.15</v>
      </c>
    </row>
    <row r="181" spans="1:35" x14ac:dyDescent="0.45">
      <c r="A181" s="2">
        <v>45723</v>
      </c>
      <c r="B181">
        <v>28.45</v>
      </c>
      <c r="C181">
        <v>29.77</v>
      </c>
      <c r="D181">
        <v>17.100000000000001</v>
      </c>
      <c r="E181">
        <v>25.36</v>
      </c>
      <c r="F181">
        <v>27.42</v>
      </c>
      <c r="G181">
        <v>41.577599999999997</v>
      </c>
      <c r="H181">
        <v>23.29</v>
      </c>
      <c r="I181">
        <v>51.23</v>
      </c>
      <c r="J181">
        <v>51.53</v>
      </c>
      <c r="K181">
        <v>55.68</v>
      </c>
      <c r="L181">
        <v>24.82</v>
      </c>
      <c r="M181">
        <v>46.84</v>
      </c>
      <c r="N181">
        <v>45.53</v>
      </c>
      <c r="O181">
        <v>49.08</v>
      </c>
      <c r="P181">
        <v>56.5</v>
      </c>
      <c r="Q181">
        <v>18.07</v>
      </c>
      <c r="R181">
        <v>1235.8499999999999</v>
      </c>
      <c r="S181">
        <v>37.28</v>
      </c>
      <c r="T181">
        <v>16.920000000000002</v>
      </c>
      <c r="U181">
        <v>12.4</v>
      </c>
      <c r="V181">
        <v>40.39</v>
      </c>
      <c r="W181">
        <v>42.984999999999999</v>
      </c>
      <c r="X181">
        <v>23.89</v>
      </c>
      <c r="Y181">
        <v>40.47</v>
      </c>
      <c r="Z181">
        <v>38.81</v>
      </c>
      <c r="AA181">
        <v>70.17</v>
      </c>
      <c r="AB181">
        <v>53.53</v>
      </c>
      <c r="AC181">
        <v>37.83</v>
      </c>
      <c r="AD181">
        <v>491.79</v>
      </c>
      <c r="AE181">
        <v>575.91999999999996</v>
      </c>
      <c r="AF181">
        <v>41.87</v>
      </c>
      <c r="AG181">
        <v>49.36</v>
      </c>
      <c r="AH181">
        <v>45.12</v>
      </c>
      <c r="AI181">
        <v>42.85</v>
      </c>
    </row>
    <row r="182" spans="1:35" x14ac:dyDescent="0.45">
      <c r="A182" s="2">
        <v>45722</v>
      </c>
      <c r="B182">
        <v>28.625</v>
      </c>
      <c r="C182">
        <v>29.69</v>
      </c>
      <c r="D182">
        <v>17.12</v>
      </c>
      <c r="E182">
        <v>25.14</v>
      </c>
      <c r="F182">
        <v>26.86</v>
      </c>
      <c r="G182">
        <v>41.46</v>
      </c>
      <c r="H182">
        <v>23.42</v>
      </c>
      <c r="I182">
        <v>50.79</v>
      </c>
      <c r="J182">
        <v>51.45</v>
      </c>
      <c r="K182">
        <v>54.94</v>
      </c>
      <c r="L182">
        <v>24.57</v>
      </c>
      <c r="M182">
        <v>46.57</v>
      </c>
      <c r="N182">
        <v>44.85</v>
      </c>
      <c r="O182">
        <v>48.94</v>
      </c>
      <c r="P182">
        <v>56.53</v>
      </c>
      <c r="Q182">
        <v>18.14</v>
      </c>
      <c r="R182">
        <v>1246.21</v>
      </c>
      <c r="S182">
        <v>37.28</v>
      </c>
      <c r="T182">
        <v>17.09</v>
      </c>
      <c r="U182">
        <v>12.2</v>
      </c>
      <c r="V182">
        <v>40.270000000000003</v>
      </c>
      <c r="W182">
        <v>42.72</v>
      </c>
      <c r="X182">
        <v>24.02</v>
      </c>
      <c r="Y182">
        <v>40.369999999999997</v>
      </c>
      <c r="Z182">
        <v>38.590000000000003</v>
      </c>
      <c r="AA182">
        <v>69.61</v>
      </c>
      <c r="AB182">
        <v>52.59</v>
      </c>
      <c r="AC182">
        <v>37.25</v>
      </c>
      <c r="AD182">
        <v>488.2</v>
      </c>
      <c r="AE182">
        <v>572.71</v>
      </c>
      <c r="AF182">
        <v>41.43</v>
      </c>
      <c r="AG182">
        <v>48.48</v>
      </c>
      <c r="AH182">
        <v>44.31</v>
      </c>
      <c r="AI182">
        <v>42.27</v>
      </c>
    </row>
    <row r="183" spans="1:35" x14ac:dyDescent="0.45">
      <c r="A183" s="2">
        <v>45721</v>
      </c>
      <c r="B183">
        <v>28.38</v>
      </c>
      <c r="C183">
        <v>29.39</v>
      </c>
      <c r="D183">
        <v>17.05</v>
      </c>
      <c r="E183">
        <v>24.71</v>
      </c>
      <c r="F183">
        <v>26.92</v>
      </c>
      <c r="G183">
        <v>41.4694</v>
      </c>
      <c r="H183">
        <v>23.73</v>
      </c>
      <c r="I183">
        <v>52.07</v>
      </c>
      <c r="J183">
        <v>51.03</v>
      </c>
      <c r="K183">
        <v>56.05</v>
      </c>
      <c r="L183">
        <v>24.58</v>
      </c>
      <c r="M183">
        <v>46.39</v>
      </c>
      <c r="N183">
        <v>45.28</v>
      </c>
      <c r="O183">
        <v>48.93</v>
      </c>
      <c r="P183">
        <v>56.22</v>
      </c>
      <c r="Q183">
        <v>18.05</v>
      </c>
      <c r="R183">
        <v>1245.6099999999999</v>
      </c>
      <c r="S183">
        <v>36.340000000000003</v>
      </c>
      <c r="T183">
        <v>17.3</v>
      </c>
      <c r="U183">
        <v>11.95</v>
      </c>
      <c r="V183">
        <v>40.75</v>
      </c>
      <c r="W183">
        <v>42.94</v>
      </c>
      <c r="X183">
        <v>24.41</v>
      </c>
      <c r="Y183">
        <v>40.729999999999997</v>
      </c>
      <c r="Z183">
        <v>38.53</v>
      </c>
      <c r="AA183">
        <v>70.150000000000006</v>
      </c>
      <c r="AB183">
        <v>52.86</v>
      </c>
      <c r="AC183">
        <v>37.92</v>
      </c>
      <c r="AD183">
        <v>502.01</v>
      </c>
      <c r="AE183">
        <v>583.05999999999995</v>
      </c>
      <c r="AF183">
        <v>42.02</v>
      </c>
      <c r="AG183">
        <v>49.02</v>
      </c>
      <c r="AH183">
        <v>45.1</v>
      </c>
      <c r="AI183">
        <v>42.69</v>
      </c>
    </row>
    <row r="184" spans="1:35" x14ac:dyDescent="0.45">
      <c r="A184" s="2">
        <v>45720</v>
      </c>
      <c r="B184">
        <v>27.97</v>
      </c>
      <c r="C184">
        <v>28.9</v>
      </c>
      <c r="D184">
        <v>16.46</v>
      </c>
      <c r="E184">
        <v>24.25</v>
      </c>
      <c r="F184">
        <v>25.51</v>
      </c>
      <c r="G184">
        <v>40.440899999999999</v>
      </c>
      <c r="H184">
        <v>23.23</v>
      </c>
      <c r="I184">
        <v>51.04</v>
      </c>
      <c r="J184">
        <v>50.02</v>
      </c>
      <c r="K184">
        <v>54.57</v>
      </c>
      <c r="L184">
        <v>23.91</v>
      </c>
      <c r="M184">
        <v>45.07</v>
      </c>
      <c r="N184">
        <v>43.36</v>
      </c>
      <c r="O184">
        <v>47.85</v>
      </c>
      <c r="P184">
        <v>53.6</v>
      </c>
      <c r="Q184">
        <v>17.96</v>
      </c>
      <c r="R184">
        <v>1262.27</v>
      </c>
      <c r="S184">
        <v>35.200000000000003</v>
      </c>
      <c r="T184">
        <v>17.32</v>
      </c>
      <c r="U184">
        <v>11.97</v>
      </c>
      <c r="V184">
        <v>40.64</v>
      </c>
      <c r="W184">
        <v>42.25</v>
      </c>
      <c r="X184">
        <v>23.92</v>
      </c>
      <c r="Y184">
        <v>39.770000000000003</v>
      </c>
      <c r="Z184">
        <v>37.03</v>
      </c>
      <c r="AA184">
        <v>68.64</v>
      </c>
      <c r="AB184">
        <v>52.71</v>
      </c>
      <c r="AC184">
        <v>37.549999999999997</v>
      </c>
      <c r="AD184">
        <v>495.55</v>
      </c>
      <c r="AE184">
        <v>576.86</v>
      </c>
      <c r="AF184">
        <v>40.78</v>
      </c>
      <c r="AG184">
        <v>47.8</v>
      </c>
      <c r="AH184">
        <v>43.32</v>
      </c>
      <c r="AI184">
        <v>41.28</v>
      </c>
    </row>
    <row r="185" spans="1:35" x14ac:dyDescent="0.45">
      <c r="A185" s="2">
        <v>45719</v>
      </c>
      <c r="B185">
        <v>27.77</v>
      </c>
      <c r="C185">
        <v>28.36</v>
      </c>
      <c r="D185">
        <v>16.66</v>
      </c>
      <c r="E185">
        <v>24.05</v>
      </c>
      <c r="F185">
        <v>25.68</v>
      </c>
      <c r="G185">
        <v>40.524500000000003</v>
      </c>
      <c r="H185">
        <v>23.4</v>
      </c>
      <c r="I185">
        <v>50.25</v>
      </c>
      <c r="J185">
        <v>49.85</v>
      </c>
      <c r="K185">
        <v>54.32</v>
      </c>
      <c r="L185">
        <v>24.14</v>
      </c>
      <c r="M185">
        <v>44.54</v>
      </c>
      <c r="N185">
        <v>43.25</v>
      </c>
      <c r="O185">
        <v>47.8</v>
      </c>
      <c r="P185">
        <v>52.81</v>
      </c>
      <c r="Q185">
        <v>17.940000000000001</v>
      </c>
      <c r="R185">
        <v>1257.48</v>
      </c>
      <c r="S185">
        <v>34.97</v>
      </c>
      <c r="T185">
        <v>17.12</v>
      </c>
      <c r="U185">
        <v>12.04</v>
      </c>
      <c r="V185">
        <v>41.07</v>
      </c>
      <c r="W185">
        <v>42.18</v>
      </c>
      <c r="X185">
        <v>23.95</v>
      </c>
      <c r="Y185">
        <v>40.450000000000003</v>
      </c>
      <c r="Z185">
        <v>37.159999999999997</v>
      </c>
      <c r="AA185">
        <v>69.209999999999994</v>
      </c>
      <c r="AB185">
        <v>52.3</v>
      </c>
      <c r="AC185">
        <v>37.42</v>
      </c>
      <c r="AD185">
        <v>497.05</v>
      </c>
      <c r="AE185">
        <v>583.77</v>
      </c>
      <c r="AF185">
        <v>40.36</v>
      </c>
      <c r="AG185">
        <v>47.37</v>
      </c>
      <c r="AH185">
        <v>43.9</v>
      </c>
      <c r="AI185">
        <v>41.31</v>
      </c>
    </row>
    <row r="186" spans="1:35" x14ac:dyDescent="0.45">
      <c r="A186" s="2">
        <v>45716</v>
      </c>
      <c r="B186">
        <v>27.96</v>
      </c>
      <c r="C186">
        <v>28.62</v>
      </c>
      <c r="D186">
        <v>15.96</v>
      </c>
      <c r="E186">
        <v>24</v>
      </c>
      <c r="F186">
        <v>25.28</v>
      </c>
      <c r="G186">
        <v>40.941499999999998</v>
      </c>
      <c r="H186">
        <v>23.67</v>
      </c>
      <c r="I186">
        <v>50.81</v>
      </c>
      <c r="J186">
        <v>50.52</v>
      </c>
      <c r="K186">
        <v>54.67</v>
      </c>
      <c r="L186">
        <v>24.11</v>
      </c>
      <c r="M186">
        <v>44.4</v>
      </c>
      <c r="N186">
        <v>42.58</v>
      </c>
      <c r="O186">
        <v>48.1</v>
      </c>
      <c r="P186">
        <v>53.58</v>
      </c>
      <c r="Q186">
        <v>18</v>
      </c>
      <c r="R186">
        <v>1256.48</v>
      </c>
      <c r="S186">
        <v>34.28</v>
      </c>
      <c r="T186">
        <v>17.45</v>
      </c>
      <c r="U186">
        <v>12.04</v>
      </c>
      <c r="V186">
        <v>41.13</v>
      </c>
      <c r="W186">
        <v>42.37</v>
      </c>
      <c r="X186">
        <v>23.99</v>
      </c>
      <c r="Y186">
        <v>41.23</v>
      </c>
      <c r="Z186">
        <v>36.07</v>
      </c>
      <c r="AA186">
        <v>68.47</v>
      </c>
      <c r="AB186">
        <v>51.73</v>
      </c>
      <c r="AC186">
        <v>37.04</v>
      </c>
      <c r="AD186">
        <v>508.17</v>
      </c>
      <c r="AE186">
        <v>594.17999999999995</v>
      </c>
      <c r="AF186">
        <v>39.54</v>
      </c>
      <c r="AG186">
        <v>47.17</v>
      </c>
      <c r="AH186">
        <v>43.14</v>
      </c>
      <c r="AI186">
        <v>40.799999999999997</v>
      </c>
    </row>
    <row r="187" spans="1:35" x14ac:dyDescent="0.45">
      <c r="A187" s="2">
        <v>45715</v>
      </c>
      <c r="B187">
        <v>28.41</v>
      </c>
      <c r="C187">
        <v>28.74</v>
      </c>
      <c r="D187">
        <v>16.41</v>
      </c>
      <c r="E187">
        <v>24.3</v>
      </c>
      <c r="F187">
        <v>25.55</v>
      </c>
      <c r="G187">
        <v>40.6676</v>
      </c>
      <c r="H187">
        <v>23.76</v>
      </c>
      <c r="I187">
        <v>50.83</v>
      </c>
      <c r="J187">
        <v>50.59</v>
      </c>
      <c r="K187">
        <v>55.95</v>
      </c>
      <c r="L187">
        <v>24.71</v>
      </c>
      <c r="M187">
        <v>45.21</v>
      </c>
      <c r="N187">
        <v>42.029600000000002</v>
      </c>
      <c r="O187">
        <v>48.55</v>
      </c>
      <c r="P187">
        <v>54.91</v>
      </c>
      <c r="Q187">
        <v>17.86</v>
      </c>
      <c r="R187">
        <v>1272.0999999999999</v>
      </c>
      <c r="S187">
        <v>34.549999999999997</v>
      </c>
      <c r="T187">
        <v>17.420000000000002</v>
      </c>
      <c r="U187">
        <v>11.965</v>
      </c>
      <c r="V187">
        <v>41.17</v>
      </c>
      <c r="W187">
        <v>42.37</v>
      </c>
      <c r="X187">
        <v>24.07</v>
      </c>
      <c r="Y187">
        <v>40.799999999999997</v>
      </c>
      <c r="Z187">
        <v>36</v>
      </c>
      <c r="AA187">
        <v>69</v>
      </c>
      <c r="AB187">
        <v>51.33</v>
      </c>
      <c r="AC187">
        <v>36.700000000000003</v>
      </c>
      <c r="AD187">
        <v>500.27</v>
      </c>
      <c r="AE187">
        <v>585.04999999999995</v>
      </c>
      <c r="AF187">
        <v>39.44</v>
      </c>
      <c r="AG187">
        <v>47.08</v>
      </c>
      <c r="AH187">
        <v>43.07</v>
      </c>
      <c r="AI187">
        <v>40.61</v>
      </c>
    </row>
    <row r="188" spans="1:35" x14ac:dyDescent="0.45">
      <c r="A188" s="2">
        <v>45714</v>
      </c>
      <c r="B188">
        <v>28.5</v>
      </c>
      <c r="C188">
        <v>28.89</v>
      </c>
      <c r="D188">
        <v>16.98</v>
      </c>
      <c r="E188">
        <v>24.46</v>
      </c>
      <c r="F188">
        <v>26.18</v>
      </c>
      <c r="G188">
        <v>41.459400000000002</v>
      </c>
      <c r="H188">
        <v>24.16</v>
      </c>
      <c r="I188">
        <v>53.08</v>
      </c>
      <c r="J188">
        <v>51.49</v>
      </c>
      <c r="K188">
        <v>57.81</v>
      </c>
      <c r="L188">
        <v>24.88</v>
      </c>
      <c r="M188">
        <v>46.1</v>
      </c>
      <c r="N188">
        <v>42.437100000000001</v>
      </c>
      <c r="O188">
        <v>49.02</v>
      </c>
      <c r="P188">
        <v>55.4</v>
      </c>
      <c r="Q188">
        <v>18.100000000000001</v>
      </c>
      <c r="R188">
        <v>1284.1099999999999</v>
      </c>
      <c r="S188">
        <v>33.880000000000003</v>
      </c>
      <c r="T188">
        <v>17.47</v>
      </c>
      <c r="U188">
        <v>11.89</v>
      </c>
      <c r="V188">
        <v>41.63</v>
      </c>
      <c r="W188">
        <v>42.96</v>
      </c>
      <c r="X188">
        <v>24.44</v>
      </c>
      <c r="Y188">
        <v>41.43</v>
      </c>
      <c r="Z188">
        <v>36.71</v>
      </c>
      <c r="AA188">
        <v>69.510000000000005</v>
      </c>
      <c r="AB188">
        <v>52.03</v>
      </c>
      <c r="AC188">
        <v>36.75</v>
      </c>
      <c r="AD188">
        <v>514.55999999999995</v>
      </c>
      <c r="AE188">
        <v>594.54</v>
      </c>
      <c r="AF188">
        <v>39.89</v>
      </c>
      <c r="AG188">
        <v>48.46</v>
      </c>
      <c r="AH188">
        <v>43.85</v>
      </c>
      <c r="AI188">
        <v>41.27</v>
      </c>
    </row>
    <row r="189" spans="1:35" x14ac:dyDescent="0.45">
      <c r="A189" s="2">
        <v>45713</v>
      </c>
      <c r="B189">
        <v>28.38</v>
      </c>
      <c r="C189">
        <v>28.93</v>
      </c>
      <c r="D189">
        <v>17.149999999999999</v>
      </c>
      <c r="E189">
        <v>24.17</v>
      </c>
      <c r="F189">
        <v>25.95</v>
      </c>
      <c r="G189">
        <v>40.996000000000002</v>
      </c>
      <c r="H189">
        <v>23.96</v>
      </c>
      <c r="I189">
        <v>52.37</v>
      </c>
      <c r="J189">
        <v>51.05</v>
      </c>
      <c r="K189">
        <v>57.55</v>
      </c>
      <c r="L189">
        <v>25.28</v>
      </c>
      <c r="M189">
        <v>46.13</v>
      </c>
      <c r="N189">
        <v>42.662999999999997</v>
      </c>
      <c r="O189">
        <v>49.25</v>
      </c>
      <c r="P189">
        <v>54.06</v>
      </c>
      <c r="Q189">
        <v>18.13</v>
      </c>
      <c r="R189">
        <v>1283.97</v>
      </c>
      <c r="S189">
        <v>33.54</v>
      </c>
      <c r="T189">
        <v>17.36</v>
      </c>
      <c r="U189">
        <v>11.94</v>
      </c>
      <c r="V189">
        <v>41.95</v>
      </c>
      <c r="W189">
        <v>42.49</v>
      </c>
      <c r="X189">
        <v>24.54</v>
      </c>
      <c r="Y189">
        <v>41.35</v>
      </c>
      <c r="Z189">
        <v>36.58</v>
      </c>
      <c r="AA189">
        <v>69.47</v>
      </c>
      <c r="AB189">
        <v>51.97</v>
      </c>
      <c r="AC189">
        <v>36.72</v>
      </c>
      <c r="AD189">
        <v>513.32000000000005</v>
      </c>
      <c r="AE189">
        <v>594.24</v>
      </c>
      <c r="AF189">
        <v>39.89</v>
      </c>
      <c r="AG189">
        <v>48.58</v>
      </c>
      <c r="AH189">
        <v>43.85</v>
      </c>
      <c r="AI189">
        <v>41.47</v>
      </c>
    </row>
    <row r="190" spans="1:35" x14ac:dyDescent="0.45">
      <c r="A190" s="2">
        <v>45712</v>
      </c>
      <c r="B190">
        <v>28.45</v>
      </c>
      <c r="C190">
        <v>28.88</v>
      </c>
      <c r="D190">
        <v>17.57</v>
      </c>
      <c r="E190">
        <v>24.33</v>
      </c>
      <c r="F190">
        <v>25.62</v>
      </c>
      <c r="G190">
        <v>41.013800000000003</v>
      </c>
      <c r="H190">
        <v>24.24</v>
      </c>
      <c r="I190">
        <v>52.57</v>
      </c>
      <c r="J190">
        <v>51.67</v>
      </c>
      <c r="K190">
        <v>57.47</v>
      </c>
      <c r="L190">
        <v>25.06</v>
      </c>
      <c r="M190">
        <v>46.06</v>
      </c>
      <c r="N190">
        <v>42.46</v>
      </c>
      <c r="O190">
        <v>49.26</v>
      </c>
      <c r="P190">
        <v>53.59</v>
      </c>
      <c r="Q190">
        <v>18.07</v>
      </c>
      <c r="R190">
        <v>1270.49</v>
      </c>
      <c r="S190">
        <v>33.97</v>
      </c>
      <c r="T190">
        <v>17.3</v>
      </c>
      <c r="U190">
        <v>11.945</v>
      </c>
      <c r="V190">
        <v>41.96</v>
      </c>
      <c r="W190">
        <v>43.55</v>
      </c>
      <c r="X190">
        <v>24.63</v>
      </c>
      <c r="Y190">
        <v>41.38</v>
      </c>
      <c r="Z190">
        <v>36.07</v>
      </c>
      <c r="AA190">
        <v>68.78</v>
      </c>
      <c r="AB190">
        <v>51.54</v>
      </c>
      <c r="AC190">
        <v>36.39</v>
      </c>
      <c r="AD190">
        <v>519.87</v>
      </c>
      <c r="AE190">
        <v>597.21</v>
      </c>
      <c r="AF190">
        <v>39.58</v>
      </c>
      <c r="AG190">
        <v>48.18</v>
      </c>
      <c r="AH190">
        <v>43.38</v>
      </c>
      <c r="AI190">
        <v>40.79</v>
      </c>
    </row>
    <row r="191" spans="1:35" x14ac:dyDescent="0.45">
      <c r="A191" s="2">
        <v>45709</v>
      </c>
      <c r="B191">
        <v>28.73</v>
      </c>
      <c r="C191">
        <v>28.67</v>
      </c>
      <c r="D191">
        <v>17.600000000000001</v>
      </c>
      <c r="E191">
        <v>24.41</v>
      </c>
      <c r="F191">
        <v>25.99</v>
      </c>
      <c r="G191">
        <v>41.09</v>
      </c>
      <c r="H191">
        <v>24.23</v>
      </c>
      <c r="I191">
        <v>52.95</v>
      </c>
      <c r="J191">
        <v>51.99</v>
      </c>
      <c r="K191">
        <v>57.59</v>
      </c>
      <c r="L191">
        <v>25.47</v>
      </c>
      <c r="M191">
        <v>46.58</v>
      </c>
      <c r="N191">
        <v>43.1</v>
      </c>
      <c r="O191">
        <v>49.3</v>
      </c>
      <c r="P191">
        <v>55.77</v>
      </c>
      <c r="Q191">
        <v>17.97</v>
      </c>
      <c r="R191">
        <v>1282.0899999999999</v>
      </c>
      <c r="S191">
        <v>33.659999999999997</v>
      </c>
      <c r="T191">
        <v>17.39</v>
      </c>
      <c r="U191">
        <v>11.75</v>
      </c>
      <c r="V191">
        <v>42.03</v>
      </c>
      <c r="W191">
        <v>44.2</v>
      </c>
      <c r="X191">
        <v>24.55</v>
      </c>
      <c r="Y191">
        <v>41.55</v>
      </c>
      <c r="Z191">
        <v>35.909999999999997</v>
      </c>
      <c r="AA191">
        <v>69.09</v>
      </c>
      <c r="AB191">
        <v>51.62</v>
      </c>
      <c r="AC191">
        <v>36.36</v>
      </c>
      <c r="AD191">
        <v>526.08000000000004</v>
      </c>
      <c r="AE191">
        <v>599.94000000000005</v>
      </c>
      <c r="AF191">
        <v>39.78</v>
      </c>
      <c r="AG191">
        <v>48.17</v>
      </c>
      <c r="AH191">
        <v>43.66</v>
      </c>
      <c r="AI191">
        <v>40.6</v>
      </c>
    </row>
    <row r="192" spans="1:35" x14ac:dyDescent="0.45">
      <c r="A192" s="2">
        <v>45708</v>
      </c>
      <c r="B192">
        <v>28.63</v>
      </c>
      <c r="C192">
        <v>28.9</v>
      </c>
      <c r="D192">
        <v>17.84</v>
      </c>
      <c r="E192">
        <v>24.36</v>
      </c>
      <c r="F192">
        <v>26.19</v>
      </c>
      <c r="G192">
        <v>42.13</v>
      </c>
      <c r="H192">
        <v>24.28</v>
      </c>
      <c r="I192">
        <v>53.17</v>
      </c>
      <c r="J192">
        <v>52.86</v>
      </c>
      <c r="K192">
        <v>58.46</v>
      </c>
      <c r="L192">
        <v>26.2</v>
      </c>
      <c r="M192">
        <v>46.83</v>
      </c>
      <c r="N192">
        <v>43.26</v>
      </c>
      <c r="O192">
        <v>50.08</v>
      </c>
      <c r="P192">
        <v>54.73</v>
      </c>
      <c r="Q192">
        <v>18.079999999999998</v>
      </c>
      <c r="R192">
        <v>1262.07</v>
      </c>
      <c r="S192">
        <v>34.78</v>
      </c>
      <c r="T192">
        <v>17.690000000000001</v>
      </c>
      <c r="U192">
        <v>11.82</v>
      </c>
      <c r="V192">
        <v>42.43</v>
      </c>
      <c r="W192">
        <v>45.22</v>
      </c>
      <c r="X192">
        <v>25.09</v>
      </c>
      <c r="Y192">
        <v>42.22</v>
      </c>
      <c r="Z192">
        <v>36.19</v>
      </c>
      <c r="AA192">
        <v>69.709999999999994</v>
      </c>
      <c r="AB192">
        <v>51.29</v>
      </c>
      <c r="AC192">
        <v>36.549999999999997</v>
      </c>
      <c r="AD192">
        <v>537.23</v>
      </c>
      <c r="AE192">
        <v>610.38</v>
      </c>
      <c r="AF192">
        <v>40.090000000000003</v>
      </c>
      <c r="AG192">
        <v>48.53</v>
      </c>
      <c r="AH192">
        <v>44.15</v>
      </c>
      <c r="AI192">
        <v>40.83</v>
      </c>
    </row>
    <row r="193" spans="1:35" x14ac:dyDescent="0.45">
      <c r="A193" s="2">
        <v>45707</v>
      </c>
      <c r="B193">
        <v>28.23</v>
      </c>
      <c r="C193">
        <v>28.6</v>
      </c>
      <c r="D193">
        <v>17.79</v>
      </c>
      <c r="E193">
        <v>24.37</v>
      </c>
      <c r="F193">
        <v>26.12</v>
      </c>
      <c r="G193">
        <v>41.689100000000003</v>
      </c>
      <c r="H193">
        <v>24.12</v>
      </c>
      <c r="I193">
        <v>53.11</v>
      </c>
      <c r="J193">
        <v>52.25</v>
      </c>
      <c r="K193">
        <v>58.28</v>
      </c>
      <c r="L193">
        <v>26.09</v>
      </c>
      <c r="M193">
        <v>46.22</v>
      </c>
      <c r="N193">
        <v>42.79</v>
      </c>
      <c r="O193">
        <v>49.76</v>
      </c>
      <c r="P193">
        <v>53.73</v>
      </c>
      <c r="Q193">
        <v>18.07</v>
      </c>
      <c r="R193">
        <v>1286.74</v>
      </c>
      <c r="S193">
        <v>34.625</v>
      </c>
      <c r="T193">
        <v>17.55</v>
      </c>
      <c r="U193">
        <v>11.77</v>
      </c>
      <c r="V193">
        <v>42.11</v>
      </c>
      <c r="W193">
        <v>45.2</v>
      </c>
      <c r="X193">
        <v>25.04</v>
      </c>
      <c r="Y193">
        <v>42.23</v>
      </c>
      <c r="Z193">
        <v>36.06</v>
      </c>
      <c r="AA193">
        <v>69.62</v>
      </c>
      <c r="AB193">
        <v>50.86</v>
      </c>
      <c r="AC193">
        <v>36.64</v>
      </c>
      <c r="AD193">
        <v>539.52</v>
      </c>
      <c r="AE193">
        <v>612.92999999999995</v>
      </c>
      <c r="AF193">
        <v>39.72</v>
      </c>
      <c r="AG193">
        <v>48.38</v>
      </c>
      <c r="AH193">
        <v>43.57</v>
      </c>
      <c r="AI193">
        <v>40.57</v>
      </c>
    </row>
    <row r="194" spans="1:35" x14ac:dyDescent="0.45">
      <c r="A194" s="2">
        <v>45706</v>
      </c>
      <c r="B194">
        <v>28.12</v>
      </c>
      <c r="C194">
        <v>28.42</v>
      </c>
      <c r="D194">
        <v>18.149999999999999</v>
      </c>
      <c r="E194">
        <v>24.3</v>
      </c>
      <c r="F194">
        <v>26.74</v>
      </c>
      <c r="G194">
        <v>42.024299999999997</v>
      </c>
      <c r="H194">
        <v>24.07</v>
      </c>
      <c r="I194">
        <v>53.17</v>
      </c>
      <c r="J194">
        <v>53.22</v>
      </c>
      <c r="K194">
        <v>57.44</v>
      </c>
      <c r="L194">
        <v>26.39</v>
      </c>
      <c r="M194">
        <v>46.73</v>
      </c>
      <c r="N194">
        <v>43.24</v>
      </c>
      <c r="O194">
        <v>49.58</v>
      </c>
      <c r="P194">
        <v>53.99</v>
      </c>
      <c r="Q194">
        <v>18.059999999999999</v>
      </c>
      <c r="R194">
        <v>1301.02</v>
      </c>
      <c r="S194">
        <v>35.32</v>
      </c>
      <c r="T194">
        <v>17.489999999999998</v>
      </c>
      <c r="U194">
        <v>11.51</v>
      </c>
      <c r="V194">
        <v>42.14</v>
      </c>
      <c r="W194">
        <v>45.17</v>
      </c>
      <c r="X194">
        <v>25.42</v>
      </c>
      <c r="Y194">
        <v>42.44</v>
      </c>
      <c r="Z194">
        <v>36.9</v>
      </c>
      <c r="AA194">
        <v>70.099999999999994</v>
      </c>
      <c r="AB194">
        <v>51.31</v>
      </c>
      <c r="AC194">
        <v>36.85</v>
      </c>
      <c r="AD194">
        <v>539.37</v>
      </c>
      <c r="AE194">
        <v>611.49</v>
      </c>
      <c r="AF194">
        <v>40.29</v>
      </c>
      <c r="AG194">
        <v>49.15</v>
      </c>
      <c r="AH194">
        <v>44.29</v>
      </c>
      <c r="AI194">
        <v>41.09</v>
      </c>
    </row>
    <row r="195" spans="1:35" x14ac:dyDescent="0.45">
      <c r="A195" s="2">
        <v>45702</v>
      </c>
      <c r="B195">
        <v>28.55</v>
      </c>
      <c r="C195">
        <v>29.15</v>
      </c>
      <c r="D195">
        <v>17.670000000000002</v>
      </c>
      <c r="E195">
        <v>24.29</v>
      </c>
      <c r="F195">
        <v>25.77</v>
      </c>
      <c r="G195">
        <v>42.28</v>
      </c>
      <c r="H195">
        <v>24.43</v>
      </c>
      <c r="I195">
        <v>52.75</v>
      </c>
      <c r="J195">
        <v>52.67</v>
      </c>
      <c r="K195">
        <v>56.68</v>
      </c>
      <c r="L195">
        <v>26.37</v>
      </c>
      <c r="M195">
        <v>46.21</v>
      </c>
      <c r="N195">
        <v>42.93</v>
      </c>
      <c r="O195">
        <v>49.59</v>
      </c>
      <c r="P195">
        <v>53.46</v>
      </c>
      <c r="Q195">
        <v>17.98</v>
      </c>
      <c r="R195">
        <v>1304.3900000000001</v>
      </c>
      <c r="S195">
        <v>35.229999999999997</v>
      </c>
      <c r="T195">
        <v>17.559999999999999</v>
      </c>
      <c r="U195">
        <v>11.48</v>
      </c>
      <c r="V195">
        <v>42.5</v>
      </c>
      <c r="W195">
        <v>45.67</v>
      </c>
      <c r="X195">
        <v>25.47</v>
      </c>
      <c r="Y195">
        <v>42.17</v>
      </c>
      <c r="Z195">
        <v>36.42</v>
      </c>
      <c r="AA195">
        <v>69.37</v>
      </c>
      <c r="AB195">
        <v>51.41</v>
      </c>
      <c r="AC195">
        <v>36.549999999999997</v>
      </c>
      <c r="AD195">
        <v>538.15</v>
      </c>
      <c r="AE195">
        <v>609.70000000000005</v>
      </c>
      <c r="AF195">
        <v>40.29</v>
      </c>
      <c r="AG195">
        <v>48.94</v>
      </c>
      <c r="AH195">
        <v>43.91</v>
      </c>
      <c r="AI195">
        <v>40.590000000000003</v>
      </c>
    </row>
    <row r="196" spans="1:35" x14ac:dyDescent="0.45">
      <c r="A196" s="2">
        <v>45701</v>
      </c>
      <c r="B196">
        <v>28.1</v>
      </c>
      <c r="C196">
        <v>29.14</v>
      </c>
      <c r="D196">
        <v>17.600000000000001</v>
      </c>
      <c r="E196">
        <v>24.36</v>
      </c>
      <c r="F196">
        <v>25.86</v>
      </c>
      <c r="G196">
        <v>42.18</v>
      </c>
      <c r="H196">
        <v>24.34</v>
      </c>
      <c r="I196">
        <v>52.87</v>
      </c>
      <c r="J196">
        <v>52.38</v>
      </c>
      <c r="K196">
        <v>56.35</v>
      </c>
      <c r="L196">
        <v>25.46</v>
      </c>
      <c r="M196">
        <v>46.08</v>
      </c>
      <c r="N196">
        <v>42.78</v>
      </c>
      <c r="O196">
        <v>50.39</v>
      </c>
      <c r="P196">
        <v>51.85</v>
      </c>
      <c r="Q196">
        <v>18.04</v>
      </c>
      <c r="R196">
        <v>1314.5</v>
      </c>
      <c r="S196">
        <v>35.5</v>
      </c>
      <c r="T196">
        <v>17.57</v>
      </c>
      <c r="U196">
        <v>11.49</v>
      </c>
      <c r="V196">
        <v>42.5</v>
      </c>
      <c r="W196">
        <v>45.15</v>
      </c>
      <c r="X196">
        <v>25.66</v>
      </c>
      <c r="Y196">
        <v>42.52</v>
      </c>
      <c r="Z196">
        <v>36.409999999999997</v>
      </c>
      <c r="AA196">
        <v>69.260000000000005</v>
      </c>
      <c r="AB196">
        <v>51.4</v>
      </c>
      <c r="AC196">
        <v>36.65</v>
      </c>
      <c r="AD196">
        <v>535.9</v>
      </c>
      <c r="AE196">
        <v>609.73</v>
      </c>
      <c r="AF196">
        <v>39.880000000000003</v>
      </c>
      <c r="AG196">
        <v>48.75</v>
      </c>
      <c r="AH196">
        <v>43.83</v>
      </c>
      <c r="AI196">
        <v>40.22</v>
      </c>
    </row>
    <row r="197" spans="1:35" x14ac:dyDescent="0.45">
      <c r="A197" s="2">
        <v>45700</v>
      </c>
      <c r="B197">
        <v>28.117999999999999</v>
      </c>
      <c r="C197">
        <v>28.54</v>
      </c>
      <c r="D197">
        <v>17.47</v>
      </c>
      <c r="E197">
        <v>23.82</v>
      </c>
      <c r="F197">
        <v>25.67</v>
      </c>
      <c r="G197">
        <v>41.790100000000002</v>
      </c>
      <c r="H197">
        <v>24.07</v>
      </c>
      <c r="I197">
        <v>52.35</v>
      </c>
      <c r="J197">
        <v>51.91</v>
      </c>
      <c r="K197">
        <v>55.16</v>
      </c>
      <c r="L197">
        <v>25.34</v>
      </c>
      <c r="M197">
        <v>45.88</v>
      </c>
      <c r="N197">
        <v>41.984000000000002</v>
      </c>
      <c r="O197">
        <v>49.8</v>
      </c>
      <c r="P197">
        <v>51.87</v>
      </c>
      <c r="Q197">
        <v>17.89</v>
      </c>
      <c r="R197">
        <v>1335.64</v>
      </c>
      <c r="S197">
        <v>34.880000000000003</v>
      </c>
      <c r="T197">
        <v>17.559999999999999</v>
      </c>
      <c r="U197">
        <v>11.33</v>
      </c>
      <c r="V197">
        <v>42.18</v>
      </c>
      <c r="W197">
        <v>44.83</v>
      </c>
      <c r="X197">
        <v>25.26</v>
      </c>
      <c r="Y197">
        <v>41.96</v>
      </c>
      <c r="Z197">
        <v>35.75</v>
      </c>
      <c r="AA197">
        <v>68.02</v>
      </c>
      <c r="AB197">
        <v>50.22</v>
      </c>
      <c r="AC197">
        <v>36.57</v>
      </c>
      <c r="AD197">
        <v>528.29999999999995</v>
      </c>
      <c r="AE197">
        <v>603.36</v>
      </c>
      <c r="AF197">
        <v>39.61</v>
      </c>
      <c r="AG197">
        <v>47.903500000000001</v>
      </c>
      <c r="AH197">
        <v>42.98</v>
      </c>
      <c r="AI197">
        <v>39.950000000000003</v>
      </c>
    </row>
    <row r="198" spans="1:35" x14ac:dyDescent="0.45">
      <c r="A198" s="2">
        <v>45699</v>
      </c>
      <c r="B198">
        <v>27.8</v>
      </c>
      <c r="C198">
        <v>28.31</v>
      </c>
      <c r="D198">
        <v>17.3</v>
      </c>
      <c r="E198">
        <v>23.8</v>
      </c>
      <c r="F198">
        <v>25.16</v>
      </c>
      <c r="G198">
        <v>41.3003</v>
      </c>
      <c r="H198">
        <v>23.98</v>
      </c>
      <c r="I198">
        <v>52.52</v>
      </c>
      <c r="J198">
        <v>51.28</v>
      </c>
      <c r="K198">
        <v>55.07</v>
      </c>
      <c r="L198">
        <v>25.79</v>
      </c>
      <c r="M198">
        <v>45.66</v>
      </c>
      <c r="N198">
        <v>41.1877</v>
      </c>
      <c r="O198">
        <v>50.14</v>
      </c>
      <c r="P198">
        <v>50.54</v>
      </c>
      <c r="Q198">
        <v>18</v>
      </c>
      <c r="R198">
        <v>1343.19</v>
      </c>
      <c r="S198">
        <v>35.28</v>
      </c>
      <c r="T198">
        <v>17.66</v>
      </c>
      <c r="U198">
        <v>11.34</v>
      </c>
      <c r="V198">
        <v>42.32</v>
      </c>
      <c r="W198">
        <v>44.9497</v>
      </c>
      <c r="X198">
        <v>25.04</v>
      </c>
      <c r="Y198">
        <v>42.07</v>
      </c>
      <c r="Z198">
        <v>35.4</v>
      </c>
      <c r="AA198">
        <v>68.739999999999995</v>
      </c>
      <c r="AB198">
        <v>50.05</v>
      </c>
      <c r="AC198">
        <v>36.46</v>
      </c>
      <c r="AD198">
        <v>527.99</v>
      </c>
      <c r="AE198">
        <v>605.30999999999995</v>
      </c>
      <c r="AF198">
        <v>39.19</v>
      </c>
      <c r="AG198">
        <v>47.22</v>
      </c>
      <c r="AH198">
        <v>42.52</v>
      </c>
      <c r="AI198">
        <v>39.770000000000003</v>
      </c>
    </row>
    <row r="199" spans="1:35" x14ac:dyDescent="0.45">
      <c r="A199" s="2">
        <v>45698</v>
      </c>
      <c r="B199">
        <v>28</v>
      </c>
      <c r="C199">
        <v>28.29</v>
      </c>
      <c r="D199">
        <v>17.5</v>
      </c>
      <c r="E199">
        <v>24.1</v>
      </c>
      <c r="F199">
        <v>24.56</v>
      </c>
      <c r="G199">
        <v>42.41</v>
      </c>
      <c r="H199">
        <v>24.09</v>
      </c>
      <c r="I199">
        <v>52.52</v>
      </c>
      <c r="J199">
        <v>50.76</v>
      </c>
      <c r="K199">
        <v>55.14</v>
      </c>
      <c r="L199">
        <v>25.58</v>
      </c>
      <c r="M199">
        <v>46.05</v>
      </c>
      <c r="N199">
        <v>41.09</v>
      </c>
      <c r="O199">
        <v>50.58</v>
      </c>
      <c r="P199">
        <v>51.01</v>
      </c>
      <c r="Q199">
        <v>17.95</v>
      </c>
      <c r="R199">
        <v>1345.77</v>
      </c>
      <c r="S199">
        <v>35.24</v>
      </c>
      <c r="T199">
        <v>17.38</v>
      </c>
      <c r="U199">
        <v>11.4</v>
      </c>
      <c r="V199">
        <v>42.4</v>
      </c>
      <c r="W199">
        <v>44.883699999999997</v>
      </c>
      <c r="X199">
        <v>25.09</v>
      </c>
      <c r="Y199">
        <v>42.02</v>
      </c>
      <c r="Z199">
        <v>34.9</v>
      </c>
      <c r="AA199">
        <v>68.75</v>
      </c>
      <c r="AB199">
        <v>49.9</v>
      </c>
      <c r="AC199">
        <v>36.17</v>
      </c>
      <c r="AD199">
        <v>529.25</v>
      </c>
      <c r="AE199">
        <v>604.85</v>
      </c>
      <c r="AF199">
        <v>38.79</v>
      </c>
      <c r="AG199">
        <v>46.7</v>
      </c>
      <c r="AH199">
        <v>42.45</v>
      </c>
      <c r="AI199">
        <v>39.200000000000003</v>
      </c>
    </row>
    <row r="200" spans="1:35" x14ac:dyDescent="0.45">
      <c r="A200" s="2">
        <v>45695</v>
      </c>
      <c r="B200">
        <v>27.864999999999998</v>
      </c>
      <c r="C200">
        <v>28.24</v>
      </c>
      <c r="D200">
        <v>17.61</v>
      </c>
      <c r="E200">
        <v>24.36</v>
      </c>
      <c r="F200">
        <v>24.3</v>
      </c>
      <c r="G200">
        <v>41.8581</v>
      </c>
      <c r="H200">
        <v>23.97</v>
      </c>
      <c r="I200">
        <v>52.01</v>
      </c>
      <c r="J200">
        <v>50.68</v>
      </c>
      <c r="K200">
        <v>54.14</v>
      </c>
      <c r="L200">
        <v>25.22</v>
      </c>
      <c r="M200">
        <v>45.43</v>
      </c>
      <c r="N200">
        <v>41.014699999999998</v>
      </c>
      <c r="O200">
        <v>50.5</v>
      </c>
      <c r="P200">
        <v>49.73</v>
      </c>
      <c r="Q200">
        <v>17.940000000000001</v>
      </c>
      <c r="R200">
        <v>1340.94</v>
      </c>
      <c r="S200">
        <v>35.65</v>
      </c>
      <c r="T200">
        <v>17.22</v>
      </c>
      <c r="U200">
        <v>11.46</v>
      </c>
      <c r="V200">
        <v>42.07</v>
      </c>
      <c r="W200">
        <v>44.82</v>
      </c>
      <c r="X200">
        <v>24.93</v>
      </c>
      <c r="Y200">
        <v>41.65</v>
      </c>
      <c r="Z200">
        <v>34.64</v>
      </c>
      <c r="AA200">
        <v>68.48</v>
      </c>
      <c r="AB200">
        <v>49.59</v>
      </c>
      <c r="AC200">
        <v>35.89</v>
      </c>
      <c r="AD200">
        <v>522.91999999999996</v>
      </c>
      <c r="AE200">
        <v>600.77</v>
      </c>
      <c r="AF200">
        <v>38.630000000000003</v>
      </c>
      <c r="AG200">
        <v>46.15</v>
      </c>
      <c r="AH200">
        <v>41.81</v>
      </c>
      <c r="AI200">
        <v>38.93</v>
      </c>
    </row>
    <row r="201" spans="1:35" x14ac:dyDescent="0.45">
      <c r="A201" s="2">
        <v>45694</v>
      </c>
      <c r="B201">
        <v>27.48</v>
      </c>
      <c r="C201">
        <v>28.23</v>
      </c>
      <c r="D201">
        <v>17.579999999999998</v>
      </c>
      <c r="E201">
        <v>24.73</v>
      </c>
      <c r="F201">
        <v>24.2</v>
      </c>
      <c r="G201">
        <v>42.06</v>
      </c>
      <c r="H201">
        <v>24.04</v>
      </c>
      <c r="I201">
        <v>52.26</v>
      </c>
      <c r="J201">
        <v>50.71</v>
      </c>
      <c r="K201">
        <v>55.22</v>
      </c>
      <c r="L201">
        <v>25.77</v>
      </c>
      <c r="M201">
        <v>45.61</v>
      </c>
      <c r="N201">
        <v>41.106900000000003</v>
      </c>
      <c r="O201">
        <v>50.85</v>
      </c>
      <c r="P201">
        <v>49.12</v>
      </c>
      <c r="Q201">
        <v>17.989999999999998</v>
      </c>
      <c r="R201">
        <v>1354.07</v>
      </c>
      <c r="S201">
        <v>35.53</v>
      </c>
      <c r="T201">
        <v>17.059999999999999</v>
      </c>
      <c r="U201">
        <v>11.59</v>
      </c>
      <c r="V201">
        <v>42.23</v>
      </c>
      <c r="W201">
        <v>44.92</v>
      </c>
      <c r="X201">
        <v>25.13</v>
      </c>
      <c r="Y201">
        <v>41.8</v>
      </c>
      <c r="Z201">
        <v>35.11</v>
      </c>
      <c r="AA201">
        <v>69.400000000000006</v>
      </c>
      <c r="AB201">
        <v>49.97</v>
      </c>
      <c r="AC201">
        <v>36.06</v>
      </c>
      <c r="AD201">
        <v>529.6</v>
      </c>
      <c r="AE201">
        <v>606.32000000000005</v>
      </c>
      <c r="AF201">
        <v>39.049999999999997</v>
      </c>
      <c r="AG201">
        <v>46.55</v>
      </c>
      <c r="AH201">
        <v>42.23</v>
      </c>
      <c r="AI201">
        <v>39.28</v>
      </c>
    </row>
    <row r="202" spans="1:35" x14ac:dyDescent="0.45">
      <c r="A202" s="2">
        <v>45693</v>
      </c>
      <c r="B202">
        <v>27.21</v>
      </c>
      <c r="C202">
        <v>27.89</v>
      </c>
      <c r="D202">
        <v>18.16</v>
      </c>
      <c r="E202">
        <v>24.83</v>
      </c>
      <c r="F202">
        <v>23.57</v>
      </c>
      <c r="G202">
        <v>41.45</v>
      </c>
      <c r="H202">
        <v>24.02</v>
      </c>
      <c r="I202">
        <v>52.13</v>
      </c>
      <c r="J202">
        <v>49.57</v>
      </c>
      <c r="K202">
        <v>54.96</v>
      </c>
      <c r="L202">
        <v>25.43</v>
      </c>
      <c r="M202">
        <v>44.84</v>
      </c>
      <c r="N202">
        <v>40.71</v>
      </c>
      <c r="O202">
        <v>51.28</v>
      </c>
      <c r="P202">
        <v>48.46</v>
      </c>
      <c r="Q202">
        <v>18.149999999999999</v>
      </c>
      <c r="R202">
        <v>1344.17</v>
      </c>
      <c r="S202">
        <v>35.06</v>
      </c>
      <c r="T202">
        <v>17.2</v>
      </c>
      <c r="U202">
        <v>11.68</v>
      </c>
      <c r="V202">
        <v>42.25</v>
      </c>
      <c r="W202">
        <v>45.01</v>
      </c>
      <c r="X202">
        <v>25.01</v>
      </c>
      <c r="Y202">
        <v>41.74</v>
      </c>
      <c r="Z202">
        <v>34.71</v>
      </c>
      <c r="AA202">
        <v>69.12</v>
      </c>
      <c r="AB202">
        <v>50.21</v>
      </c>
      <c r="AC202">
        <v>36.04</v>
      </c>
      <c r="AD202">
        <v>526.85</v>
      </c>
      <c r="AE202">
        <v>604.22</v>
      </c>
      <c r="AF202">
        <v>38.659999999999997</v>
      </c>
      <c r="AG202">
        <v>46.49</v>
      </c>
      <c r="AH202">
        <v>41.92</v>
      </c>
      <c r="AI202">
        <v>39</v>
      </c>
    </row>
    <row r="204" spans="1:35" x14ac:dyDescent="0.45">
      <c r="A204" t="s">
        <v>78</v>
      </c>
      <c r="B204">
        <f>AVERAGE(_xlfn.ANCHORARRAY(B2))</f>
        <v>30.204643781094532</v>
      </c>
      <c r="C204">
        <f t="shared" ref="C204:AI204" si="0">AVERAGE(_xlfn.ANCHORARRAY(C2))</f>
        <v>31.633233830845779</v>
      </c>
      <c r="D204">
        <f t="shared" si="0"/>
        <v>17.55671641791044</v>
      </c>
      <c r="E204">
        <f t="shared" si="0"/>
        <v>25.850399004975124</v>
      </c>
      <c r="F204">
        <f t="shared" si="0"/>
        <v>30.673532338308444</v>
      </c>
      <c r="G204">
        <f t="shared" si="0"/>
        <v>50.302721393034787</v>
      </c>
      <c r="H204">
        <f t="shared" si="0"/>
        <v>24.476666666666656</v>
      </c>
      <c r="I204">
        <f t="shared" si="0"/>
        <v>56.581691542288546</v>
      </c>
      <c r="J204">
        <f t="shared" si="0"/>
        <v>59.606815920398063</v>
      </c>
      <c r="K204">
        <f t="shared" si="0"/>
        <v>69.43348258706466</v>
      </c>
      <c r="L204">
        <f t="shared" si="0"/>
        <v>27.967213930348237</v>
      </c>
      <c r="M204">
        <f t="shared" si="0"/>
        <v>54.49621890547261</v>
      </c>
      <c r="N204">
        <f t="shared" si="0"/>
        <v>56.369433333333369</v>
      </c>
      <c r="O204">
        <f t="shared" si="0"/>
        <v>52.86654228855722</v>
      </c>
      <c r="P204">
        <f t="shared" si="0"/>
        <v>57.546691542288549</v>
      </c>
      <c r="Q204">
        <f t="shared" si="0"/>
        <v>18.843310447761194</v>
      </c>
      <c r="R204">
        <f t="shared" si="0"/>
        <v>1220.3717910447754</v>
      </c>
      <c r="S204">
        <f t="shared" si="0"/>
        <v>33.28228756218904</v>
      </c>
      <c r="T204">
        <f t="shared" si="0"/>
        <v>18.526414925373132</v>
      </c>
      <c r="U204">
        <f t="shared" si="0"/>
        <v>14.874203980099489</v>
      </c>
      <c r="V204">
        <f t="shared" si="0"/>
        <v>39.357711442786069</v>
      </c>
      <c r="W204">
        <f t="shared" si="0"/>
        <v>44.774539303482598</v>
      </c>
      <c r="X204">
        <f t="shared" si="0"/>
        <v>25.678507462686586</v>
      </c>
      <c r="Y204">
        <f t="shared" si="0"/>
        <v>45.683034825870642</v>
      </c>
      <c r="Z204">
        <f t="shared" si="0"/>
        <v>40.262835820895539</v>
      </c>
      <c r="AA204">
        <f t="shared" si="0"/>
        <v>74.872985074626868</v>
      </c>
      <c r="AB204">
        <f t="shared" si="0"/>
        <v>54.138507462686583</v>
      </c>
      <c r="AC204">
        <f t="shared" si="0"/>
        <v>39.715323383084574</v>
      </c>
      <c r="AD204">
        <f t="shared" si="0"/>
        <v>543.11452736318381</v>
      </c>
      <c r="AE204">
        <f t="shared" si="0"/>
        <v>614.27860696517405</v>
      </c>
      <c r="AF204">
        <f t="shared" si="0"/>
        <v>42.268159203980105</v>
      </c>
      <c r="AG204">
        <f t="shared" si="0"/>
        <v>52.595530845771123</v>
      </c>
      <c r="AH204">
        <f t="shared" si="0"/>
        <v>45.269701492537294</v>
      </c>
      <c r="AI204">
        <f t="shared" si="0"/>
        <v>47.295621890547288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3707363"><![CDATA[{"EWJ^FG_PRICE(0,-200D)":[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,72.49,72.3,71.45,72.25,72.8,72.01,71.83,71.98,72.43,72.39,71.89,71.17,71.43,72.02,71.74,70.77,70.28,69.48,69.27,67.92,68.07,66.78,67.44,66.9,65.82,64.22,66.34,61.65,61.32,61.51,65.41,68.22,68.2,68.56,69.22,70.65,70.75,71.68,71.17,71.33,71.32,71.7,70.89,71.09,70.35,69.26,69.52,68.26,68.68,70.17,69.61,70.15,68.64,69.21,68.47,69.0,69.51,69.47,68.78,69.09,69.71,69.62,70.1,69.37,69.26,68.02,68.74,68.75,68.48,69.4,69.12],"TUR^FG_PRICE(0,-200D)":[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,32.43,31.91,32.48,32.46,32.62,31.41,31.19,30.31,30.76,30.7,30.94,30.66,30.67,31.18,31.48,31.96,32.18,31.77,31.66,31.71,31.91,31.21,31.85,32.13,32.08,31.9,32.83,31.83,31.86,31.67,32.2,32.44,32.89,32.82,32.67,32.31,32.76,32.63,31.74,30.77,33.28,33.04,37.79,38.55,38.34,37.89,37.62,37.05,36.82,37.28,37.28,36.34,35.2,34.97,34.28,34.55,33.88,33.54,33.97,33.66,34.78,34.625,35.32,35.23,35.5,34.88,35.28,35.24,35.65,35.53,35.06],"ECH^FG_PRICE(0,-200D)":[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,32.61,33.07,33.24,32.56,32.35,32.2,32.15,31.75,31.62,31.58,31.35,31.07,31.13,31.44,31.24,31.67,31.7,31.19,30.91,30.05,29.95,29.43,29.35,29.13,28.39,27.51,28.24,26.5,27.09,28.19,30.07,29.91,30.2,29.82,29.76,30.17,30.27,30.76,30.41,30.3,30.52,30.94,30.9,30.71,30.06,29.76,29.34,29.39,29.16,29.77,29.69,29.39,28.9,28.36,28.62,28.74,28.89,28.93,28.88,28.67,28.9,28.6,28.42,29.15,29.14,28.54,28.31,28.29,28.24,28.23,27.89],"QQQ^FG_TOTAL_RETURNC(-5AY,0,AM)":[2.0990849,6.7773223,4.6114683,2.2392392,-5.40148,7.5642586,-2.2532105,4.1967034,4.8371196,2.4917126,-0.43947697,2.5375962,7.7364087,-5.6458235,-4.9830556,-5.5871906,2.9223084,-2.8044283,-15.395212,-4.8461914,10.524082,6.5438986,-10.411805,-6.795287,5.8377743,-5.1348567,4.8749685,6.5374374,1.753962,3.3696055,6.396234,9.180689,2.6873827,-4.9447956,1.9369245,-2.7267218,10.191763,3.3629298,4.5452356,1.4578104,3.985691,-6.561959,9.709394,5.8385134,-1.1353612,1.0563135,0.45392513,2.6371956,1.7594576,3.0784726,0.754416,2.9689074,-10.790533,-7.2011414,17.151546,1.2608886,6.653762,0.8267164,5.910933,2.1514535,-4.230303],"KSA^FG_TOTAL_RETURNC(-5AY,0,AM)":[0.8164644,1.7999172,1.7235875,2.0709038,4.8570633,7.5930834,3.4332395,3.3361554,-0.95213056,6.0301304,1.2962222,6.2893033,-2.1165252,-5.113739,11.295843,1.219523,3.3954024,7.097459,-10.860533,-5.3209963,0.66115856,7.154584,-9.260071,6.489742,-7.9746246,-7.66024,5.0929666,-2.692306,-2.3715436,8.852911,2.5787234,0.74716806,2.5977135,-3.9043963,-3.5951734,-5.0319314,7.235074,3.995943,3.3480048,5.6987405,-0.24608374,-3.094864,-2.7308524,-0.91590285,2.4616241,-0.52331686,1.1955976,-1.5831709,-0.4321754,-0.2598226,3.3407688,1.1924624,-4.902196,-0.39653182,-0.7464528,-6.7991495,4.294312,-0.629431,-0.1583457,8.088816,-6.603086],"EWL^FG_PRICE(0,-200D)":[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,54.41,54.02,52.94,53.19,53.53,53.58,53.58,54.15,54.34,54.64,54.47,53.52,53.86,53.67,53.71,53.04,52.96,52.23,52.45,51.82,51.95,51.29,51.45,51.2,51.05,49.7,49.71,47.12,47.04,48.36,51.41,51.49,51.76,51.79,52.48,52.59,52.45,52.98,52.9,53.06,53.28,53.24,53.43,53.33,52.59,52.14,52.41,51.87,52.62,53.53,52.59,52.86,52.71,52.3,51.73,51.33,52.03,51.97,51.54,51.62,51.29,50.86,51.31,51.41,51.4,50.22,50.05,49.9,49.59,49.97,50.21],"EIDO^FG_PRICE(0,-200D)":[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,18.39,18.27,17.97,17.54,17.4,17.41,17.45,17.71,17.74,17.65,17.63,17.3,17.31,17.1,16.93,16.77,16.76,16.61,16.36,16.03,16.13,15.93,16.14,16.09,15.87,15.45,15.56,14.36,15.15,15.09,15.88,16.33,16.25,16.3,16.37,16.42,16.31,15.72,15.34,15.62,15.91,15.95,15.74,16.62,16.57,16.73,16.87,16.46,16.69,17.1,17.12,17.05,16.46,16.66,15.96,16.41,16.98,17.15,17.57,17.6,17.84,17.79,18.15,17.67,17.6,17.47,17.3,17.5,17.61,17.58,18.16],"EWI^FG_PRICE(0,-200D)":[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,46.85,46.53,46.26,46.0,45.66,45.81,45.36,44.99,45.22,45.07,44.99,44.26,44.21,44.67,44.23,44.04,43.48,42.69,42.81,41.94,42.13,41.76,41.54,40.92,40.53,39.66,40.22,36.6,37.06,38.49,41.77,42.66,42.46,42.32,42.8,43.07,42.61,43.42,42.98,42.95,43.26,43.99,43.92,43.53,43.03,41.94,42.5,42.27,42.15,42.85,42.27,42.69,41.28,41.31,40.8,40.61,41.27,41.47,40.79,40.6,40.83,40.57,41.09,40.59,40.22,39.95,39.77,39.2,38.93,39.28,39.0],"EWY^FG_PRICE(0,-200D)":[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,58.79,58.8,58.61,58.12,58.04,57.69,57.2,57.79,58.5,58.38,57.71,55.6,56.19,56.1,55.65,55.81,55.95,55.6,54.81,54.39,54.31,54.06,54.38,54.35,54.31,51.82,53.28,48.92,50.78,51.25,53.14,54.63,54.85,54.04,54.79,56.49,56.81,57.07,57.31,56.86,56.73,57.24,56.97,57.86,56.14,55.22,55.95,54.69,54.09,55.68,54.94,56.05,54.57,54.32,54.67,55.95,57.81,57.55,57.47,57.59,58.46,58.28,57.44,56.68,56.35,55.16,55.07,55.14,54.14,55.22,54.96],"GREK^FG_TOTAL_RETURNC(-5AY,0,AM)":[11.026812,18.3599,-0.08689165,-4.679137,7.4669957,4.2610407,5.804491,-1.0317862,-7.735586,5.0686,0.9067774,3.1631947,-3.7979126,-4.5273423,10.481048,2.0350933,-9.456671,7.5579166,-12.076271,-4.41767,-3.8729131,9.027171,-7.1141424,0.5625248,9.853708,5.6795835,10.279727,10.758615,-8.53051,8.134794,0.69247484,13.973117,9.719074,-7.518232,-10.168564,-0.45400262,12.526596,1.7562866,4.1123033,5.4124355,0.54308176,-4.492998,11.285341,-7.6627374,6.097579,-0.5203366,0.047552586,-0.47528744,-7.712513,5.4333687,3.3999443,7.081318,10.644949,-1.0968387,13.836074,1.5216231,13.559675,6.8627477,-1.9266069,-1.7929494,-0.365144],"EPOL^FG_TOTAL_RETURNC(-5AY,0,AM)":[11.259127,9.517837,1.2558818,1.9638181,-6.842375,5.5495143,10.927844,-0.47511458,-1.6853988,2.8571486,1.2500048,8.504796,-12.557941,-1.3124764,6.7127347,-6.382984,-8.00395,-2.7389944,-13.970184,-5.9554935,-4.476589,-1.297766,-10.883856,-7.786882,28.53334,6.5395594,10.171736,-4.556358,-8.54271,18.75,3.7015557,6.832123,8.170187,-6.998062,-7.7322245,5.061865,17.987156,3.9505482,-4.8517523,10.623228,-1.323086,0.8217931,11.668814,-6.8897905,2.5220633,-0.08199215,-2.0517051,-2.5974035,-8.559137,2.9679656,4.7935486,18.614138,8.247423,-0.21163821,8.766341,-1.7270863,10.565281,2.7997494,-5.979866,5.4471135,-2.7769506],"QAT^FG_TOTAL_RETURNC(-5AY,0,AM)":[0.05594492,3.4116387,2.7685285,-3.641218,0.7646203,5.3376555,0.38694143,-1.9181132,0.69128275,3.5648108,0.768435,6.4056993,1.051116,-3.2670736,7.1651936,3.6058426,5.430913,2.0514965,-6.442356,-4.0439787,0.723505,10.610331,-7.8926086,-1.0621905,-2.8518796,-9.339703,0.957942,-3.6900282,-4.7619104,2.9310346,7.7051997,-3.3465207,1.2820482,0.4402876,-3.4520507,-6.5834403,6.865132,-0.9096086,0.8605838,1.2514234,1.4045,-3.490299,-0.5166471,-1.2213111,3.6697268,2.6548624,4.3103456,1.9283772,-1.405406,-0.91175437,0.05620718,1.5730381,-0.8849561,-1.1160731,7.562077,-4.795021,6.715584,6.1872005,-0.69720745,-4.037112,-2.7175367],"ECH^JULIAN(FG_TOTAL_RETURNC(-5AY,0,AM).DATES)":[44155,44183,44216,44246,44274,44306,44336,44365,44397,44428,44459,44489,44519,44550,44581,44610,44638,44671,44701,44729,44762,44792,44824,44854,44883,44915,44946,44974,45005,45036,45065,45097,45127,45156,45189,45219,45250,45280,45310,45342,45371,45401,45432,45463,45492,45524,45555,45583,45616,45646,45674,45708,45736,45764,45797,45828,45856,45889,45919,45950,45981],"VNM^FG_PRICE(0,-200D)":[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,12.75,12.81,12.82,12.74,12.69,12.49,12.6,12.42,12.22,12.27,12.24,12.11,12.07,12.05,11.95,12.01,12.0,11.62,11.64,11.51,11.73,11.5,11.74,11.93,11.87,11.31,11.46,10.13,11.16,11.64,11.4,12.7,12.56,12.48,12.38,12.56,12.49,12.69,12.7,12.54,12.4,12.6,12.62,12.76,12.66,12.44,12.58,12.41,12.24,12.4,12.2,11.95,11.97,12.04,12.04,11.965,11.89,11.94,11.945,11.75,11.82,11.77,11.51,11.48,11.49,11.33,11.34,11.4,11.46,11.59,11.68],"EWM^FG_TOTAL_RETURNC(-5AY,0,AM)":[4.427767,4.671216,-3.6388576,-1.6387582,1.8471599,-1.7425358,-1.6286612,-0.03809333,-5.732727,0.0,1.1276722,7.5667024,-6.8493185,-2.5013924,3.0315757,4.8630953,-0.038969517,-1.1695862,-5.6410255,-6.6154957,-1.2791157,3.9333582,-4.3633103,-4.09683,5.0970793,4.046035,7.39578,-5.8848085,-4.567623,2.3234248,-2.043599,-5.129319,4.079604,0.047802925,1.051116,-2.9787183,4.38596,-0.13291836,-0.047576427,3.0937672,1.0618687,-0.59387684,7.6286793,-2.6497543,3.7433147,7.560134,7.587862,-3.7861943,-6.4814806,-0.22474527,-1.263684,3.583622,-5.518949,-0.74106455,7.5977087,-2.420777,2.2212744,5.265355,1.5879273,0.89879036,0.8907795],"UAE^FG_PRICE(0,-200D)":[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,18.48,18.3,18.16,18.36,18.13,18.15,18.14,18.18,18.31,18.23,18.14,17.96,17.88,17.99,17.64,17.47,17.57,17.23,17.01,16.76,16.76,16.68,16.79,16.71,16.51,16.17,16.46,15.58,15.88,15.6,16.35,17.0,16.93,16.97,16.85,17.05,16.91,16.91,17.04,16.83,16.95,17.02,16.94,17.1,16.97,16.78,16.78,16.58,16.61,16.92,17.09,17.3,17.32,17.12,17.45,17.42,17.47,17.36,17.3,17.39,17.69,17.55,17.49,17.56,17.57,17.56,17.66,17.38,17.22,17.06,17.2],"ENZL^FG_TOTAL_RETURNC(-5AY,0,AM)":[5.4771066,2.5325894,2.4431229,-3.13012,-1.3386607,-0.6706238,-1.4915943,-3.646499,1.702559,0.4677534,2.8342724,2.4463773,-6.6987157,-3.4968495,-2.1332383,-4.2880116,5.8241487,-5.6447268,-11.329222,-7.508421,6.0655,4.0878415,-5.9954047,-9.200001,14.023495,3.9573073,7.842326,-1.8853426,-4.960781,0.72209835,4.281032,-4.6332893,2.6835918,-7.941657,-1.8045783,-6.0735106,7.5399637,6.7468047,-2.015704,-3.4430504,2.018392,-3.275448,2.704537,1.7473817,1.205349,5.240357,1.3374567,-0.08121729,-4.2877493,-2.965349,0.7549882,-0.4852414,-7.6735973,4.191613,3.90805,-0.39316416,2.455163,-0.04376769,1.6091943,-1.8314958,-3.9727867],"INDA^FG_TOTAL_RETURNC(-5AY,0,AM)":[4.138124,7.8715563,6.7632794,1.7623186,-0.6318748,-6.9006147,9.284091,1.8995166,0.27284622,4.9659967,5.5951595,2.6391149,-1.2158573,-6.304574,7.0379853,-4.435396,0.33632517,-0.067037344,-8.407873,-5.334467,3.9587379,7.417512,0.27713776,-5.251032,4.350996,-0.9317517,0.3526926,-5.529523,-4.389882,3.398192,2.5589585,5.409372,3.5805702,-2.7384877,3.5771966,-2.0053506,2.4329185,5.2164316,4.620254,3.972578,-2.2110224,1.8048525,3.4872293,3.4450293,2.2383928,0.7297993,3.7992597,-3.7112713,-5.180341,0.33740997,-4.193181,-2.149272,1.3578176,2.955079,3.463459,-0.31440258,1.1131644,-1.2844026,0.26022196,1.4831305,-0.036537647],"EPU^FG_TOTAL_RETURNC(-5AY,0,AM)":[7.0275784,9.992814,2.5272846,6.9467783,-6.4169765,-8.08844,2.4969578,-14.914727,-1.4436603,-13.683456,8.733452,15.911686,-3.390807,-3.5333931,22.11399,1.9793272,6.5179586,-5.167258,-14.625746,-2.9973447,-8.294434,2.270949,-1.6845345,-1.4797568,14.071155,-0.8508444,11.842108,-5.882353,-2.4324358,9.072029,-3.8730145,4.8184037,5.778718,-5.249548,0.4505992,-7.0752916,6.958878,11.351479,-1.6401589,5.1293373,12.911868,1.3640046,12.187803,-6.9850087,0.58852434,-1.0726452,1.8955112,7.740891,-2.5420845,-4.5155525,0.6315589,4.1790366,5.837643,-3.1159878,5.486107,5.253756,2.63381,7.098508,11.712467,10.705196,-7.03125],"EWG^FG_PRICE(0,-200D)":[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,40.85,40.86,40.34,40.59,40.38,40.77,40.46,40.44,40.67,40.72,40.34,39.46,39.49,39.67,39.47,39.36,39.03,38.44,38.03,37.03,37.4,37.22,37.2,36.82,36.37,35.8,36.22,33.22,33.55,34.32,36.73,37.38,37.29,37.08,37.39,37.59,37.56,38.38,38.03,38.09,38.36,39.04,39.31,39.03,38.62,37.59,37.99,37.74,37.79,38.81,38.59,38.53,37.03,37.16,36.07,36.0,36.71,36.58,36.07,35.91,36.19,36.06,36.9,36.42,36.41,35.75,35.4,34.9,34.64,35.11,34.71],"SET-BKK^FG_PRICE(0,-200D)":[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,1206.59,1220.27,1187.86,1198.98,1197.26,1171.12,1159.53,1159.0,1146.86,1153.77,1144.05,1134.71,1150.95,1141.28,1138.9,1128.66,1133.95,1088.18,1074.59,1125.21,1161.81,1172.69,1168.02,1158.09,1175.45,1187.9,1190.36,1184.93,1190.06,1186.61,1181.71,1189.66,1176.17,1170.2,1173.76,1159.64,1160.06,1187.63,1177.44,1202.03,1189.55,1206.96,1177.64,1188.41,1203.72,1215.73,1231.14,1206.39,1235.85,1246.21,1245.61,1262.27,1257.48,1256.48,1272.1,1284.11,1283.97,1270.49,1282.09,1262.07,1286.74,1301.02,1304.39,1314.5,1335.64,1343.19,1345.77,1340.94,1354.07,1344.17],"EWW^FG_PRICE(0,-200D)":[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,59.51,59.26,59.36,59.08,57.84,58.12,58.11,59.09,58.39,56.68,56.94,56.67,56.97,56.42,58.12,57.94,57.34,56.51,55.51,54.34,54.93,53.02,52.19,51.91,50.68,50.3,51.86,48.06,48.52,49.92,54.26,52.16,52.05,50.96,51.62,52.15,52.01,52.59,52.04,51.7,52.26,52.42,52.41,53.28,52.36,51.19,50.98,50.25,50.16,51.53,51.45,51.03,50.02,49.85,50.52,50.59,51.49,51.05,51.67,51.99,52.86,52.25,53.22,52.67,52.38,51.91,51.28,50.76,50.68,50.71,49.57],"CNYA^FG_PRICE(0,-200D)":[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,28.24,28.25,28.58,28.34,28.45,27.78,27.85,27.58,27.82,27.7,27.66,26.92,27.06,27.14,27.14,27.25,27.29,27.2,27.16,27.04,26.82,26.92,26.7,26.96,27.09,26.64,26.4,24.95,24.71,26.56,27.65,27.91,27.92,28.03,28.08,28.34,28.16,28.33,28.3,28.17,28.46,28.96,29.02,29.2,29.34,28.34,28.435,28.51,28.09,28.45,28.625,28.38,27.97,27.77,27.96,28.41,28.5,28.38,28.45,28.73,28.63,28.23,28.12,28.55,28.1,28.118,27.8,28.0,27.865,27.48,27.21],"EWU^FG_TOTAL_RETURNC(-5AY,0,AM)":[11.771607,3.9769769,5.173588,0.22653341,1.3561487,3.2175899,4.7222137,-2.9257715,-2.4081469,3.4482718,-2.5993884,6.3108325,-2.5398731,-0.9524286,7.576239,0.14611483,-2.7137458,2.4894953,-6.1164675,-7.369918,1.4050722,3.2443404,-8.052373,-4.663581,13.032114,2.3680806,7.304287,0.15263557,-5.272788,8.49421,-1.1862457,-0.44386387,2.0589948,-5.2393856,2.9869676,-4.9367485,4.316783,3.2889009,-1.5100181,2.8160214,2.6475906,-0.7115245,9.346067,-1.5776277,0.45261383,2.7316332,1.5350938,-0.08100271,-6.106454,-1.0153055,2.0480871,6.311798,3.6388516,-2.4023235,7.1409225,0.2178669,2.313614,4.824126,-0.86289644,1.9342303,-1.9449711],"EZA^FG_TOTAL_RETURNC(-5AY,0,AM)":[9.62137,11.288309,1.6829014,6.402445,-0.12280345,3.5040975,1.8610239,-4.6500263,-3.2503664,-4.2100787,0.33296347,12.079644,-8.626133,-1.4555573,10.476184,4.791498,4.495883,-6.005126,-11.102456,-5.332434,-3.786081,3.148055,-8.106815,-4.462898,18.006516,-1.5798867,9.615385,-7.472378,-8.356738,10.804594,-10.765332,8.305597,3.7127018,-9.663081,1.502192,-5.2309275,9.423804,1.0238767,-6.0172615,0.41983128,1.3848901,-1.0309219,14.947915,1.6389489,-2.0375788,9.267389,2.474618,4.313731,-6.1139703,-2.9680908,-2.379322,9.749246,2.5624514,-0.27065873,7.7453017,1.4149666,5.9539914,4.19631,9.507966,5.868244,-1.9332409],"EPHE^FG_TOTAL_RETURNC(-5AY,0,AM)":[18.293571,1.1986136,-2.6634395,-3.8246274,-4.397029,-0.67635775,-1.4640808,7.2203755,-7.5924754,3.1952262,2.279687,8.416498,-0.9512186,1.4248967,-4.414463,4.746628,-7.8383327,1.461792,-4.9115896,-8.542812,-4.838097,10.848677,-9.443844,-7.437694,9.478676,3.0349493,12.125862,-5.236137,-3.791988,-1.9519448,2.4502277,-3.2160342,4.88472,-7.488823,-4.0273848,1.3008833,3.8939595,3.635168,1.9627571,4.085827,0.36549568,-9.905314,4.931283,-7.795465,8.43935,7.5870156,6.543076,-1.5694261,-9.358751,-4.4529796,-0.08074641,-1.5757561,6.362891,-2.3469687,8.134174,-1.9889057,-1.4716983,0.91918707,1.7077804,-5.4850698,-3.7899673],"CNYA^JULIAN(FG_PRICE(0,-200D).DATES)":[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],"EWZ^FG_TOTAL_RETURNC(-5AY,0,AM)":[9.496248,18.08355,-2.7586222,-2.6732147,-4.007846,2.24818,7.624209,8.104097,-4.8841357,-8.671724,-7.286292,-2.165836,-7.7482643,0.82303286,10.234404,9.259868,5.2551746,7.647896,-9.865952,-12.999439,-6.912607,19.930744,1.0907888,4.284358,-10.316497,1.5300274,4.96403,-1.6792297,-8.713836,6.8728447,6.7881346,12.1549015,-1.2224972,-5.5074215,5.730188,-7.2777987,14.094853,2.4618506,-2.4274707,2.2148013,-2.5823653,-6.3376007,2.9928446,-11.462259,3.1687617,9.107137,-4.451716,-3.3915699,-3.687948,-11.1172085,1.9922018,11.2526655,1.4503837,-5.1166296,11.657417,0.048089027,-2.9634953,3.1284928,11.700975,-2.295512,5.55923],"EWQ^FG_PRICE(0,-200D)":[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,42.25,42.09,41.88,42.1,41.81,41.68,41.32,41.32,41.62,41.84,41.86,41.07,41.04,40.94,41.04,40.95,40.72,40.12,39.84,38.97,39.22,38.96,39.0,38.85,38.97,37.99,38.61,35.65,35.97,37.21,39.48,40.18,40.05,39.8,40.35,40.55,40.48,41.23,40.91,40.91,41.28,41.97,41.81,41.68,41.29,40.47,40.97,41.09,41.0,41.87,41.43,42.02,40.78,40.36,39.54,39.44,39.89,39.89,39.58,39.78,40.09,39.72,40.29,40.29,39.88,39.61,39.19,38.79,38.63,39.05,38.66],"MCHI^FG_PRICE(0,-200D)":[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,54.42,54.57,55.6,54.7,55.06,53.25,53.45,52.69,53.95,53.4,53.42,51.59,51.66,51.68,51.85,51.91,51.97,51.66,50.9,49.39,49.29,49.16,50.17,50.56,49.68,47.98,48.06,45.22,46.0,50.0,53.67,54.16,54.55,54.4,54.57,55.81,55.0,55.0,55.61,55.65,56.69,58.31,58.36,58.65,57.37,55.77,55.63,55.83,54.79,56.5,56.53,56.22,53.6,52.81,53.58,54.91,55.4,54.06,53.59,55.77,54.73,53.73,53.99,53.46,51.85,51.87,50.54,51.01,49.73,49.12,48.46],"EWJ^FG_TOTAL_RETURNC(-5AY,0,AM)":[9.766018,3.229618,4.3563247,2.6918054,-0.91112256,-4.102421,-0.33928752,0.27179718,-0.2973914,-0.5816519,8.565855,-4.5737267,1.230824,-3.4118056,-2.3709536,-2.197963,-2.137357,-6.455755,-1.991415,-7.9185305,3.4383297,3.3054829,-7.855481,-5.5013657,11.973583,1.5711069,5.2392125,-1.4347434,-0.87688565,3.821659,3.8854837,2.8040051,0.4017353,-5.057621,5.529332,-7.1405706,7.2767973,0.9053707,6.2046766,3.0804276,5.211246,-6.967962,4.10589,-3.2406151,5.234647,0.08575916,1.7852068,-1.5995502,-4.0638804,-0.047171116,-0.04531145,5.333936,2.3095727,-4.556924,7.22785,-0.89060664,0.06966591,10.903776,1.443994,3.4038901,-4.8479795],"ENZL^FG_PRICE(0,-200D)":[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,45.41,45.6,45.33,45.62,44.75,45.17,44.23,44.56,44.82,44.49,44.29,43.06,42.61,43.35,43.6,43.76,43.805,42.8238,43.095,43.38,43.5,43.03,42.68,43.1,42.39,41.79,41.36,39.48,39.39,40.13,42.72,42.67,42.39,42.08,42.05,42.6,42.48,42.41,41.83,41.82,41.75,42.29,41.95,42.77,42.45,41.91,42.34,42.39,42.75,42.985,42.72,42.94,42.25,42.18,42.37,42.37,42.96,42.49,43.55,44.2,45.22,45.2,45.17,45.67,45.15,44.83,44.9497,44.8837,44.82,44.92,45.01],"SET-BKK^FG_TOTAL_RETURNC(-5AY,0,AM)":[14.757931,6.696713,2.249086,-1.00348,4.228556,1.0281682,-1.6138852,3.7593126,-4.59522,0.93055964,3.2114744,2.151513,0.45861006,-1.7786562,2.5473356,3.3941627,-2.0248652,0.10962486,-3.415954,-3.9274156,-1.2756467,5.625868,0.7792473,-2.798748,1.5476584,-0.8000612,4.5380354,-1.1662006,-6.1676207,0.6204009,-3.2081008,1.4984608,-1.067251,-0.13542771,-0.738585,-7.198757,1.4356613,-1.3434827,-1.2753785,-0.10416508,-0.5712867,-2.9930592,3.499794,-5.8323026,1.4519095,0.83361864,9.304131,2.626598,-1.8351197,-6.6606045,-1.7999053,-7.078701,-5.130017,-2.6030064,3.318131,-10.21831,13.014805,3.4436226,3.5725474,-0.63818693,-0.20708442],"CNYA^FG_TOTAL_RETURNC(-5AY,0,AM)":[4.210806,2.453661,10.08054,6.348121,-14.308953,0.97323656,4.7710776,-1.5180469,2.1754384,-5.3800344,-0.58069825,5.962527,-0.55122375,0.22184849,-1.5813947,-3.7098289,-6.7239285,-7.9452696,-2.4578452,6.9095373,-1.0982931,-3.4425378,-7.93559,-6.3397884,3.1240463,2.0188212,12.305201,-5.4640055,-2.4770677,3.1984925,-5.4998455,-3.6916673,-1.4546633,-3.2089412,-1.6485393,-5.8220444,5.765414,-7.730043,-1.4551342,3.691554,5.854428,-2.1300435,4.047346,-5.334073,0.62208176,-3.3029318,-2.5782049,20.71371,-0.3737688,-1.3915479,-3.5701692,4.9486756,-0.5937815,-5.76247,5.443704,-0.86173415,6.4637423,6.7608476,5.3875327,0.5680084,-0.53507686],"KSA^FG_PRICE(0,-200D)":[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,40.19,40.13,40.21,40.3,40.04,39.54,39.44,39.53,39.72,39.71,40.33,40.01,40.43,40.74,40.85,41.16,41.05,40.37,40.41,39.9,40.19,40.04,40.24,40.01,39.58,39.34,40.2,38.17,38.75,38.98,40.61,41.52,41.34,41.37,41.07,41.39,40.87,40.28,40.49,40.34,40.35,40.38,40.59,41.13,40.48,40.02,40.06,39.95,40.04,40.39,40.27,40.75,40.64,41.07,41.13,41.17,41.63,41.95,41.96,42.03,42.43,42.11,42.14,42.5,42.5,42.18,42.32,42.4,42.07,42.23,42.25],"EWN^FG_TOTAL_RETURNC(-5AY,0,AM)":[5.7370305,7.281053,6.2636614,4.8663497,-2.1132946,5.809033,2.3769379,-1.3439536,-0.9224355,7.4693203,1.3191581,0.5441189,0.81174374,-8.344871,0.2099514,-5.7406187,-4.4898868,-3.979528,-10.009688,-6.8217754,5.5051208,1.8318057,-10.411554,-4.776388,20.958471,-0.38893223,11.499464,1.0768175,-5.0662937,5.0623536,1.7089844,0.3180027,3.2227755,-6.608939,-4.9292326,-6.134498,15.395141,4.6939135,-0.022798777,7.0141435,4.6786785,-4.6833634,10.596025,-0.043934584,-3.1463683,1.2106538,-1.5550196,-1.680845,-8.178579,1.2084961,3.1298995,5.202687,0.700593,-4.7472897,13.426423,-0.40637255,3.0202627,0.22447109,6.0843587,3.5362363,-5.6584477],"EWT^FG_TOTAL_RETURNC(-5AY,0,AM)":[7.940984,5.6245923,11.886764,4.0727854,-3.1473756,8.2702875,-4.795933,4.3369412,1.8225431,-4.788822,2.6879907,0.40147305,5.8861136,-0.73937774,3.252542,-0.86324215,-4.491287,-6.5738974,-6.9679856,-3.6805272,-4.145974,4.0462494,-9.099615,-11.949426,16.34754,-1.4030814,8.815563,0.45259,-0.9236336,0.8412838,2.818489,4.912281,-0.56438446,-5.150306,0.28812885,-2.2983432,9.273922,1.3391972,1.7499328,5.0690293,4.3721676,-5.6747856,11.201059,7.948053,-3.152907,1.8818259,-1.8101215,6.5838933,-5.3123894,0.515759,-0.3638506,2.191043,-5.4353952,-10.739851,19.1622,2.5430083,8.023346,-0.7765055,7.825792,4.4020176,-6.7855477],"EWU^FG_PRICE(0,-200D)":[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,38.9,38.8,38.25,38.42,38.24,38.29,38.11,38.43,38.57,38.64,38.6,37.88,38.1,38.35,38.19,37.94,37.89,37.55,37.58,36.82,36.97,36.55,36.65,36.15,35.57,34.67,35.11,33.19,33.29,34.62,37.28,37.61,37.44,37.47,37.59,37.66,37.51,37.64,37.53,37.53,37.88,37.99,37.95,37.97,37.71,37.13,37.12,36.96,37.05,37.83,37.25,37.92,37.55,37.42,37.04,36.7,36.75,36.72,36.39,36.36,36.55,36.64,36.85,36.55,36.65,36.57,36.46,36.17,35.89,36.06,36.04],"EWQ^FG_TOTAL_RETURNC(-5AY,0,AM)":[11.486721,3.5732865,1.5010476,1.6563058,1.8620849,4.0845513,5.2689433,0.29987097,-3.5742462,3.4886956,-1.948911,4.0827274,2.0645142,-2.8461635,3.1826735,-2.7734697,-6.158352,-1.1931896,-6.0379505,-6.4380527,1.7845035,4.1680455,-8.9869795,-0.9769738,15.750527,0.2384901,11.216092,2.904904,-4.4474006,9.643257,-0.71173906,-0.93141794,3.5402894,-5.4860888,-0.701952,-7.395315,9.982371,3.7546873,-1.7998278,4.1139245,5.977714,-4.612809,5.8631897,-6.3471375,-0.15515089,1.7352939,1.0692477,-1.1335015,-8.152866,-0.39779544,4.629636,7.508719,2.9683232,-4.9903035,9.892904,-2.0335376,3.9476752,2.446425,-0.6595433,3.4798503,-4.889381],"MCHI^FG_TOTAL_RETURNC(-5AY,0,AM)":[4.1267395,-0.66547394,13.766503,4.6498895,-11.238891,-4.028267,-1.116842,-0.093990564,-4.3326735,-13.938051,0.045371056,9.74909,-5.4124775,-10.963315,6.8039536,-5.0285397,-10.573328,-9.371596,-0.3206432,6.7326665,-1.0799527,-7.163376,-5.0546765,-14.080834,11.431467,6.802237,17.921078,-8.11997,-6.7277074,4.0759683,-5.1466107,-0.26875734,-0.6783426,-4.5604763,0.48476458,-5.995864,8.06452,-8.923274,-5.7026443,3.8606882,5.146861,-2.5710762,19.360565,-6.8409863,-3.6901236,-0.2617836,1.789546,18.354439,-4.971284,0.01835823,-1.8895924,18.437565,3.581214,-13.053447,11.990261,-2.1361232,7.3831797,4.2993903,7.543397,-0.49658418,-5.0530252],"EWZ^FG_PRICE(0,-200D)":[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,28.0,28.01,28.2,28.33,27.49,27.56,27.48,26.4,26.61,26.71,27.12,26.88,27.04,27.36,27.21,26.94,26.74,26.31,25.86,25.2,25.22,24.79,24.86,25.01,24.69,24.19,24.71,23.44,23.95,24.5,26.33,26.14,26.14,25.85,25.96,26.33,26.3,26.42,26.19,26.57,26.58,26.94,26.57,26.45,25.84,24.8,24.48,24.38,24.3,24.82,24.57,24.58,23.91,24.14,24.11,24.71,24.88,25.28,25.06,25.47,26.2,26.09,26.39,26.37,25.46,25.34,25.79,25.58,25.22,25.77,25.43],"SPY^FG_TOTAL_RETURNC(-5AY,0,AM)":[3.4801006,4.3424487,3.984511,1.5994072,0.1865983,5.825722,0.7545352,0.24462938,3.8899064,2.8534293,-1.7853796,4.232323,3.642714,-2.621293,-1.8088758,-2.8024614,2.6842833,0.04274845,-12.385595,-5.695957,7.901931,6.9331527,-8.636874,-4.863441,8.379626,-3.4647107,4.03111,2.8746128,-2.946353,4.6071053,1.6363978,4.8229575,3.4310818,-3.4676433,0.8491039,-3.9782107,7.851565,3.5005689,3.026092,2.9703856,5.102706,-4.8647346,7.0482254,3.19587,0.68802834,1.7687082,2.0217419,2.875495,1.0109544,0.44293404,1.0877132,2.1419764,-7.3544383,-6.630969,12.621344,0.5382776,5.6034207,1.6778708,4.2972445,1.1450887,-2.7960598],"EWD^FG_PRICE(0,-200D)":[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,45.61,45.62,45.11,45.23,45.09,44.38,44.26,44.38,44.18,44.28,44.55,43.12,43.64,43.0,43.61,43.62,43.32,42.43,42.68,41.77,41.9,41.07,41.39,40.72,40.31,39.65,39.92,37.07,37.34,38.17,41.47,42.61,42.25,42.08,42.94,43.53,43.58,44.67,44.24,44.03,44.41,44.73,44.67,44.97,44.55,43.07,43.77,43.88,43.82,45.12,44.31,45.1,43.32,43.9,43.14,43.07,43.85,43.85,43.38,43.66,44.15,43.57,44.29,43.91,43.83,42.98,42.52,42.45,41.81,42.23,41.92],"VNM^FG_TOTAL_RETURNC(-5AY,0,AM)":[5.9247017,5.1318765,7.860756,1.5460968,-2.7188718,9.558415,-2.3979664,4.6001077,-4.2978525,0.05222559,1.1482239,1.7027855,4.211068,0.7940531,-3.3495188,-0.6027043,-4.749876,-7.108754,-11.593378,-4.263568,-1.4170051,5.749488,-6.796116,-15.763885,-6.1830163,6.230676,8.795822,-8.825785,-3.3670068,4.3554068,3.255427,5.9822083,6.7887187,1.2857199,5.218613,-14.477211,4.075229,-0.8959532,3.5892725,4.7177076,0.22156239,-12.675011,9.451473,-4.163456,-3.0571222,3.485477,0.5613446,-2.3126006,-6.122446,1.3043404,-2.3175895,3.866434,4.9069405,-5.403227,11.594212,1.9480586,16.710377,13.579464,-0.056529045,2.9411793,-4.12088],"EWY^FG_TOTAL_RETURNC(-5AY,0,AM)":[10.96909,9.6293335,15.624237,-0.86253285,-4.5327606,4.8604846,-2.7897,0.5518794,-1.2733221,-8.138758,-1.9002676,-0.49352646,-2.7526379,0.31466484,-2.0124555,-3.2993197,-2.0279586,-2.6993036,-4.959029,-9.70962,-2.412063,1.1328578,-9.080106,-7.5228634,17.178036,0.13387203,10.097504,-3.716004,-3.4159899,5.6963086,-0.17696619,5.0443172,1.2580514,-8.075762,2.4229407,-8.464754,11.656117,1.9855499,-6.1153355,8.504904,3.9346814,-8.244801,6.3926935,0.18393993,-0.19889474,1.6710043,-4.5235214,-1.9740999,-7.539874,-6.5894246,4.7573566,6.620455,-2.9592872,-4.265815,7.530844,17.345882,5.6325674,-1.4228463,12.177694,12.966895,-2.1010756],"INDA^FG_PRICE(0,-200D)":[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,54.66,54.77,53.97,54.01,54.32,52.39,51.54,53.22,53.68,54.32,53.91,53.54,53.57,53.54,53.29,52.85,53.74,53.18,53.5,53.0,52.26,51.13,51.13,51.03,50.76,50.52,51.22,49.16,49.13,49.19,51.18,51.56,51.05,51.48,51.28,51.79,51.4,52.04,52.12,51.47,50.76,50.61,49.88,49.44,48.91,48.51,48.73,48.66,48.36,49.08,48.94,48.93,47.85,47.8,48.1,48.55,49.02,49.25,49.26,49.3,50.08,49.76,49.58,49.59,50.39,49.8,50.14,50.58,50.5,50.85,51.28],"GREK^FG_PRICE(0,-200D)":[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,52.5,52.15,52.22,52.07,51.6,51.0483,50.26,50.37,50.13,50.44,50.1,49.3,49.52,49.99,49.71,49.52,49.95,49.35,49.05,47.02,47.34,47.35,47.415,46.92,45.92,44.76,44.85,42.65,40.77,43.59,47.32,48.1,47.63,46.97,48.4701,48.9,48.42,48.48,48.31,46.99,47.865,48.03,48.1505,48.59,47.95,46.83,46.85,45.64,44.77,45.53,44.85,45.28,43.36,43.25,42.58,42.0296,42.4371,42.663,42.46,43.1,43.26,42.79,43.24,42.93,42.78,41.984,41.1877,41.09,41.0147,41.1069,40.71],"EPHE^FG_PRICE(0,-200D)":[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,27.69,27.62,28.01,28.06,27.75,27.62,27.16,27.56,27.35,27.03,27.27,26.86,26.89,26.41,26.18,26.26,25.96,25.59,25.55,25.17,25.3019,25.25,25.4141,25.19,24.96,24.18,25.16,24.13,24.14,23.83,25.04,25.56,25.26,25.3,24.98,25.1,25.022,25.2,25.43,25.79,25.91,25.87,25.67,26.0,25.785,25.38,25.08,25.07,25.47,25.36,25.14,24.71,24.25,24.05,24.0,24.3,24.46,24.17,24.33,24.41,24.36,24.37,24.3,24.29,24.36,23.82,23.8,24.1,24.36,24.73,24.83],"UAE^FG_TOTAL_RETURNC(-5AY,0,AM)":[6.09653,8.348918,12.088823,-5.2091002,2.7089834,1.5448332,7.383299,2.2235394,-3.9888024,6.1953306,2.3644567,-0.030171871,11.482227,-0.25708675,1.900053,2.527082,6.9835544,4.33352,-10.199791,-5.0375166,-0.6935656,5.7142854,-2.7627587,-4.5707283,0.9708762,-1.3236284,-1.0416687,-1.7763138,-6.2960505,5.396712,-0.7799268,1.4928222,3.1476974,0.9389639,1.9933581,-11.530948,9.572899,-2.3232162,3.393352,0.13395548,-0.2675593,-3.2863855,-0.9022236,-1.9536495,5.8605433,2.8030753,4.9761415,-3.376621,4.771507,4.609859,4.2357206,4.181397,-4.183155,-1.1209488,11.634838,-4.6189127,15.75898,-0.90090036,-1.6666651,0.5136132,-4.1481853],"EWI^FG_TOTAL_RETURNC(-5AY,0,AM)":[11.952186,5.05991,2.0833254,1.2713313,3.40271,1.1821151,3.725922,-0.2905488,-4.4808445,5.82335,-4.1271744,6.6007614,-1.5554905,-2.7365983,3.8339734,-1.9530058,-10.488642,2.260077,-6.290376,-8.71098,-6.554693,6.4007044,-4.3263316,-2.5839746,20.601236,-0.6915808,10.640693,4.334569,-6.751055,9.502256,-0.73108673,2.1912694,5.6500793,-5.5606184,2.3809552,-7.008171,11.186218,2.246523,0.78265667,3.6738396,9.276867,-4.0601134,7.1722984,-4.434067,2.9969811,0.02670288,2.9623747,1.5811205,-7.6805296,-0.09538531,6.0955167,8.1016655,5.9515,-2.612108,13.553286,-1.4071703,3.0845523,8.160698,-0.6190717,-0.25306344,-0.8391917],"TUR^FG_TOTAL_RETURNC(-5AY,0,AM)":[14.717352,5.953264,14.1592865,5.038762,-4.1932225,-19.537813,3.6118388,-6.843257,-2.0891428,9.246087,-5.6423664,-3.1738758,0.19003153,-1.220417,-1.2536168,-1.7578065,-3.0815125,21.794868,-14.736843,-2.138865,-2.0757616,14.944351,7.653296,15.460384,12.017811,22.329117,0.48966408,-7.769352,-0.20545721,-0.85294247,-12.726193,-0.48754215,11.217272,11.517656,3.623402,-5.6442738,3.8809419,-5.469179,1.2012005,14.213657,-7.950121,7.846451,14.027739,-2.3173094,4.0199757,-12.988794,-1.9973695,-11.048544,2.6228547,5.703211,1.5345931,-4.4242916,-4.312825,-4.116583,-0.15668869,-4.5323553,10.130178,6.1979175,0.97031593,-7.405323,2.5030613],"EWN^FG_PRICE(0,-200D)":[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,52.19,52.25,52.2,52.04,51.6,50.79,50.32,50.21,49.98,50.14,50.27,48.78,48.85,48.92,48.79,48.78,48.41,47.77,47.1,46.09,46.55,46.26,46.89,46.61,45.81,44.67,46.05,41.88,42.58,43.14,45.71,46.87,46.7,46.73,47.34,47.8176,47.8398,48.56,48.33,48.25,48.87,49.49,49.28,49.21,48.68,47.5801,48.12,47.81,47.48,49.36,48.48,49.02,47.8,47.37,47.17,47.08,48.46,48.58,48.18,48.17,48.53,48.38,49.15,48.94,48.75,47.9035,47.22,46.7,46.15,46.55,46.49],"EWC^FG_PRICE(0,-200D)":[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,43.89,43.83,43.44,43.4,43.08,42.85,42.81,42.89,42.77,42.66,42.84,42.31,42.45,42.45,42.37,42.04,42.06,41.52,41.39,40.77,41.1,40.83,40.53,40.44,39.87,38.74,39.54,37.17,37.79,38.41,40.62,41.59,41.13,40.75,40.57,41.25,41.38,41.71,41.51,40.88,41.03,41.04,40.52,40.69,40.11,39.3,39.84,39.48,39.68,40.47,40.37,40.73,39.77,40.45,41.23,40.8,41.43,41.35,41.38,41.55,42.22,42.23,42.44,42.17,42.52,41.96,42.07,42.02,41.65,41.8,41.74],"QAT^FG_PRICE(0,-200D)":[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,18.88,18.84,18.83,18.7553,18.7,18.69,18.615,18.51,18.55,18.55,18.54,18.34,18.31,18.2,18.14,18.16,18.12,17.9,17.91,17.78,17.72,17.78,17.89,17.79,17.61,17.52,17.57,17.23,17.16,16.83,17.66,17.86,17.88,17.84,17.75,17.87,17.79,17.87,17.86,17.99,17.92,18.14,18.15,18.18,18.12,17.94,18.08,18.05,18.07,18.07,18.14,18.05,17.96,17.94,18.0,17.86,18.1,18.13,18.07,17.97,18.08,18.07,18.06,17.98,18.04,17.89,18.0,17.95,17.94,17.99,18.15],"EWT^FG_PRICE(0,-200D)":[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,54.01,53.99,53.77,53.28,52.95,51.75,51.16,51.0,51.56,52.96,50.95,47.82,47.48,47.15,46.47,46.34,46.18,45.5,44.33,44.22,44.88,44.99,46.05,45.77,45.62,43.32,44.79,40.95,42.03,43.82,46.05,48.48,48.2,47.48,47.82,49.2,49.51,50.46,50.38,50.22,50.28,50.14,50.2,50.71,50.27,49.63,50.67,49.98,49.89,51.23,50.79,52.07,51.04,50.25,50.81,50.83,53.08,52.37,52.57,52.95,53.17,53.11,53.17,52.75,52.87,52.35,52.52,52.52,52.01,52.26,52.13],"EWL^FG_TOTAL_RETURNC(-5AY,0,AM)":[2.8557777,3.4371376,2.7758956,-2.1299958,-0.47116876,4.711449,2.7341247,3.7439227,0.45259,4.0753603,-6.0802817,2.7446032,3.262639,1.125586,-1.6598284,-4.0905533,1.387167,-0.71472526,-10.180998,-7.703429,5.7721496,2.5131702,-7.91502,-4.4624686,11.730361,-1.1163831,7.9269767,-0.04451275,-4.564685,11.08259,1.3442516,-3.1586707,3.6761522,-4.854369,0.488019,-6.534213,5.1015615,4.966295,0.10703802,0.9837508,1.6730189,-4.811496,7.08971,2.5566936,0.4475236,4.6375036,-1.9547105,1.6778469,-8.386719,-2.691251,2.7221203,8.734369,3.8798928,-2.4962425,6.198263,-2.6961148,3.41686,1.908958,-0.46830177,4.3792963,-3.4500718],"EIDO^FG_TOTAL_RETURNC(-5AY,0,AM)":[16.96477,11.8541,4.507518,-5.710864,-1.1012316,-7.665956,-1.3450801,-2.109325,-3.528279,4.659319,0.5744457,17.515469,-4.0502253,-3.459382,2.3337722,3.2702208,1.8333316,1.8003225,-5.385846,-2.5529027,-0.7073462,5.120218,2.8801322,-4.2404294,-0.30094385,-1.5602767,2.3451328,0.21617413,-4.874897,8.2993145,-1.2144029,-0.6093681,2.1767497,-2.8547108,0.6140351,-8.805579,3.871894,0.85481405,2.1619081,2.6114464,0.4826665,-9.257639,0.57747364,-9.262496,10.207426,8.420002,5.938792,-2.7166903,-11.569142,-6.4153075,0.6426811,-3.5675645,-10.818386,1.3827682,14.87912,-4.7903357,2.9685736,5.144143,-4.3548346,0.16862154,2.8619528],"EWA^FG_PRICE(0,-200D)":[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,25.47,25.55,25.16,25.42,25.18,25.01,24.83,24.89,25.05,24.99,25.31,24.65,24.67,24.55,24.52,24.51,24.51,24.0,23.96,23.48,23.61,23.42,23.36,23.29,22.77,22.35,22.81,20.82,20.85,21.15,23.25,23.89,23.71,23.44,23.47,23.75,23.71,23.81,23.7,23.43,23.53,23.65,23.43,23.87,23.5,23.02,23.31,23.32,23.42,23.89,24.02,24.41,23.92,23.95,23.99,24.07,24.44,24.54,24.63,24.55,25.09,25.04,25.42,25.47,25.66,25.26,25.04,25.09,24.93,25.13,25.01],"EWM^FG_PRICE(0,-200D)":[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,24.87,25.08,25.07,24.87,24.5,24.45,24.31,24.68,24.64,24.86,24.85,24.12,24.17,23.7,23.71,23.43,23.43,23.07,22.91,23.04,22.77,22.44,22.63,22.65,22.46,22.05,22.14,21.2,21.75,21.91,23.01,23.32,23.03,23.08,23.0,23.55,23.21,23.17,23.0,23.15,22.94,23.32,23.39,23.44,23.21,22.91,22.53,23.1,23.12,23.29,23.42,23.73,23.23,23.4,23.67,23.76,24.16,23.96,24.24,24.23,24.28,24.12,24.07,24.43,24.34,24.07,23.98,24.09,23.97,24.04,24.02],"ECH^FG_TOTAL_RETURNC(-5AY,0,AM)":[12.407565,9.189892,9.791398,1.6242743,3.4378767,3.5568595,-20.101357,1.0543704,-1.4184475,-2.6259005,-1.9209445,-8.512235,4.7756314,-12.996459,18.34327,1.8525839,8.939624,0.6394386,-0.9530544,-4.4397354,-2.8316557,2.5948167,1.1673093,-9.423077,6.7940593,4.9388885,9.288776,4.107392,-8.420152,8.877289,2.500856,0.8239269,9.272671,-10.788643,-4.243284,-11.447567,10.92577,3.5945296,-6.3184795,1.2865543,2.8098464,-1.7221987,12.4190445,-7.802069,-1.0558069,1.1813998,-2.8248608,1.9767404,-3.0406654,-0.96583366,2.3828506,12.102402,5.6055427,-1.8676281,9.348917,-6.105262,0.19932985,6.23343,4.8377037,0.77403784,8.094538],"SPY^FG_PRICE(0,-200D)":[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,594.2,590.46,587.59,586.84,582.99,564.34,565.06,561.15,558.8,563.51,566.76,558.47,554.54,554.32,550.85,550.64,546.69,535.42,527.25,513.88,526.41,525.66,537.61,539.12,533.94,524.58,548.62,496.48,504.38,505.28,536.7,564.52,560.97,559.39,555.66,567.08,568.59,575.46,574.08,563.98,565.49,567.13,561.02,567.15,562.81,551.42,558.87,555.92,560.58,575.92,572.71,583.06,576.86,583.77,594.18,585.05,594.54,594.24,597.21,599.94,610.38,612.93,611.49,609.7,609.73,603.36,605.31,604.85,600.77,606.32,604.22],"EPU^FG_PRICE(0,-200D)":[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,44.57,45.06,44.95,45.11,44.74,45.3303,45.02,44.79,45.45,44.7003,44.44,43.74,44.33,44.8,44.6021,44.4285,44.55,43.98,43.836,43.48,43.2,43.3511,43.15,43.14,42.085,40.8059,41.46,38.53,39.07,40.05,43.42,44.85,44.57,43.89,44.2008,44.86,44.4931,45.2331,44.6,44.66,44.5894,44.48,44.2814,44.12,43.37,42.25,41.7471,41.1012,40.6935,41.5776,41.46,41.4694,40.4409,40.5245,40.9415,40.6676,41.4594,40.996,41.0138,41.09,42.13,41.6891,42.0243,42.28,42.18,41.7901,41.3003,42.41,41.8581,42.06,41.45],"EWD^FG_TOTAL_RETURNC(-5AY,0,AM)":[6.8051457,3.274858,4.2186737,3.4251451,3.3117175,4.5505404,3.4305334,-3.1441033,1.3140559,1.9887686,-3.1793118,4.575312,-0.083738565,-5.3955736,-1.3665378,-8.337188,1.1874676,-2.3970008,-10.770017,-8.521795,2.8700352,1.0971785,-11.5969,-2.6657343,17.621624,-0.66078305,10.049618,0.90191364,-5.6703863,7.9360366,-0.4389584,-3.692478,2.374816,-8.524311,0.94714165,-3.8740933,12.846351,10.360479,-5.6735697,6.6739917,5.2523136,-6.3600836,8.751308,-1.0979712,-1.135242,2.5961041,2.773726,-2.4621248,-8.300978,-1.0852277,5.0040245,12.512743,0.5888939,-5.6518793,10.6205225,-3.3533692,1.9173741,4.031348,2.1097898,1.3915181,-5.6352673],"EWG^FG_TOTAL_RETURNC(-5AY,0,AM)":[2.0345926,7.8220844,1.2796521,0.7395983,1.6824841,4.512632,2.3891687,-1.7032444,-1.8906355,2.608955,-4.1895447,1.4173746,0.47576427,-5.4302573,3.0269861,-4.411763,-7.3397455,-4.150814,-5.846262,-6.470352,-3.168565,0.3054142,-7.3945165,-2.630347,20.260502,-1.0899186,12.657202,1.3683796,-4.511547,7.849705,1.1383176,-0.30283928,2.0386696,-5.4770947,-1.457727,-6.841719,11.433101,3.9598346,-0.9938359,2.38837,6.3218474,-4.5786977,7.897365,-3.957349,1.7133474,2.7210832,3.0905008,2.0495653,-6.0551586,2.1059394,3.5937548,9.170425,5.996132,-2.5026023,11.684489,-1.8284261,4.4372797,0.6171346,-2.7600825,1.6011596,-7.13945],"EWW^FG_TOTAL_RETURNC(-5AY,0,AM)":[14.838696,4.893434,4.0288568,-5.548006,5.0587416,5.522597,3.9576054,-1.837188,0.10678768,3.584385,0.49433708,2.6439905,-5.6110263,3.797996,2.5837064,1.1686444,4.740095,0.3422737,-3.1457245,-8.994943,-0.7203698,4.4415116,-1.3263166,-1.2588024,15.276575,-3.7285566,12.99423,2.93653,-5.739665,8.698797,1.6005278,3.930688,0.41356087,-2.0275652,-1.1964381,-12.829322,17.965078,7.5544953,-2.163452,3.3630133,0.8914113,-4.447067,6.118047,-16.279137,2.483821,-4.403484,-3.6243498,0.037050247,-6.870371,0.27130842,-2.8647363,11.354542,-1.135081,5.1090717,10.19479,-2.2595167,2.3231745,2.8758764,8.059502,-0.24205446,0.121319294],"QQQ^FG_PRICE(0,-200D)":[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,521.51,519.25,518.68,515.59,507.85,487.97,488.29,483.3,481.41,485.93,488.83,481.68,475.47,475.53,472.41,472.56,467.35,454.56,444.48,433.11,444.1,444.18,457.99,457.48,454.4,446.18,466.0,416.06,423.69,422.67,450.66,476.15,472.7,468.92,468.94,481.62,484.38,493.46,490.66,480.84,479.26,480.89,474.54,482.77,479.66,468.34,476.92,471.6,472.73,491.79,488.2,502.01,495.55,497.05,508.17,500.27,514.56,513.32,519.87,526.08,537.23,539.52,539.37,538.15,535.9,528.3,527.99,529.25,522.92,529.6,526.85],"EPOL^FG_PRICE(0,-200D)":[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,30.32,30.49,30.68,30.8,30.5,30.88,29.94,29.66,29.48,29.83,30.09,29.45,29.48,30.3,30.3,30.04,30.19,29.43,29.25,28.63,28.29,27.74,27.58,27.59,27.25,26.93,27.69,24.7,24.54,25.14,27.51,28.79,28.28,28.01,28.43,28.69,28.42,29.11,28.56,28.13,28.35,28.79,29.15,29.01,28.5,27.58,27.17,26.88,26.44,27.42,26.86,26.92,25.51,25.68,25.28,25.55,26.18,25.95,25.62,25.99,26.19,26.12,26.74,25.77,25.86,25.67,25.16,24.56,24.3,24.2,23.57],"EWC^FG_TOTAL_RETURNC(-5AY,0,AM)":[5.6348085,5.9004784,3.9057374,2.6405811,4.1162252,0.23255348,8.294666,-0.65092444,-2.169782,1.1366725,-1.2883782,10.108316,-1.0088325,-6.396222,6.4516187,-2.2274017,5.3774834,1.4077425,-10.23798,-7.32311,1.7412186,4.839182,-6.1919394,-6.480652,10.8116865,-4.7113657,8.199751,-0.31338334,-6.2303543,7.467222,-1.3613164,-0.497061,4.144776,-5.465251,3.0536532,-6.5592585,6.3115716,4.679632,1.2058377,1.2468815,4.7071576,-3.005743,4.0689826,-4.48997,5.035579,2.787912,4.2078614,2.2622228,0.40436983,-4.131925,1.5527129,4.118383,-2.8185725,0.17060041,7.518244,2.741623,3.3037782,1.1161208,7.6841354,-0.019711256,-1.5970051],"EZA^FG_PRICE(0,-200D)":[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,51.24,51.09,50.22,50.41,50.19,50.64,49.85,50.23,50.71,50.44,50.19,49.27,49.52,49.14,49.09,48.38,47.96,47.55,48.16,47.6,47.9,47.43,47.1,47.22,45.62,43.94,44.27,40.54,40.77,41.29,44.88,46.65,48.1,48.13,47.6,48.21,48.16,47.93,47.71,47.6,48.03,48.77,47.69,47.74,47.0,45.86,45.97,46.31,45.77,46.84,46.57,46.39,45.07,44.54,44.4,45.21,46.1,46.13,46.06,46.58,46.83,46.22,46.73,46.21,46.08,45.88,45.66,46.05,45.43,45.61,44.84],"EWA^FG_TOTAL_RETURNC(-5AY,0,AM)":[10.894942,6.112206,4.2100906,1.1600018,-2.4120212,3.849268,3.5505295,-0.63102245,-2.460587,-0.15767217,-2.1713376,7.4656963,-4.88171,-2.36786,1.0870337,-0.580436,7.1309447,4.3207407,-10.298502,-10.639328,3.5559773,4.8723936,-6.194687,-6.037736,14.257026,-1.3154626,10.566891,-2.8301835,-6.373996,5.951309,-2.1276593,3.1748772,-0.30056238,-7.5796723,2.7493,-6.4399123,8.385849,8.176649,-1.7721534,2.0188928,2.821052,-4.340702,7.4058175,-0.6112993,2.0032763,1.2424827,4.9485326,0.18860102,-2.1837354,-6.970125,1.9772768,3.5066009,-6.217617,0.3399968,8.555687,1.2060761,3.5225153,0.9451747,0.71160793,1.3759851,-8.47395]}]]></FdsFormulaCache>
</file>

<file path=customXml/itemProps1.xml><?xml version="1.0" encoding="utf-8"?>
<ds:datastoreItem xmlns:ds="http://schemas.openxmlformats.org/officeDocument/2006/customXml" ds:itemID="{E5192A86-3F3D-484C-A8C4-5401DD7640EA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2025-11-21T06:42:47Z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