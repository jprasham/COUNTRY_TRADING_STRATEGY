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C40EE059-FE10-40CC-B801-0B209D4B5824}" xr6:coauthVersionLast="47" xr6:coauthVersionMax="47" xr10:uidLastSave="{00000000-0000-0000-0000-000000000000}"/>
  <bookViews>
    <workbookView xWindow="-98" yWindow="-98" windowWidth="22695" windowHeight="13546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V2" i="1" a="1"/>
  <c r="N2" i="1" a="1"/>
  <c r="F2" i="1" a="1"/>
  <c r="AH2" i="6" a="1"/>
  <c r="R2" i="6" a="1"/>
  <c r="J2" i="6" a="1"/>
  <c r="B2" i="6" a="1"/>
  <c r="AC2" i="1" a="1"/>
  <c r="E2" i="1" a="1"/>
  <c r="U2" i="6" a="1"/>
  <c r="P2" i="1" a="1"/>
  <c r="AB2" i="6" a="1"/>
  <c r="W2" i="1" a="1"/>
  <c r="AI2" i="6" a="1"/>
  <c r="AA2" i="6" a="1"/>
  <c r="S2" i="6" a="1"/>
  <c r="K2" i="6" a="1"/>
  <c r="C2" i="6" a="1"/>
  <c r="AD2" i="1" a="1"/>
  <c r="Z2" i="6" a="1"/>
  <c r="U2" i="1" a="1"/>
  <c r="M2" i="1" a="1"/>
  <c r="E2" i="6" a="1"/>
  <c r="X2" i="1" a="1"/>
  <c r="L2" i="6" a="1"/>
  <c r="AG2" i="6" a="1"/>
  <c r="Y2" i="6" a="1"/>
  <c r="Q2" i="6" a="1"/>
  <c r="I2" i="6" a="1"/>
  <c r="A2" i="6" a="1"/>
  <c r="AB2" i="1" a="1"/>
  <c r="T2" i="1" a="1"/>
  <c r="L2" i="1" a="1"/>
  <c r="D2" i="1" a="1"/>
  <c r="AF2" i="6" a="1"/>
  <c r="X2" i="6" a="1"/>
  <c r="P2" i="6" a="1"/>
  <c r="H2" i="6" a="1"/>
  <c r="AI2" i="1" a="1"/>
  <c r="AA2" i="1" a="1"/>
  <c r="S2" i="1" a="1"/>
  <c r="K2" i="1" a="1"/>
  <c r="C2" i="1" a="1"/>
  <c r="AE2" i="6" a="1"/>
  <c r="W2" i="6" a="1"/>
  <c r="O2" i="6" a="1"/>
  <c r="G2" i="6" a="1"/>
  <c r="AH2" i="1" a="1"/>
  <c r="Z2" i="1" a="1"/>
  <c r="R2" i="1" a="1"/>
  <c r="J2" i="1" a="1"/>
  <c r="B2" i="1" a="1"/>
  <c r="AD2" i="6" a="1"/>
  <c r="V2" i="6" a="1"/>
  <c r="N2" i="6" a="1"/>
  <c r="F2" i="6" a="1"/>
  <c r="AG2" i="1" a="1"/>
  <c r="Y2" i="1" a="1"/>
  <c r="Q2" i="1" a="1"/>
  <c r="I2" i="1" a="1"/>
  <c r="A2" i="1" a="1"/>
  <c r="AC2" i="6" a="1"/>
  <c r="M2" i="6" a="1"/>
  <c r="AF2" i="1" a="1"/>
  <c r="H2" i="1" a="1"/>
  <c r="T2" i="6" a="1"/>
  <c r="D2" i="6" a="1"/>
  <c r="AE2" i="1" a="1"/>
  <c r="O2" i="1" a="1"/>
  <c r="G2" i="1" a="1"/>
  <c r="G2" i="1" l="1"/>
  <c r="O2" i="1"/>
  <c r="AE2" i="1"/>
  <c r="D2" i="6"/>
  <c r="T2" i="6"/>
  <c r="H2" i="1"/>
  <c r="AF2" i="1"/>
  <c r="M2" i="6"/>
  <c r="AC2" i="6"/>
  <c r="A2" i="1"/>
  <c r="I2" i="1"/>
  <c r="Q2" i="1"/>
  <c r="Y2" i="1"/>
  <c r="AG2" i="1"/>
  <c r="F2" i="6"/>
  <c r="N2" i="6"/>
  <c r="V2" i="6"/>
  <c r="AD2" i="6"/>
  <c r="B2" i="1"/>
  <c r="J2" i="1"/>
  <c r="R2" i="1"/>
  <c r="Z2" i="1"/>
  <c r="AH2" i="1"/>
  <c r="G2" i="6"/>
  <c r="O2" i="6"/>
  <c r="W2" i="6"/>
  <c r="AE2" i="6"/>
  <c r="C2" i="1"/>
  <c r="K2" i="1"/>
  <c r="S2" i="1"/>
  <c r="AA2" i="1"/>
  <c r="AA68" i="1" s="1"/>
  <c r="AI2" i="1"/>
  <c r="AI68" i="1" s="1"/>
  <c r="H2" i="6"/>
  <c r="P2" i="6"/>
  <c r="X2" i="6"/>
  <c r="AF2" i="6"/>
  <c r="D2" i="1"/>
  <c r="L2" i="1"/>
  <c r="T2" i="1"/>
  <c r="AB2" i="1"/>
  <c r="A2" i="6"/>
  <c r="I2" i="6"/>
  <c r="Q2" i="6"/>
  <c r="Y2" i="6"/>
  <c r="AG2" i="6"/>
  <c r="L2" i="6"/>
  <c r="X2" i="1"/>
  <c r="X68" i="1" s="1"/>
  <c r="E2" i="6"/>
  <c r="M2" i="1"/>
  <c r="U2" i="1"/>
  <c r="Z2" i="6"/>
  <c r="AD2" i="1"/>
  <c r="C2" i="6"/>
  <c r="K2" i="6"/>
  <c r="S2" i="6"/>
  <c r="AA2" i="6"/>
  <c r="AI2" i="6"/>
  <c r="W2" i="1"/>
  <c r="W68" i="1" s="1"/>
  <c r="AB2" i="6"/>
  <c r="P2" i="1"/>
  <c r="U2" i="6"/>
  <c r="E2" i="1"/>
  <c r="AC2" i="1"/>
  <c r="AC68" i="1" s="1"/>
  <c r="B2" i="6"/>
  <c r="J2" i="6"/>
  <c r="R2" i="6"/>
  <c r="AH2" i="6"/>
  <c r="F2" i="1"/>
  <c r="N2" i="1"/>
  <c r="V2" i="1"/>
  <c r="AH68" i="1"/>
  <c r="AE68" i="1"/>
  <c r="AF68" i="1"/>
  <c r="Y68" i="1"/>
  <c r="AB68" i="1"/>
  <c r="Z68" i="1"/>
  <c r="AG68" i="1"/>
  <c r="AD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F69" i="1"/>
  <c r="AF70" i="1" s="1"/>
  <c r="AH69" i="1"/>
  <c r="AH70" i="1" s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B10B7BC4-3E96-40CF-A3A6-49AFA7AEAD98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Timestamp="1773387373"&gt;&lt;FQL&gt;&lt;Q&gt;KSA^FG_TOTAL_RETURNC(-5AY,0,AM)&lt;/Q&gt;&lt;R&gt;61&lt;/R&gt;&lt;C&gt;1&lt;/C&gt;&lt;D xsi:type="xsd:double"&gt;7.026863&lt;/D&gt;&lt;D xsi:type="xsd:double"&gt;5.3982973&lt;/D&gt;&lt;D xsi:type="xsd:double"&gt;1.6334414&lt;/D&gt;&lt;D xsi:type="xsd:double"&gt;6.5523624&lt;/D&gt;&lt;D xsi:type="xsd:double"&gt;0.18064976&lt;/D&gt;&lt;D xsi:type="xsd:double"&gt;5.9505463&lt;/D&gt;&lt;D xsi:type="xsd:double"&gt;1.2885928&lt;/D&gt;&lt;D xsi:type="xsd:double"&gt;1.8963099&lt;/D&gt;&lt;D xsi:type="xsd:double"&gt;3.7455797&lt;/D&gt;&lt;D xsi:type="xsd:double"&gt;-9.718442&lt;/D&gt;&lt;D xsi:type="xsd:double"&gt;11.627674&lt;/D&gt;&lt;D xsi:type="xsd:double"&gt;1.8833756&lt;/D&gt;&lt;D xsi:type="xsd:double"&gt;3.830731&lt;/D&gt;&lt;D xsi:type="xsd:double"&gt;7.6362133&lt;/D&gt;&lt;D xsi:type="xsd:double"&gt;-7.2140274&lt;/D&gt;&lt;D xsi:type="xsd:double"&gt;-3.719461&lt;/D&gt;&lt;D xsi:type="xsd:double"&gt;-8.404499&lt;/D&gt;&lt;D xsi:type="xsd:double"&gt;12.193335&lt;/D&gt;&lt;D xsi:type="xsd:double"&gt;-3.6081314&lt;/D&gt;&lt;D xsi:type="xsd:double"&gt;-4.8548164&lt;/D&gt;&lt;D xsi:type="xsd:double"&gt;-0.11921525&lt;/D&gt;&lt;D xsi:type="xsd:double"&gt;-11.888277&lt;/D&gt;&lt;D xsi:type="xsd:double"&gt;7.4266315&lt;/D&gt;&lt;D xsi:type="xsd:double"&gt;-4.868722&lt;/D&gt;&lt;D xsi:type="xsd:double"&gt;0.21436214&lt;/D&gt;&lt;D xsi:type="xsd:double"&gt;6.7914367&lt;/D&gt;&lt;D xsi:type="xsd:double"&gt;2.4286509&lt;/D&gt;&lt;D xsi:type="xsd:double"&gt;2.0283937&lt;/D&gt;&lt;D xsi:type="xsd:double"&gt;3.4666657&lt;/D&gt;&lt;D xsi:type="xsd:double"&gt;-4.8969088&lt;/D&gt;&lt;D xsi:type="xsd:double"&gt;-1.5521109&lt;/D&gt;&lt;D xsi:type="xsd:double"&gt;-7.007003&lt;/D&gt;&lt;D xsi:type="xsd:double"&gt;4.3056965&lt;/D&gt;&lt;D xsi:type="xsd:double"&gt;4.618168&lt;/D&gt;&lt;D xsi:type="xsd:double"&gt;6.8498254&lt;/D&gt;&lt;D xsi:type="xsd:double"&gt;2.525735&lt;/D&gt;&lt;D xsi:type="xsd:double"&gt;1.3458014&lt;/D&gt;&lt;D xsi:type="xsd:double"&gt;-1.0128319&lt;/D&gt;&lt;D xsi:type="xsd:double"&gt;-2.501136&lt;/D&gt;&lt;D xsi:type="xsd:double"&gt;-4.513282&lt;/D&gt;&lt;D xsi:type="xsd:double"&gt;2.2806048&lt;/D&gt;&lt;D xsi:type="xsd:double"&gt;-1.2845337&lt;/D&gt;&lt;D xsi:type="xsd:double"&gt;1.1784911&lt;/D&gt;&lt;D xsi:type="xsd:double"&gt;1.5530229&lt;/D&gt;&lt;D xsi:type="xsd:double"&gt;0.26284456&lt;/D&gt;&lt;D xsi:type="xsd:double"&gt;0.7626295&lt;/D&gt;&lt;D xsi:type="xsd:double"&gt;-1.5304923&lt;/D&gt;&lt;D xsi:type="xsd:double"&gt;3.2810926&lt;/D&gt;&lt;D xsi:type="xsd:double"&gt;-5.026078&lt;/D&gt;&lt;D xsi:type="xsd:double"&gt;-1.1982024&lt;/D&gt;&lt;D xsi:type="xsd:double"&gt;1.1621952&lt;/D&gt;&lt;D xsi:type="xsd:double"&gt;-4.920083&lt;/D&gt;&lt;D xsi:type="xsd:double"&gt;3.8802028&lt;/D&gt;&lt;D xsi:type="xsd:double"&gt;-3.599894&lt;/D&gt;&lt;D xsi:type="xsd:double"&gt;-2.0538807&lt;/D&gt;&lt;D xsi:type="xsd:double"&gt;8.415031&lt;/D&gt;&lt;D xsi:type="xsd:double"&gt;-1.6076446&lt;/D&gt;&lt;D xsi:type="xsd:double"&gt;-4.518753&lt;/D&gt;&lt;D xsi:type="xsd:double"&gt;2.3544908&lt;/D&gt;&lt;D xsi:type="xsd:double"&gt;2.9613972&lt;/D&gt;&lt;D xsi:type="xsd:double"&gt;-2.670771&lt;/D&gt;&lt;/FQL&gt;&lt;FQL&gt;&lt;Q&gt;GREK^FG_TOTAL_RETURNC(-5AY,0,AM)&lt;/Q&gt;&lt;R&gt;61&lt;/R&gt;&lt;C&gt;1&lt;/C&gt;&lt;D xsi:type="xsd:double"&gt;10.028887&lt;/D&gt;&lt;D xsi:type="xsd:double"&gt;4.9137235&lt;/D&gt;&lt;D xsi:type="xsd:double"&gt;1.1440873&lt;/D&gt;&lt;D xsi:type="xsd:double"&gt;6.044531&lt;/D&gt;&lt;D xsi:type="xsd:double"&gt;-7.5666666&lt;/D&gt;&lt;D xsi:type="xsd:double"&gt;0.2884984&lt;/D&gt;&lt;D xsi:type="xsd:double"&gt;2.4092078&lt;/D&gt;&lt;D xsi:type="xsd:double"&gt;-2.7036548&lt;/D&gt;&lt;D xsi:type="xsd:double"&gt;0.90219975&lt;/D&gt;&lt;D xsi:type="xsd:double"&gt;-2.3605168&lt;/D&gt;&lt;D xsi:type="xsd:double"&gt;7.0138097&lt;/D&gt;&lt;D xsi:type="xsd:double"&gt;2.5883198&lt;/D&gt;&lt;D xsi:type="xsd:double"&gt;-16.808731&lt;/D&gt;&lt;D xsi:type="xsd:double"&gt;11.106563&lt;/D&gt;&lt;D xsi:type="xsd:double"&gt;-9.443015&lt;/D&gt;&lt;D xsi:type="xsd:double"&gt;2.3625255&lt;/D&gt;&lt;D xsi:type="xsd:double"&gt;-12.5110445&lt;/D&gt;&lt;D xsi:type="xsd:double"&gt;14.181495&lt;/D&gt;&lt;D xsi:type="xsd:double"&gt;-5.1118255&lt;/D&gt;&lt;D xsi:type="xsd:double"&gt;-8.080811&lt;/D&gt;&lt;D xsi:type="xsd:double"&gt;18.910254&lt;/D&gt;&lt;D xsi:type="xsd:double"&gt;2.9649615&lt;/D&gt;&lt;D xsi:type="xsd:double"&gt;9.27434&lt;/D&gt;&lt;D xsi:type="xsd:double"&gt;9.655905&lt;/D&gt;&lt;D xsi:type="xsd:double"&gt;-3.7143767&lt;/D&gt;&lt;D xsi:type="xsd:double"&gt;5.287659&lt;/D&gt;&lt;D xsi:type="xsd:double"&gt;0.8844018&lt;/D&gt;&lt;D xsi:type="xsd:double"&gt;12.586093&lt;/D&gt;&lt;D xsi:type="xsd:double"&gt;9.342551&lt;/D&gt;&lt;D xsi:type="xsd:double"&gt;-3.8372993&lt;/D&gt;&lt;D xsi:type="xsd:double"&gt;-7.076347&lt;/D&gt;&lt;D xsi:type="xsd:double"&gt;-5.840254&lt;/D&gt;&lt;D xsi:type="xsd:double"&gt;6.293702&lt;/D&gt;&lt;D xsi:type="xsd:double"&gt;5.4633856&lt;/D&gt;&lt;D xsi:type="xsd:double"&gt;7.9757094&lt;/D&gt;&lt;D xsi:type="xsd:double"&gt;2.178371&lt;/D&gt;&lt;D xsi:type="xsd:double"&gt;0.22573471&lt;/D&gt;&lt;D xsi:type="xsd:double"&gt;-3.0530453&lt;/D&gt;&lt;D xsi:type="xsd:double"&gt;8.828079&lt;/D&gt;&lt;D xsi:type="xsd:double"&gt;-1.5654624&lt;/D&gt;&lt;D xsi:type="xsd:double"&gt;1.5164137&lt;/D&gt;&lt;D xsi:type="xsd:double"&gt;-2.4999976&lt;/D&gt;&lt;D xsi:type="xsd:double"&gt;0.85469484&lt;/D&gt;&lt;D xsi:type="xsd:double"&gt;0.40097237&lt;/D&gt;&lt;D xsi:type="xsd:double"&gt;-3.3174455&lt;/D&gt;&lt;D xsi:type="xsd:double"&gt;1.771009&lt;/D&gt;&lt;D xsi:type="xsd:double"&gt;1.46029&lt;/D&gt;&lt;D xsi:type="xsd:double"&gt;5.779803&lt;/D&gt;&lt;D xsi:type="xsd:double"&gt;11.590123&lt;/D&gt;&lt;D xsi:type="xsd:double"&gt;-1.9850612&lt;/D&gt;&lt;D xsi:type="xsd:double"&gt;12.369335&lt;/D&gt;&lt;D xsi:type="xsd:double"&gt;10.25194&lt;/D&gt;&lt;D xsi:type="xsd:double"&gt;8.8333845&lt;/D&gt;&lt;D xsi:type="xsd:double"&gt;8.788323&lt;/D&gt;&lt;D xsi:type="xsd:double"&gt;-1.7784476&lt;/D&gt;&lt;D xsi:type="xsd:double"&gt;0.4296422&lt;/D&gt;&lt;D xsi:type="xsd:double"&gt;-1.7265022&lt;/D&gt;&lt;D xsi:type="xsd:double"&gt;4.5397997&lt;/D&gt;&lt;D xsi:type="xsd:double"&gt;5.523753&lt;/D&gt;&lt;D xsi:type="xsd:double"&gt;5.856955&lt;/D&gt;&lt;D xsi:type="xsd:double"&gt;-11.895055&lt;/D&gt;&lt;/FQL&gt;&lt;FQL&gt;&lt;Q&gt;EPOL^FG_TOTAL_RETURNC(-5AY,0,AM)&lt;/Q&gt;&lt;R&gt;61&lt;/R&gt;&lt;C&gt;1&lt;/C&gt;&lt;D xsi:type="xsd:double"&gt;0.36553144&lt;/D&gt;&lt;D xsi:type="xsd:double"&gt;0.3121853&lt;/D&gt;&lt;D xsi:type="xsd:double"&gt;5.6016564&lt;/D&gt;&lt;D xsi:type="xsd:double"&gt;8.691907&lt;/D&gt;&lt;D xsi:type="xsd:double"&gt;-1.1780679&lt;/D&gt;&lt;D xsi:type="xsd:double"&gt;1.054573&lt;/D&gt;&lt;D xsi:type="xsd:double"&gt;4.3557167&lt;/D&gt;&lt;D xsi:type="xsd:double"&gt;2.6956558&lt;/D&gt;&lt;D xsi:type="xsd:double"&gt;-4.3607116&lt;/D&gt;&lt;D xsi:type="xsd:double"&gt;-7.613987&lt;/D&gt;&lt;D xsi:type="xsd:double"&gt;11.922752&lt;/D&gt;&lt;D xsi:type="xsd:double"&gt;-12.115973&lt;/D&gt;&lt;D xsi:type="xsd:double"&gt;-15.706545&lt;/D&gt;&lt;D xsi:type="xsd:double"&gt;6.7172885&lt;/D&gt;&lt;D xsi:type="xsd:double"&gt;-21.893818&lt;/D&gt;&lt;D xsi:type="xsd:double"&gt;6.496477&lt;/D&gt;&lt;D xsi:type="xsd:double"&gt;-12.4170065&lt;/D&gt;&lt;D xsi:type="xsd:double"&gt;13.040185&lt;/D&gt;&lt;D xsi:type="xsd:double"&gt;-12.407774&lt;/D&gt;&lt;D xsi:type="xsd:double"&gt;-17.917305&lt;/D&gt;&lt;D xsi:type="xsd:double"&gt;36.753727&lt;/D&gt;&lt;D xsi:type="xsd:double"&gt;4.092777&lt;/D&gt;&lt;D xsi:type="xsd:double"&gt;13.156784&lt;/D&gt;&lt;D xsi:type="xsd:double"&gt;-7.3070107&lt;/D&gt;&lt;D xsi:type="xsd:double"&gt;-1.7164648&lt;/D&gt;&lt;D xsi:type="xsd:double"&gt;5.6921124&lt;/D&gt;&lt;D xsi:type="xsd:double"&gt;8.690333&lt;/D&gt;&lt;D xsi:type="xsd:double"&gt;4.842341&lt;/D&gt;&lt;D xsi:type="xsd:double"&gt;8.431792&lt;/D&gt;&lt;D xsi:type="xsd:double"&gt;0.04953146&lt;/D&gt;&lt;D xsi:type="xsd:double"&gt;-12.623769&lt;/D&gt;&lt;D xsi:type="xsd:double"&gt;0.6232381&lt;/D&gt;&lt;D xsi:type="xsd:double"&gt;13.851345&lt;/D&gt;&lt;D xsi:type="xsd:double"&gt;11.325431&lt;/D&gt;&lt;D xsi:type="xsd:double"&gt;-1.1919141&lt;/D&gt;&lt;D xsi:type="xsd:double"&gt;4.442382&lt;/D&gt;&lt;D xsi:type="xsd:double"&gt;5.6269407&lt;/D&gt;&lt;D xsi:type="xsd:double"&gt;-2.558726&lt;/D&gt;&lt;D xsi:type="xsd:double"&gt;6.3495517&lt;/D&gt;&lt;D xsi:type="xsd:double"&gt;-2.885729&lt;/D&gt;&lt;D xsi:type="xsd:double"&gt;8.152866&lt;/D&gt;&lt;D xsi:type="xsd:double"&gt;-8.716136&lt;/D&gt;&lt;D xsi:type="xsd:double"&gt;1.5053749&lt;/D&gt;&lt;D xsi:type="xsd:double"&gt;1.1440754&lt;/D&gt;&lt;D xsi:type="xsd:double"&gt;-7.4151697&lt;/D&gt;&lt;D xsi:type="xsd:double"&gt;2.03619&lt;/D&gt;&lt;D xsi:type="xsd:double"&gt;-1.9548893&lt;/D&gt;&lt;D xsi:type="xsd:double"&gt;20.629692&lt;/D&gt;&lt;D xsi:type="xsd:double"&gt;5.843401&lt;/D&gt;&lt;D xsi:type="xsd:double"&gt;0.29444695&lt;/D&gt;&lt;D xsi:type="xsd:double"&gt;11.926603&lt;/D&gt;&lt;D xsi:type="xsd:double"&gt;0.4262209&lt;/D&gt;&lt;D xsi:type="xsd:double"&gt;6.129575&lt;/D&gt;&lt;D xsi:type="xsd:double"&gt;6.3849807&lt;/D&gt;&lt;D xsi:type="xsd:double"&gt;-5.0309&lt;/D&gt;&lt;D xsi:type="xsd:double"&gt;-1.54894&lt;/D&gt;&lt;D xsi:type="xsd:double"&gt;8.307099&lt;/D&gt;&lt;D xsi:type="xsd:double"&gt;2.2661328&lt;/D&gt;&lt;D xsi:type="xsd:double"&gt;6.864655&lt;/D&gt;&lt;D xsi:type="xsd:double"&gt;4.2056084&lt;/D&gt;&lt;D xsi:type="xsd:double"&gt;-8.018994&lt;/D&gt;&lt;/FQL&gt;&lt;FQL&gt;&lt;Q&gt;EWD^FG_PRICE(0,-200D)&lt;/Q&gt;&lt;R&gt;201&lt;/R&gt;&lt;C&gt;1&lt;/C&gt;&lt;D xsi:type="xsd:double"&gt;50.53&lt;/D&gt;&lt;D xsi:type="xsd:double"&gt;51.41&lt;/D&gt;&lt;D xsi:type="xsd:double"&gt;51.76&lt;/D&gt;&lt;D xsi:type="xsd:double"&gt;51.37&lt;/D&gt;&lt;D xsi:type="xsd:double"&gt;51.74&lt;/D&gt;&lt;D xsi:type="xsd:double"&gt;52.04&lt;/D&gt;&lt;D xsi:type="xsd:double"&gt;52.91&lt;/D&gt;&lt;D xsi:type="xsd:double"&gt;51.87&lt;/D&gt;&lt;D xsi:type="xsd:double"&gt;53.17&lt;/D&gt;&lt;D xsi:type="xsd:double"&gt;54.72&lt;/D&gt;&lt;D xsi:type="xsd:double"&gt;54.56&lt;/D&gt;&lt;D xsi:type="xsd:double"&gt;54.13&lt;/D&gt;&lt;D xsi:type="xsd:double"&gt;54.01&lt;/D&gt;&lt;D xsi:type="xsd:double"&gt;53.49&lt;/D&gt;&lt;D xsi:type="xsd:double"&gt;54&lt;/D&gt;&lt;D xsi:type="xsd:double"&gt;53.4&lt;/D&gt;&lt;D xsi:type="xsd:double"&gt;53.5&lt;/D&gt;&lt;D xsi:type="xsd:double"&gt;53.26&lt;/D&gt;&lt;D xsi:type="xsd:double"&gt;53.47&lt;/D&gt;&lt;D xsi:type="xsd:double"&gt;53.47&lt;/D&gt;&lt;D xsi:type="xsd:double"&gt;53.42&lt;/D&gt;&lt;D xsi:type="xsd:double"&gt;54.56&lt;/D&gt;&lt;D xsi:type="xsd:double"&gt;54.17&lt;/D&gt;&lt;D xsi:type="xsd:double"&gt;53.38&lt;/D&gt;&lt;D xsi:type="xsd:double"&gt;52.93&lt;/D&gt;&lt;D xsi:type="xsd:double"&gt;51.86&lt;/D&gt;&lt;D xsi:type="xsd:double"&gt;52.92&lt;/D&gt;&lt;D xsi:type="xsd:double"&gt;53.23&lt;/D&gt;&lt;D xsi:type="xsd:double"&gt;52.88&lt;/D&gt;&lt;D xsi:type="xsd:double"&gt;52.27&lt;/D&gt;&lt;D xsi:type="xsd:double"&gt;53.45&lt;/D&gt;&lt;D xsi:type="xsd:double"&gt;52.93&lt;/D&gt;&lt;D xsi:type="xsd:double"&gt;53.64&lt;/D&gt;&lt;D xsi:type="xsd:double"&gt;52.72&lt;/D&gt;&lt;D xsi:type="xsd:double"&gt;52.38&lt;/D&gt;&lt;D xsi:type="xsd:double"&gt;51.74&lt;/D&gt;&lt;D xsi:type="xsd:double"&gt;51.52&lt;/D&gt;&lt;D xsi:type="xsd:double"&gt;50.46&lt;/D&gt;&lt;D xsi:type="xsd:double"&gt;51.31&lt;/D&gt;&lt;D xsi:type="xsd:double"&gt;51.31&lt;/D&gt;&lt;D xsi:type="xsd:double"&gt;51.05&lt;/D&gt;&lt;D xsi:type="xsd:double"&gt;50.61&lt;/D&gt;&lt;D xsi:type="xsd:double"&gt;50.7&lt;/D&gt;&lt;D xsi:type="xsd:double"&gt;50.91&lt;/D&gt;&lt;D xsi:type="xsd:double"&gt;50.78&lt;/D&gt;&lt;D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xsi:type="xsd:double"&gt;49.23&lt;/D&gt;&lt;D xsi:type="xsd:double"&gt;49.55&lt;/D&gt;&lt;D xsi:type="xsd:double"&gt;49.32&lt;/D&gt;&lt;D xsi:type="xsd:double"&gt;49.65&lt;/D&gt;&lt;D xsi:type="xsd:double"&gt;49.31&lt;/D&gt;&lt;D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xsi:type="xsd:double"&gt;46.17&lt;/D&gt;&lt;/FQL&gt;&lt;FQL&gt;&lt;Q&gt;SET-BKK^FG_PRICE(0,-200D)&lt;/Q&gt;&lt;R&gt;201&lt;/R&gt;&lt;C&gt;1&lt;/C&gt;&lt;D xsi:type="xsd:double"&gt;1429.8&lt;/D&gt;&lt;D xsi:type="xsd:double"&gt;1407.34&lt;/D&gt;&lt;D xsi:type="xsd:double"&gt;1405.76&lt;/D&gt;&lt;D xsi:type="xsd:double"&gt;1382.97&lt;/D&gt;&lt;D xsi:type="xsd:double"&gt;1410.37&lt;/D&gt;&lt;D xsi:type="xsd:double"&gt;1417.29&lt;/D&gt;&lt;D xsi:type="xsd:double"&gt;1384.61&lt;/D&gt;&lt;D xsi:type="xsd:double"&gt;1466.51&lt;/D&gt;&lt;D xsi:type="xsd:double"&gt;1466.51&lt;/D&gt;&lt;D xsi:type="xsd:double"&gt;1528.26&lt;/D&gt;&lt;D xsi:type="xsd:double"&gt;1533.64&lt;/D&gt;&lt;D xsi:type="xsd:double"&gt;1516.01&lt;/D&gt;&lt;D xsi:type="xsd:double"&gt;1490.4&lt;/D&gt;&lt;D xsi:type="xsd:double"&gt;1480.24&lt;/D&gt;&lt;D xsi:type="xsd:double"&gt;1479.71&lt;/D&gt;&lt;D xsi:type="xsd:double"&gt;1493.91&lt;/D&gt;&lt;D xsi:type="xsd:double"&gt;1466.67&lt;/D&gt;&lt;D xsi:type="xsd:double"&gt;1459.68&lt;/D&gt;&lt;D xsi:type="xsd:double"&gt;1438.09&lt;/D&gt;&lt;D xsi:type="xsd:double"&gt;1430.41&lt;/D&gt;&lt;D xsi:type="xsd:double"&gt;1441.53&lt;/D&gt;&lt;D xsi:type="xsd:double"&gt;1411.7&lt;/D&gt;&lt;D xsi:type="xsd:double"&gt;1410.44&lt;/D&gt;&lt;D xsi:type="xsd:double"&gt;1400.89&lt;/D&gt;&lt;D xsi:type="xsd:double"&gt;1354.01&lt;/D&gt;&lt;D xsi:type="xsd:double"&gt;1346.23&lt;/D&gt;&lt;D xsi:type="xsd:double"&gt;1346.54&lt;/D&gt;&lt;D xsi:type="xsd:double"&gt;1336.11&lt;/D&gt;&lt;D xsi:type="xsd:double"&gt;1321.42&lt;/D&gt;&lt;D xsi:type="xsd:double"&gt;1325.62&lt;/D&gt;&lt;D xsi:type="xsd:double"&gt;1331.07&lt;/D&gt;&lt;D xsi:type="xsd:double"&gt;1338.9&lt;/D&gt;&lt;D xsi:type="xsd:double"&gt;1334.45&lt;/D&gt;&lt;D xsi:type="xsd:double"&gt;1307.07&lt;/D&gt;&lt;D xsi:type="xsd:double"&gt;1314.39&lt;/D&gt;&lt;D xsi:type="xsd:double"&gt;1311.64&lt;/D&gt;&lt;D xsi:type="xsd:double"&gt;1317.56&lt;/D&gt;&lt;D xsi:type="xsd:double"&gt;1296.37&lt;/D&gt;&lt;D xsi:type="xsd:double"&gt;1283.2&lt;/D&gt;&lt;D xsi:type="xsd:double"&gt;1275.6&lt;/D&gt;&lt;D xsi:type="xsd:double"&gt;1261.39&lt;/D&gt;&lt;D xsi:type="xsd:double"&gt;1244.3&lt;/D&gt;&lt;D xsi:type="xsd:double"&gt;1235.3&lt;/D&gt;&lt;D xsi:type="xsd:double"&gt;1242.2&lt;/D&gt;&lt;D xsi:type="xsd:double"&gt;1254.09&lt;/D&gt;&lt;D xsi:type="xsd:double"&gt;1253.6&lt;/D&gt;&lt;D xsi:type="xsd:double"&gt;1280.82&lt;/D&gt;&lt;D xsi:type="xsd:double"&gt;1274.75&lt;/D&gt;&lt;D xsi:type="xsd:double"&gt;1280.05&lt;/D&gt;&lt;D xsi:type="xsd:double"&gt;1259.67&lt;/D&gt;&lt;D xsi:type="xsd:double"&gt;1259.67&lt;/D&gt;&lt;D xsi:type="xsd:double"&gt;1259.67&lt;/D&gt;&lt;D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xsi:type="xsd:double"&gt;1269.87&lt;/D&gt;&lt;D xsi:type="xsd:double"&gt;1261.39&lt;/D&gt;&lt;D xsi:type="xsd:double"&gt;1273.77&lt;/D&gt;&lt;D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xsi:type="xsd:double"&gt;1259.07&lt;/D&gt;&lt;D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xsi:type="xsd:double"&gt;1140.63&lt;/D&gt;&lt;/FQL&gt;&lt;FQL&gt;&lt;Q&gt;EWW^FG_PRICE(0,-200D)&lt;/Q&gt;&lt;R&gt;201&lt;/R&gt;&lt;C&gt;1&lt;/C&gt;&lt;D xsi:type="xsd:double"&gt;72.17&lt;/D&gt;&lt;D xsi:type="xsd:double"&gt;74.69&lt;/D&gt;&lt;D xsi:type="xsd:double"&gt;74.76&lt;/D&gt;&lt;D xsi:type="xsd:double"&gt;73.89&lt;/D&gt;&lt;D xsi:type="xsd:double"&gt;73.72&lt;/D&gt;&lt;D xsi:type="xsd:double"&gt;75.25&lt;/D&gt;&lt;D xsi:type="xsd:double"&gt;77.91&lt;/D&gt;&lt;D xsi:type="xsd:double"&gt;75.37&lt;/D&gt;&lt;D xsi:type="xsd:double"&gt;79.46&lt;/D&gt;&lt;D xsi:type="xsd:double"&gt;80.94&lt;/D&gt;&lt;D xsi:type="xsd:double"&gt;80.66&lt;/D&gt;&lt;D xsi:type="xsd:double"&gt;80.45&lt;/D&gt;&lt;D xsi:type="xsd:double"&gt;80.37&lt;/D&gt;&lt;D xsi:type="xsd:double"&gt;79.54&lt;/D&gt;&lt;D xsi:type="xsd:double"&gt;81.23&lt;/D&gt;&lt;D xsi:type="xsd:double"&gt;79.94&lt;/D&gt;&lt;D xsi:type="xsd:double"&gt;80.15&lt;/D&gt;&lt;D xsi:type="xsd:double"&gt;80.76&lt;/D&gt;&lt;D xsi:type="xsd:double"&gt;81.03&lt;/D&gt;&lt;D xsi:type="xsd:double"&gt;81.03&lt;/D&gt;&lt;D xsi:type="xsd:double"&gt;79.92&lt;/D&gt;&lt;D xsi:type="xsd:double"&gt;80.7&lt;/D&gt;&lt;D xsi:type="xsd:double"&gt;80.48&lt;/D&gt;&lt;D xsi:type="xsd:double"&gt;80.67&lt;/D&gt;&lt;D xsi:type="xsd:double"&gt;79.87&lt;/D&gt;&lt;D xsi:type="xsd:double"&gt;76.83&lt;/D&gt;&lt;D xsi:type="xsd:double"&gt;77.22&lt;/D&gt;&lt;D xsi:type="xsd:double"&gt;78.76&lt;/D&gt;&lt;D xsi:type="xsd:double"&gt;75.43&lt;/D&gt;&lt;D xsi:type="xsd:double"&gt;75.12&lt;/D&gt;&lt;D xsi:type="xsd:double"&gt;78.45&lt;/D&gt;&lt;D xsi:type="xsd:double"&gt;78.73&lt;/D&gt;&lt;D xsi:type="xsd:double"&gt;77.86&lt;/D&gt;&lt;D xsi:type="xsd:double"&gt;76.7&lt;/D&gt;&lt;D xsi:type="xsd:double"&gt;76.08&lt;/D&gt;&lt;D xsi:type="xsd:double"&gt;75.75&lt;/D&gt;&lt;D xsi:type="xsd:double"&gt;75.36&lt;/D&gt;&lt;D xsi:type="xsd:double"&gt;74.61&lt;/D&gt;&lt;D xsi:type="xsd:double"&gt;74&lt;/D&gt;&lt;D xsi:type="xsd:double"&gt;74&lt;/D&gt;&lt;D xsi:type="xsd:double"&gt;73.25&lt;/D&gt;&lt;D xsi:type="xsd:double"&gt;73.38&lt;/D&gt;&lt;D xsi:type="xsd:double"&gt;71.97&lt;/D&gt;&lt;D xsi:type="xsd:double"&gt;72.06&lt;/D&gt;&lt;D xsi:type="xsd:double"&gt;71.06&lt;/D&gt;&lt;D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xsi:type="xsd:double"&gt;69.33&lt;/D&gt;&lt;D xsi:type="xsd:double"&gt;69.49&lt;/D&gt;&lt;D xsi:type="xsd:double"&gt;70.51&lt;/D&gt;&lt;D xsi:type="xsd:double"&gt;71.15&lt;/D&gt;&lt;D xsi:type="xsd:double"&gt;70.95&lt;/D&gt;&lt;D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xsi:type="xsd:double"&gt;60.72&lt;/D&gt;&lt;/FQL&gt;&lt;FQL&gt;&lt;Q&gt;CNYA^FG_PRICE(0,-200D)&lt;/Q&gt;&lt;R&gt;201&lt;/R&gt;&lt;C&gt;1&lt;/C&gt;&lt;D xsi:type="xsd:double"&gt;35.52&lt;/D&gt;&lt;D xsi:type="xsd:double"&gt;35.82&lt;/D&gt;&lt;D xsi:type="xsd:double"&gt;35.62&lt;/D&gt;&lt;D xsi:type="xsd:double"&gt;35.4&lt;/D&gt;&lt;D xsi:type="xsd:double"&gt;34.94&lt;/D&gt;&lt;D xsi:type="xsd:double"&gt;35.09&lt;/D&gt;&lt;D xsi:type="xsd:double"&gt;35.29&lt;/D&gt;&lt;D xsi:type="xsd:double"&gt;34.9&lt;/D&gt;&lt;D xsi:type="xsd:double"&gt;36.13&lt;/D&gt;&lt;D xsi:type="xsd:double"&gt;36.15&lt;/D&gt;&lt;D xsi:type="xsd:double"&gt;35.96&lt;/D&gt;&lt;D xsi:type="xsd:double"&gt;36.36&lt;/D&gt;&lt;D xsi:type="xsd:double"&gt;35.94&lt;/D&gt;&lt;D xsi:type="xsd:double"&gt;35.85&lt;/D&gt;&lt;D xsi:type="xsd:double"&gt;35.79&lt;/D&gt;&lt;D xsi:type="xsd:double"&gt;35.622&lt;/D&gt;&lt;D xsi:type="xsd:double"&gt;35.8&lt;/D&gt;&lt;D xsi:type="xsd:double"&gt;35.65&lt;/D&gt;&lt;D xsi:type="xsd:double"&gt;35.3684&lt;/D&gt;&lt;D xsi:type="xsd:double"&gt;35.3684&lt;/D&gt;&lt;D xsi:type="xsd:double"&gt;35.56&lt;/D&gt;&lt;D xsi:type="xsd:double"&gt;35.76&lt;/D&gt;&lt;D xsi:type="xsd:double"&gt;35.715&lt;/D&gt;&lt;D xsi:type="xsd:double"&gt;35.82&lt;/D&gt;&lt;D xsi:type="xsd:double"&gt;35.41&lt;/D&gt;&lt;D xsi:type="xsd:double"&gt;34.84&lt;/D&gt;&lt;D xsi:type="xsd:double"&gt;35.14&lt;/D&gt;&lt;D xsi:type="xsd:double"&gt;35&lt;/D&gt;&lt;D xsi:type="xsd:double"&gt;34.72&lt;/D&gt;&lt;D xsi:type="xsd:double"&gt;35.11&lt;/D&gt;&lt;D xsi:type="xsd:double"&gt;35.89&lt;/D&gt;&lt;D xsi:type="xsd:double"&gt;35.52&lt;/D&gt;&lt;D xsi:type="xsd:double"&gt;35.64&lt;/D&gt;&lt;D xsi:type="xsd:double"&gt;35.58&lt;/D&gt;&lt;D xsi:type="xsd:double"&gt;35.55&lt;/D&gt;&lt;D xsi:type="xsd:double"&gt;35.78&lt;/D&gt;&lt;D xsi:type="xsd:double"&gt;35.805&lt;/D&gt;&lt;D xsi:type="xsd:double"&gt;35.5&lt;/D&gt;&lt;D xsi:type="xsd:double"&gt;35.515&lt;/D&gt;&lt;D xsi:type="xsd:double"&gt;35.515&lt;/D&gt;&lt;D xsi:type="xsd:double"&gt;35.87&lt;/D&gt;&lt;D xsi:type="xsd:double"&gt;35.6&lt;/D&gt;&lt;D xsi:type="xsd:double"&gt;35.59&lt;/D&gt;&lt;D xsi:type="xsd:double"&gt;36.23&lt;/D&gt;&lt;D xsi:type="xsd:double"&gt;35.83&lt;/D&gt;&lt;D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xsi:type="xsd:double"&gt;34.58&lt;/D&gt;&lt;D xsi:type="xsd:double"&gt;34.59&lt;/D&gt;&lt;D xsi:type="xsd:double"&gt;34.37&lt;/D&gt;&lt;D xsi:type="xsd:double"&gt;34.71&lt;/D&gt;&lt;D xsi:type="xsd:double"&gt;34.44&lt;/D&gt;&lt;D xsi:type="xsd:double"&gt;34.44&lt;/D&gt;&lt;D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</t>
        </r>
      </text>
    </comment>
    <comment ref="A2" authorId="0" shapeId="0" xr:uid="{243BBF48-D23B-4F89-B7AD-10E6B7F0ADDB}">
      <text>
        <r>
          <rPr>
            <b/>
            <sz val="9"/>
            <color indexed="81"/>
            <rFont val="Tahoma"/>
            <charset val="1"/>
          </rPr>
          <t>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xsi:type="xsd:double"&gt;28.29&lt;/D&gt;&lt;/FQL&gt;&lt;FQL&gt;&lt;Q&gt;EWU^FG_TOTAL_RETURNC(-5AY,0,AM)&lt;/Q&gt;&lt;R&gt;61&lt;/R&gt;&lt;C&gt;1&lt;/C&gt;&lt;D xsi:type="xsd:double"&gt;4.354942&lt;/D&gt;&lt;D xsi:type="xsd:double"&gt;0.47066212&lt;/D&gt;&lt;D xsi:type="xsd:double"&gt;4.0287375&lt;/D&gt;&lt;D xsi:type="xsd:double"&gt;3.0023932&lt;/D&gt;&lt;D xsi:type="xsd:double"&gt;-1.6004741&lt;/D&gt;&lt;D xsi:type="xsd:double"&gt;1.0240912&lt;/D&gt;&lt;D xsi:type="xsd:double"&gt;-2.385211&lt;/D&gt;&lt;D xsi:type="xsd:double"&gt;0.3970623&lt;/D&gt;&lt;D xsi:type="xsd:double"&gt;1.9470572&lt;/D&gt;&lt;D xsi:type="xsd:double"&gt;-1.3428748&lt;/D&gt;&lt;D xsi:type="xsd:double"&gt;7.321763&lt;/D&gt;&lt;D xsi:type="xsd:double"&gt;-0.20272136&lt;/D&gt;&lt;D xsi:type="xsd:double"&gt;-8.589667&lt;/D&gt;&lt;D xsi:type="xsd:double"&gt;6.8888783&lt;/D&gt;&lt;D xsi:type="xsd:double"&gt;-9.236706&lt;/D&gt;&lt;D xsi:type="xsd:double"&gt;2.9022932&lt;/D&gt;&lt;D xsi:type="xsd:double"&gt;-5.5375633&lt;/D&gt;&lt;D xsi:type="xsd:double"&gt;7.19918&lt;/D&gt;&lt;D xsi:type="xsd:double"&gt;-4.7009945&lt;/D&gt;&lt;D xsi:type="xsd:double"&gt;-12.751675&lt;/D&gt;&lt;D xsi:type="xsd:double"&gt;14.884615&lt;/D&gt;&lt;D xsi:type="xsd:double"&gt;5.523932&lt;/D&gt;&lt;D xsi:type="xsd:double"&gt;4.2333364&lt;/D&gt;&lt;D xsi:type="xsd:double"&gt;0&lt;/D&gt;&lt;D xsi:type="xsd:double"&gt;-2.4714231&lt;/D&gt;&lt;D xsi:type="xsd:double"&gt;5.9233427&lt;/D&gt;&lt;D xsi:type="xsd:double"&gt;-0.65788627&lt;/D&gt;&lt;D xsi:type="xsd:double"&gt;-1.7705977&lt;/D&gt;&lt;D xsi:type="xsd:double"&gt;1.3433337&lt;/D&gt;&lt;D xsi:type="xsd:double"&gt;0.18496513&lt;/D&gt;&lt;D xsi:type="xsd:double"&gt;-1.5076995&lt;/D&gt;&lt;D xsi:type="xsd:double"&gt;-0.46859384&lt;/D&gt;&lt;D xsi:type="xsd:double"&gt;-2.5737584&lt;/D&gt;&lt;D xsi:type="xsd:double"&gt;5.0257683&lt;/D&gt;&lt;D xsi:type="xsd:double"&gt;2.8042555&lt;/D&gt;&lt;D xsi:type="xsd:double"&gt;-1.7093956&lt;/D&gt;&lt;D xsi:type="xsd:double"&gt;4.472041&lt;/D&gt;&lt;D xsi:type="xsd:double"&gt;0.23782253&lt;/D&gt;&lt;D xsi:type="xsd:double"&gt;7.206404&lt;/D&gt;&lt;D xsi:type="xsd:double"&gt;-0.21337867&lt;/D&gt;&lt;D xsi:type="xsd:double"&gt;1.837194&lt;/D&gt;&lt;D xsi:type="xsd:double"&gt;-1.443243&lt;/D&gt;&lt;D xsi:type="xsd:double"&gt;3.6046267&lt;/D&gt;&lt;D xsi:type="xsd:double"&gt;-0.65235496&lt;/D&gt;&lt;D xsi:type="xsd:double"&gt;-5.253071&lt;/D&gt;&lt;D xsi:type="xsd:double"&gt;2.7721643&lt;/D&gt;&lt;D xsi:type="xsd:double"&gt;-3.9252996&lt;/D&gt;&lt;D xsi:type="xsd:double"&gt;9.19677&lt;/D&gt;&lt;D xsi:type="xsd:double"&gt;1.5039682&lt;/D&gt;&lt;D xsi:type="xsd:double"&gt;-4.175645&lt;/D&gt;&lt;D xsi:type="xsd:double"&gt;7.506335&lt;/D&gt;&lt;D xsi:type="xsd:double"&gt;6.6422462&lt;/D&gt;&lt;D xsi:type="xsd:double"&gt;-0.10501146&lt;/D&gt;&lt;D xsi:type="xsd:double"&gt;2.7805686&lt;/D&gt;&lt;D xsi:type="xsd:double"&gt;2.2178888&lt;/D&gt;&lt;D xsi:type="xsd:double"&gt;-0.5007148&lt;/D&gt;&lt;D xsi:type="xsd:double"&gt;4.265511&lt;/D&gt;&lt;D xsi:type="xsd:double"&gt;-0.5286157&lt;/D&gt;&lt;D xsi:type="xsd:double"&gt;6.203568&lt;/D&gt;&lt;D xsi:type="xsd:double"&gt;4.258144&lt;/D&gt;&lt;D xsi:type="xsd:double"&gt;-2.403736&lt;/D&gt;&lt;/FQL&gt;&lt;FQL&gt;&lt;Q&gt;EPHE^FG_TOTAL_RETURNC(-5AY,0,AM)&lt;/Q&gt;&lt;R&gt;61&lt;/R&gt;&lt;C&gt;1&lt;/C&gt;&lt;D xsi:type="xsd:double"&gt;-5.094939&lt;/D&gt;&lt;D xsi:type="xsd:double"&gt;-1.8005967&lt;/D&gt;&lt;D xsi:type="xsd:double"&gt;-3.7690997&lt;/D&gt;&lt;D xsi:type="xsd:double"&gt;12.510085&lt;/D&gt;&lt;D xsi:type="xsd:double"&gt;-4.6416163&lt;/D&gt;&lt;D xsi:type="xsd:double"&gt;-5.5960298&lt;/D&gt;&lt;D xsi:type="xsd:double"&gt;7.8568935&lt;/D&gt;&lt;D xsi:type="xsd:double"&gt;2.861786&lt;/D&gt;&lt;D xsi:type="xsd:double"&gt;5.7224154&lt;/D&gt;&lt;D xsi:type="xsd:double"&gt;-2.9007077&lt;/D&gt;&lt;D xsi:type="xsd:double"&gt;-1.796025&lt;/D&gt;&lt;D xsi:type="xsd:double"&gt;0.59804916&lt;/D&gt;&lt;D xsi:type="xsd:double"&gt;-5.788481&lt;/D&gt;&lt;D xsi:type="xsd:double"&gt;-0.9299278&lt;/D&gt;&lt;D xsi:type="xsd:double"&gt;-5.6654396&lt;/D&gt;&lt;D xsi:type="xsd:double"&gt;-1.9862711&lt;/D&gt;&lt;D xsi:type="xsd:double"&gt;-6.749815&lt;/D&gt;&lt;D xsi:type="xsd:double"&gt;7.828486&lt;/D&gt;&lt;D xsi:type="xsd:double"&gt;-2.8456807&lt;/D&gt;&lt;D xsi:type="xsd:double"&gt;-16.184753&lt;/D&gt;&lt;D xsi:type="xsd:double"&gt;12.410402&lt;/D&gt;&lt;D xsi:type="xsd:double"&gt;5.540049&lt;/D&gt;&lt;D xsi:type="xsd:double"&gt;6.857896&lt;/D&gt;&lt;D xsi:type="xsd:double"&gt;1.1184096&lt;/D&gt;&lt;D xsi:type="xsd:double"&gt;-7.514042&lt;/D&gt;&lt;D xsi:type="xsd:double"&gt;-0.8731961&lt;/D&gt;&lt;D xsi:type="xsd:double"&gt;0.8425832&lt;/D&gt;&lt;D xsi:type="xsd:double"&gt;-1.4432371&lt;/D&gt;&lt;D xsi:type="xsd:double"&gt;3.2371283&lt;/D&gt;&lt;D xsi:type="xsd:double"&gt;-4.835659&lt;/D&gt;&lt;D xsi:type="xsd:double"&gt;-1.4688373&lt;/D&gt;&lt;D xsi:type="xsd:double"&gt;-1.5713096&lt;/D&gt;&lt;D xsi:type="xsd:double"&gt;0.98239183&lt;/D&gt;&lt;D xsi:type="xsd:double"&gt;2.432108&lt;/D&gt;&lt;D xsi:type="xsd:double"&gt;6.1674476&lt;/D&gt;&lt;D xsi:type="xsd:double"&gt;3.0815482&lt;/D&gt;&lt;D xsi:type="xsd:double"&gt;1.7134547&lt;/D&gt;&lt;D xsi:type="xsd:double"&gt;-6.774193&lt;/D&gt;&lt;D xsi:type="xsd:double"&gt;-2.345252&lt;/D&gt;&lt;D xsi:type="xsd:double"&gt;-2.6053786&lt;/D&gt;&lt;D xsi:type="xsd:double"&gt;3.939271&lt;/D&gt;&lt;D xsi:type="xsd:double"&gt;1.5396714&lt;/D&gt;&lt;D xsi:type="xsd:double"&gt;9.758949&lt;/D&gt;&lt;D xsi:type="xsd:double"&gt;1.5232086&lt;/D&gt;&lt;D xsi:type="xsd:double"&gt;-9.07188&lt;/D&gt;&lt;D xsi:type="xsd:double"&gt;-1.3046801&lt;/D&gt;&lt;D xsi:type="xsd:double"&gt;-2.8163552&lt;/D&gt;&lt;D xsi:type="xsd:double"&gt;-3.8740933&lt;/D&gt;&lt;D xsi:type="xsd:double"&gt;5.289674&lt;/D&gt;&lt;D xsi:type="xsd:double"&gt;-0.47847033&lt;/D&gt;&lt;D xsi:type="xsd:double"&gt;11.177885&lt;/D&gt;&lt;D xsi:type="xsd:double"&gt;1.1891842&lt;/D&gt;&lt;D xsi:type="xsd:double"&gt;-2.2316873&lt;/D&gt;&lt;D xsi:type="xsd:double"&gt;-2.1378517&lt;/D&gt;&lt;D xsi:type="xsd:double"&gt;-2.8248608&lt;/D&gt;&lt;D xsi:type="xsd:double"&gt;-3.6046445&lt;/D&gt;&lt;D xsi:type="xsd:double"&gt;-5.1065564&lt;/D&gt;&lt;D xsi:type="xsd:double"&gt;5.5084705&lt;/D&gt;&lt;D xsi:type="xsd:double"&gt;6.9039702&lt;/D&gt;&lt;D xsi:type="xsd:double"&gt;2.0068169&lt;/D&gt;&lt;D xsi:type="xsd:double"&gt;-6.9413543&lt;/D&gt;&lt;/FQL&gt;&lt;FQL&gt;&lt;Q&gt;VNM^FG_PRICE(0,-200D)&lt;/Q&gt;&lt;R&gt;201&lt;/R&gt;&lt;C&gt;1&lt;/C&gt;&lt;D xsi:type="xsd:double"&gt;16.75&lt;/D&gt;&lt;D xsi:type="xsd:double"&gt;17.41&lt;/D&gt;&lt;D xsi:type="xsd:double"&gt;17.06&lt;/D&gt;&lt;D xsi:type="xsd:double"&gt;17.23&lt;/D&gt;&lt;D xsi:type="xsd:double"&gt;17.45&lt;/D&gt;&lt;D xsi:type="xsd:double"&gt;18.02&lt;/D&gt;&lt;D xsi:type="xsd:double"&gt;18.3&lt;/D&gt;&lt;D xsi:type="xsd:double"&gt;18.12&lt;/D&gt;&lt;D xsi:type="xsd:double"&gt;18.63&lt;/D&gt;&lt;D xsi:type="xsd:double"&gt;19.08&lt;/D&gt;&lt;D xsi:type="xsd:double"&gt;19.16&lt;/D&gt;&lt;D xsi:type="xsd:double"&gt;19.085&lt;/D&gt;&lt;D xsi:type="xsd:double"&gt;19.25&lt;/D&gt;&lt;D xsi:type="xsd:double"&gt;19.23&lt;/D&gt;&lt;D xsi:type="xsd:double"&gt;19.285&lt;/D&gt;&lt;D xsi:type="xsd:double"&gt;18.76&lt;/D&gt;&lt;D xsi:type="xsd:double"&gt;18.77&lt;/D&gt;&lt;D xsi:type="xsd:double"&gt;18.73&lt;/D&gt;&lt;D xsi:type="xsd:double"&gt;18.89&lt;/D&gt;&lt;D xsi:type="xsd:double"&gt;18.89&lt;/D&gt;&lt;D xsi:type="xsd:double"&gt;18.51&lt;/D&gt;&lt;D xsi:type="xsd:double"&gt;18.71&lt;/D&gt;&lt;D xsi:type="xsd:double"&gt;18.08&lt;/D&gt;&lt;D xsi:type="xsd:double"&gt;18.045&lt;/D&gt;&lt;D xsi:type="xsd:double"&gt;18.03&lt;/D&gt;&lt;D xsi:type="xsd:double"&gt;18.12&lt;/D&gt;&lt;D xsi:type="xsd:double"&gt;18.61&lt;/D&gt;&lt;D xsi:type="xsd:double"&gt;18.45&lt;/D&gt;&lt;D xsi:type="xsd:double"&gt;18.77&lt;/D&gt;&lt;D xsi:type="xsd:double"&gt;19.07&lt;/D&gt;&lt;D xsi:type="xsd:double"&gt;18.81&lt;/D&gt;&lt;D xsi:type="xsd:double"&gt;18.5&lt;/D&gt;&lt;D xsi:type="xsd:double"&gt;18.76&lt;/D&gt;&lt;D xsi:type="xsd:double"&gt;18.91&lt;/D&gt;&lt;D xsi:type="xsd:double"&gt;19.42&lt;/D&gt;&lt;D xsi:type="xsd:double"&gt;19.625&lt;/D&gt;&lt;D xsi:type="xsd:double"&gt;19.39&lt;/D&gt;&lt;D xsi:type="xsd:double"&gt;19.51&lt;/D&gt;&lt;D xsi:type="xsd:double"&gt;19.73&lt;/D&gt;&lt;D xsi:type="xsd:double"&gt;19.73&lt;/D&gt;&lt;D xsi:type="xsd:double"&gt;19.53&lt;/D&gt;&lt;D xsi:type="xsd:double"&gt;19.69&lt;/D&gt;&lt;D xsi:type="xsd:double"&gt;19.8&lt;/D&gt;&lt;D xsi:type="xsd:double"&gt;19.67&lt;/D&gt;&lt;D xsi:type="xsd:double"&gt;19.28&lt;/D&gt;&lt;D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xsi:type="xsd:double"&gt;19.08&lt;/D&gt;&lt;D xsi:type="xsd:double"&gt;19.01&lt;/D&gt;&lt;D xsi:type="xsd:double"&gt;18.92&lt;/D&gt;&lt;D xsi:type="xsd:double"&gt;18.4&lt;/D&gt;&lt;D xsi:type="xsd:double"&gt;19.01&lt;/D&gt;&lt;D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xsi:type="xsd:double"&gt;13.74&lt;/D&gt;&lt;/FQL&gt;&lt;FQL&gt;&lt;Q&gt;MCHI^FG_TOTAL_RETURNC(-5AY,0,AM)&lt;/Q&gt;&lt;R&gt;61&lt;/R&gt;&lt;C&gt;1&lt;/C&gt;&lt;D xsi:type="xsd:double"&gt;-12.274324&lt;/D&gt;&lt;D xsi:type="xsd:double"&gt;-3.6073387&lt;/D&gt;&lt;D xsi:type="xsd:double"&gt;-4.294479&lt;/D&gt;&lt;D xsi:type="xsd:double"&gt;4.6882033&lt;/D&gt;&lt;D xsi:type="xsd:double"&gt;-4.9214544&lt;/D&gt;&lt;D xsi:type="xsd:double"&gt;-7.602942&lt;/D&gt;&lt;D xsi:type="xsd:double"&gt;0.43307543&lt;/D&gt;&lt;D xsi:type="xsd:double"&gt;-4.576439&lt;/D&gt;&lt;D xsi:type="xsd:double"&gt;3.0029178&lt;/D&gt;&lt;D xsi:type="xsd:double"&gt;-6.7364874&lt;/D&gt;&lt;D xsi:type="xsd:double"&gt;-0.35867095&lt;/D&gt;&lt;D xsi:type="xsd:double"&gt;-4.541266&lt;/D&gt;&lt;D xsi:type="xsd:double"&gt;-21.086472&lt;/D&gt;&lt;D xsi:type="xsd:double"&gt;5.6619167&lt;/D&gt;&lt;D xsi:type="xsd:double"&gt;-10.466462&lt;/D&gt;&lt;D xsi:type="xsd:double"&gt;15.743279&lt;/D&gt;&lt;D xsi:type="xsd:double"&gt;-1.2535095&lt;/D&gt;&lt;D xsi:type="xsd:double"&gt;-5.30504&lt;/D&gt;&lt;D xsi:type="xsd:double"&gt;-1.8407345&lt;/D&gt;&lt;D xsi:type="xsd:double"&gt;-17.18304&lt;/D&gt;&lt;D xsi:type="xsd:double"&gt;5.5131674&lt;/D&gt;&lt;D xsi:type="xsd:double"&gt;12.71286&lt;/D&gt;&lt;D xsi:type="xsd:double"&gt;11.352658&lt;/D&gt;&lt;D xsi:type="xsd:double"&gt;-3.2440603&lt;/D&gt;&lt;D xsi:type="xsd:double"&gt;-8.908379&lt;/D&gt;&lt;D xsi:type="xsd:double"&gt;3.2527328&lt;/D&gt;&lt;D xsi:type="xsd:double"&gt;-4.2072535&lt;/D&gt;&lt;D xsi:type="xsd:double"&gt;-0.64112544&lt;/D&gt;&lt;D xsi:type="xsd:double"&gt;2.1982908&lt;/D&gt;&lt;D xsi:type="xsd:double"&gt;-1.3981521&lt;/D&gt;&lt;D xsi:type="xsd:double"&gt;-2.6832461&lt;/D&gt;&lt;D xsi:type="xsd:double"&gt;-2.6003122&lt;/D&gt;&lt;D xsi:type="xsd:double"&gt;-2.1864235&lt;/D&gt;&lt;D xsi:type="xsd:double"&gt;-3.5294116&lt;/D&gt;&lt;D xsi:type="xsd:double"&gt;-3.0207932&lt;/D&gt;&lt;D xsi:type="xsd:double"&gt;-1.3666809&lt;/D&gt;&lt;D xsi:type="xsd:double"&gt;6.222224&lt;/D&gt;&lt;D xsi:type="xsd:double"&gt;-3.3226728&lt;/D&gt;&lt;D xsi:type="xsd:double"&gt;15.0203705&lt;/D&gt;&lt;D xsi:type="xsd:double"&gt;-3.5615325&lt;/D&gt;&lt;D xsi:type="xsd:double"&gt;1.4522791&lt;/D&gt;&lt;D xsi:type="xsd:double"&gt;-4.703474&lt;/D&gt;&lt;D xsi:type="xsd:double"&gt;-2.789694&lt;/D&gt;&lt;D xsi:type="xsd:double"&gt;29.114544&lt;/D&gt;&lt;D xsi:type="xsd:double"&gt;-9.080547&lt;/D&gt;&lt;D xsi:type="xsd:double"&gt;2.0685315&lt;/D&gt;&lt;D xsi:type="xsd:double"&gt;-8.833492&lt;/D&gt;&lt;D xsi:type="xsd:double"&gt;18.668497&lt;/D&gt;&lt;D xsi:type="xsd:double"&gt;7.2488904&lt;/D&gt;&lt;D xsi:type="xsd:double"&gt;-10.695666&lt;/D&gt;&lt;D xsi:type="xsd:double"&gt;10.829306&lt;/D&gt;&lt;D xsi:type="xsd:double"&gt;1.3258219&lt;/D&gt;&lt;D xsi:type="xsd:double"&gt;-0.54672956&lt;/D&gt;&lt;D xsi:type="xsd:double"&gt;6.878984&lt;/D&gt;&lt;D xsi:type="xsd:double"&gt;8.888138&lt;/D&gt;&lt;D xsi:type="xsd:double"&gt;-4.0031314&lt;/D&gt;&lt;D xsi:type="xsd:double"&gt;5.1962852&lt;/D&gt;&lt;D xsi:type="xsd:double"&gt;-4.7383127&lt;/D&gt;&lt;D xsi:type="xsd:double"&gt;5.739844&lt;/D&gt;&lt;D xsi:type="xsd:double"&gt;-5.726737&lt;/D&gt;&lt;D xsi:type="xsd:double"&gt;-4.7870636&lt;/D&gt;&lt;/FQL&gt;&lt;FQL&gt;&lt;Q&gt;EWL^FG_PRICE(0,-200D)&lt;/Q&gt;&lt;R&gt;201&lt;/R&gt;&lt;C&gt;1&lt;/C&gt;&lt;D xsi:type="xsd:double"&gt;59.36&lt;/D&gt;&lt;D xsi:type="xsd:double"&gt;60.09&lt;/D&gt;&lt;D xsi:type="xsd:double"&gt;60.24&lt;/D&gt;&lt;D xsi:type="xsd:double"&gt;61.01&lt;/D&gt;&lt;D xsi:type="xsd:double"&gt;61.14&lt;/D&gt;&lt;D xsi:type="xsd:double"&gt;61.05&lt;/D&gt;&lt;D xsi:type="xsd:double"&gt;62.56&lt;/D&gt;&lt;D xsi:type="xsd:double"&gt;62.21&lt;/D&gt;&lt;D xsi:type="xsd:double"&gt;63.59&lt;/D&gt;&lt;D xsi:type="xsd:double"&gt;65.08&lt;/D&gt;&lt;D xsi:type="xsd:double"&gt;64.63&lt;/D&gt;&lt;D xsi:type="xsd:double"&gt;64.85&lt;/D&gt;&lt;D xsi:type="xsd:double"&gt;64.82&lt;/D&gt;&lt;D xsi:type="xsd:double"&gt;64.31&lt;/D&gt;&lt;D xsi:type="xsd:double"&gt;64.38&lt;/D&gt;&lt;D xsi:type="xsd:double"&gt;64.16&lt;/D&gt;&lt;D xsi:type="xsd:double"&gt;64.26&lt;/D&gt;&lt;D xsi:type="xsd:double"&gt;64.44&lt;/D&gt;&lt;D xsi:type="xsd:double"&gt;63.79&lt;/D&gt;&lt;D xsi:type="xsd:double"&gt;63.79&lt;/D&gt;&lt;D xsi:type="xsd:double"&gt;63.46&lt;/D&gt;&lt;D xsi:type="xsd:double"&gt;63.24&lt;/D&gt;&lt;D xsi:type="xsd:double"&gt;63.43&lt;/D&gt;&lt;D xsi:type="xsd:double"&gt;63.45&lt;/D&gt;&lt;D xsi:type="xsd:double"&gt;63.09&lt;/D&gt;&lt;D xsi:type="xsd:double"&gt;62.24&lt;/D&gt;&lt;D xsi:type="xsd:double"&gt;62.47&lt;/D&gt;&lt;D xsi:type="xsd:double"&gt;61.89&lt;/D&gt;&lt;D xsi:type="xsd:double"&gt;62.25&lt;/D&gt;&lt;D xsi:type="xsd:double"&gt;61.54&lt;/D&gt;&lt;D xsi:type="xsd:double"&gt;62.22&lt;/D&gt;&lt;D xsi:type="xsd:double"&gt;61.05&lt;/D&gt;&lt;D xsi:type="xsd:double"&gt;62.57&lt;/D&gt;&lt;D xsi:type="xsd:double"&gt;61.19&lt;/D&gt;&lt;D xsi:type="xsd:double"&gt;60.87&lt;/D&gt;&lt;D xsi:type="xsd:double"&gt;60.59&lt;/D&gt;&lt;D xsi:type="xsd:double"&gt;60.49&lt;/D&gt;&lt;D xsi:type="xsd:double"&gt;60.16&lt;/D&gt;&lt;D xsi:type="xsd:double"&gt;60.51&lt;/D&gt;&lt;D xsi:type="xsd:double"&gt;60.51&lt;/D&gt;&lt;D xsi:type="xsd:double"&gt;60.52&lt;/D&gt;&lt;D xsi:type="xsd:double"&gt;60.87&lt;/D&gt;&lt;D xsi:type="xsd:double"&gt;60.17&lt;/D&gt;&lt;D xsi:type="xsd:double"&gt;60.63&lt;/D&gt;&lt;D xsi:type="xsd:double"&gt;60.58&lt;/D&gt;&lt;D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xsi:type="xsd:double"&gt;59.96&lt;/D&gt;&lt;D xsi:type="xsd:double"&gt;60.17&lt;/D&gt;&lt;D xsi:type="xsd:double"&gt;60.35&lt;/D&gt;&lt;D xsi:type="xsd:double"&gt;60.54&lt;/D&gt;&lt;D xsi:type="xsd:double"&gt;60.53&lt;/D&gt;&lt;D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xsi:type="xsd:double"&gt;55.47&lt;/D&gt;&lt;/FQL&gt;&lt;FQL&gt;&lt;Q&gt;ENZL^FG_TOTAL_RETURNC(-5AY,0,AM)&lt;/Q&gt;&lt;R&gt;61&lt;/R&gt;&lt;C&gt;1&lt;/C&gt;&lt;D xsi:type="xsd:double"&gt;-2.7735472&lt;/D&gt;&lt;D xsi:type="xsd:double"&gt;-2.3824453&lt;/D&gt;&lt;D xsi:type="xsd:double"&gt;1.8625617&lt;/D&gt;&lt;D xsi:type="xsd:double"&gt;-1.2899578&lt;/D&gt;&lt;D xsi:type="xsd:double"&gt;-0.3383875&lt;/D&gt;&lt;D xsi:type="xsd:double"&gt;-1.4227927&lt;/D&gt;&lt;D xsi:type="xsd:double"&gt;3.9363623&lt;/D&gt;&lt;D xsi:type="xsd:double"&gt;-2.9351413&lt;/D&gt;&lt;D xsi:type="xsd:double"&gt;0.032520294&lt;/D&gt;&lt;D xsi:type="xsd:double"&gt;-4.1686954&lt;/D&gt;&lt;D xsi:type="xsd:double"&gt;0.14550686&lt;/D&gt;&lt;D xsi:type="xsd:double"&gt;-7.960802&lt;/D&gt;&lt;D xsi:type="xsd:double"&gt;0.6538391&lt;/D&gt;&lt;D xsi:type="xsd:double"&gt;-0.68671703&lt;/D&gt;&lt;D xsi:type="xsd:double"&gt;-14.333767&lt;/D&gt;&lt;D xsi:type="xsd:double"&gt;0.84005594&lt;/D&gt;&lt;D xsi:type="xsd:double"&gt;-2.3178399&lt;/D&gt;&lt;D xsi:type="xsd:double"&gt;12.502802&lt;/D&gt;&lt;D xsi:type="xsd:double"&gt;-4.3019295&lt;/D&gt;&lt;D xsi:type="xsd:double"&gt;-16.066593&lt;/D&gt;&lt;D xsi:type="xsd:double"&gt;13.761461&lt;/D&gt;&lt;D xsi:type="xsd:double"&gt;7.432437&lt;/D&gt;&lt;D xsi:type="xsd:double"&gt;1.3614893&lt;/D&gt;&lt;D xsi:type="xsd:double"&gt;3.6605&lt;/D&gt;&lt;D xsi:type="xsd:double"&gt;-7.217699&lt;/D&gt;&lt;D xsi:type="xsd:double"&gt;3.8586378&lt;/D&gt;&lt;D xsi:type="xsd:double"&gt;0.65398216&lt;/D&gt;&lt;D xsi:type="xsd:double"&gt;-3.7469864&lt;/D&gt;&lt;D xsi:type="xsd:double"&gt;4.9853086&lt;/D&gt;&lt;D xsi:type="xsd:double"&gt;-5.8282557&lt;/D&gt;&lt;D xsi:type="xsd:double"&gt;-6.5605106&lt;/D&gt;&lt;D xsi:type="xsd:double"&gt;-0.4998803&lt;/D&gt;&lt;D xsi:type="xsd:double"&gt;-0.20552874&lt;/D&gt;&lt;D xsi:type="xsd:double"&gt;5.949652&lt;/D&gt;&lt;D xsi:type="xsd:double"&gt;6.093693&lt;/D&gt;&lt;D xsi:type="xsd:double"&gt;-4.4056473&lt;/D&gt;&lt;D xsi:type="xsd:double"&gt;-0.28260946&lt;/D&gt;&lt;D xsi:type="xsd:double"&gt;-2.7032852&lt;/D&gt;&lt;D xsi:type="xsd:double"&gt;1.4564157&lt;/D&gt;&lt;D xsi:type="xsd:double"&gt;3.036189&lt;/D&gt;&lt;D xsi:type="xsd:double"&gt;1.2526989&lt;/D&gt;&lt;D xsi:type="xsd:double"&gt;-1.3385296&lt;/D&gt;&lt;D xsi:type="xsd:double"&gt;8.513058&lt;/D&gt;&lt;D xsi:type="xsd:double"&gt;-1.4943242&lt;/D&gt;&lt;D xsi:type="xsd:double"&gt;-3.7823617&lt;/D&gt;&lt;D xsi:type="xsd:double"&gt;-4.246372&lt;/D&gt;&lt;D xsi:type="xsd:double"&gt;-2.0661414&lt;/D&gt;&lt;D xsi:type="xsd:double"&gt;1.8400788&lt;/D&gt;&lt;D xsi:type="xsd:double"&gt;-5.5543184&lt;/D&gt;&lt;D xsi:type="xsd:double"&gt;0.11808872&lt;/D&gt;&lt;D xsi:type="xsd:double"&gt;5.567348&lt;/D&gt;&lt;D xsi:type="xsd:double"&gt;2.9497147&lt;/D&gt;&lt;D xsi:type="xsd:double"&gt;0.2675891&lt;/D&gt;&lt;D xsi:type="xsd:double"&gt;-0.22071004&lt;/D&gt;&lt;D xsi:type="xsd:double"&gt;2.367556&lt;/D&gt;&lt;D xsi:type="xsd:double"&gt;-2.0004332&lt;/D&gt;&lt;D xsi:type="xsd:double"&gt;-0.3226757&lt;/D&gt;&lt;D xsi:type="xsd:double"&gt;0.11564493&lt;/D&gt;&lt;D xsi:type="xsd:double"&gt;2.1388054&lt;/D&gt;&lt;D xsi:type="xsd:double"&gt;2.94317&lt;/D&gt;&lt;D xsi:type="xsd:double"&gt;-5.8821917&lt;/D&gt;&lt;/FQL&gt;&lt;FQL&gt;&lt;Q&gt;EWI^FG_PRICE(0,-200D)&lt;/Q&gt;&lt;R&gt;201&lt;/R&gt;&lt;C&gt;1&lt;/C&gt;&lt;D xsi:type="xsd:double"&gt;52.65&lt;/D&gt;&lt;D xsi:type="xsd:double"&gt;53.56&lt;/D&gt;&lt;D xsi:type="xsd:double"&gt;53.79&lt;/D&gt;&lt;D xsi:type="xsd:double"&gt;53.54&lt;/D&gt;&lt;D xsi:type="xsd:double"&gt;52.96&lt;/D&gt;&lt;D xsi:type="xsd:double"&gt;53.43&lt;/D&gt;&lt;D xsi:type="xsd:double"&gt;54.57&lt;/D&gt;&lt;D xsi:type="xsd:double"&gt;53.89&lt;/D&gt;&lt;D xsi:type="xsd:double"&gt;55.95&lt;/D&gt;&lt;D xsi:type="xsd:double"&gt;57.33&lt;/D&gt;&lt;D xsi:type="xsd:double"&gt;57.93&lt;/D&gt;&lt;D xsi:type="xsd:double"&gt;57.61&lt;/D&gt;&lt;D xsi:type="xsd:double"&gt;56.94&lt;/D&gt;&lt;D xsi:type="xsd:double"&gt;56.94&lt;/D&gt;&lt;D xsi:type="xsd:double"&gt;56.81&lt;/D&gt;&lt;D xsi:type="xsd:double"&gt;55.89&lt;/D&gt;&lt;D xsi:type="xsd:double"&gt;56.32&lt;/D&gt;&lt;D xsi:type="xsd:double"&gt;56.02&lt;/D&gt;&lt;D xsi:type="xsd:double"&gt;55.54&lt;/D&gt;&lt;D xsi:type="xsd:double"&gt;55.54&lt;/D&gt;&lt;D xsi:type="xsd:double"&gt;56.52&lt;/D&gt;&lt;D xsi:type="xsd:double"&gt;56.98&lt;/D&gt;&lt;D xsi:type="xsd:double"&gt;57.32&lt;/D&gt;&lt;D xsi:type="xsd:double"&gt;57.61&lt;/D&gt;&lt;D xsi:type="xsd:double"&gt;56.28&lt;/D&gt;&lt;D xsi:type="xsd:double"&gt;55.7&lt;/D&gt;&lt;D xsi:type="xsd:double"&gt;56.95&lt;/D&gt;&lt;D xsi:type="xsd:double"&gt;56.93&lt;/D&gt;&lt;D xsi:type="xsd:double"&gt;56.37&lt;/D&gt;&lt;D xsi:type="xsd:double"&gt;55.88&lt;/D&gt;&lt;D xsi:type="xsd:double"&gt;56.17&lt;/D&gt;&lt;D xsi:type="xsd:double"&gt;55.83&lt;/D&gt;&lt;D xsi:type="xsd:double"&gt;56.63&lt;/D&gt;&lt;D xsi:type="xsd:double"&gt;55.39&lt;/D&gt;&lt;D xsi:type="xsd:double"&gt;54.91&lt;/D&gt;&lt;D xsi:type="xsd:double"&gt;54.77&lt;/D&gt;&lt;D xsi:type="xsd:double"&gt;54.44&lt;/D&gt;&lt;D xsi:type="xsd:double"&gt;54.02&lt;/D&gt;&lt;D xsi:type="xsd:double"&gt;54.92&lt;/D&gt;&lt;D xsi:type="xsd:double"&gt;54.92&lt;/D&gt;&lt;D xsi:type="xsd:double"&gt;54.8&lt;/D&gt;&lt;D xsi:type="xsd:double"&gt;55.04&lt;/D&gt;&lt;D xsi:type="xsd:double"&gt;54.81&lt;/D&gt;&lt;D xsi:type="xsd:double"&gt;55.32&lt;/D&gt;&lt;D xsi:type="xsd:double"&gt;55.03&lt;/D&gt;&lt;D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xsi:type="xsd:double"&gt;54.33&lt;/D&gt;&lt;D xsi:type="xsd:double"&gt;54.59&lt;/D&gt;&lt;D xsi:type="xsd:double"&gt;54.16&lt;/D&gt;&lt;D xsi:type="xsd:double"&gt;54.62&lt;/D&gt;&lt;D xsi:type="xsd:double"&gt;54.56&lt;/D&gt;&lt;D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xsi:type="xsd:double"&gt;47.98&lt;/D&gt;&lt;/FQL&gt;&lt;FQL&gt;&lt;Q&gt;EWJ^FG_PRICE(0,-200</t>
        </r>
      </text>
    </comment>
    <comment ref="A3" authorId="0" shapeId="0" xr:uid="{893F61AA-D4CC-4C24-BA25-E6E032758B0D}">
      <text>
        <r>
          <rPr>
            <b/>
            <sz val="9"/>
            <color indexed="81"/>
            <rFont val="Tahoma"/>
            <charset val="1"/>
          </rPr>
          <t>D)&lt;/Q&gt;&lt;R&gt;201&lt;/R&gt;&lt;C&gt;1&lt;/C&gt;&lt;D xsi:type="xsd:double"&gt;84.19&lt;/D&gt;&lt;D xsi:type="xsd:double"&gt;85.73&lt;/D&gt;&lt;D xsi:type="xsd:double"&gt;86.46&lt;/D&gt;&lt;D xsi:type="xsd:double"&gt;85.64&lt;/D&gt;&lt;D xsi:type="xsd:double"&gt;84.77&lt;/D&gt;&lt;D xsi:type="xsd:double"&gt;85.89&lt;/D&gt;&lt;D xsi:type="xsd:double"&gt;88.59&lt;/D&gt;&lt;D xsi:type="xsd:double"&gt;86.83&lt;/D&gt;&lt;D xsi:type="xsd:double"&gt;90.2&lt;/D&gt;&lt;D xsi:type="xsd:double"&gt;92.37&lt;/D&gt;&lt;D xsi:type="xsd:double"&gt;92.48&lt;/D&gt;&lt;D xsi:type="xsd:double"&gt;92.44&lt;/D&gt;&lt;D xsi:type="xsd:double"&gt;91.23&lt;/D&gt;&lt;D xsi:type="xsd:double"&gt;91.39&lt;/D&gt;&lt;D xsi:type="xsd:double"&gt;91.47&lt;/D&gt;&lt;D xsi:type="xsd:double"&gt;91.2&lt;/D&gt;&lt;D xsi:type="xsd:double"&gt;91.38&lt;/D&gt;&lt;D xsi:type="xsd:double"&gt;91.87&lt;/D&gt;&lt;D xsi:type="xsd:double"&gt;93.85&lt;/D&gt;&lt;D xsi:type="xsd:double"&gt;93.85&lt;/D&gt;&lt;D xsi:type="xsd:double"&gt;93.37&lt;/D&gt;&lt;D xsi:type="xsd:double"&gt;93.97&lt;/D&gt;&lt;D xsi:type="xsd:double"&gt;93.1&lt;/D&gt;&lt;D xsi:type="xsd:double"&gt;91.29&lt;/D&gt;&lt;D xsi:type="xsd:double"&gt;89.4&lt;/D&gt;&lt;D xsi:type="xsd:double"&gt;86.1&lt;/D&gt;&lt;D xsi:type="xsd:double"&gt;87.49&lt;/D&gt;&lt;D xsi:type="xsd:double"&gt;86.68&lt;/D&gt;&lt;D xsi:type="xsd:double"&gt;85.89&lt;/D&gt;&lt;D xsi:type="xsd:double"&gt;85.72&lt;/D&gt;&lt;D xsi:type="xsd:double"&gt;86.09&lt;/D&gt;&lt;D xsi:type="xsd:double"&gt;85.21&lt;/D&gt;&lt;D xsi:type="xsd:double"&gt;85.84&lt;/D&gt;&lt;D xsi:type="xsd:double"&gt;84.63&lt;/D&gt;&lt;D xsi:type="xsd:double"&gt;84.56&lt;/D&gt;&lt;D xsi:type="xsd:double"&gt;84.86&lt;/D&gt;&lt;D xsi:type="xsd:double"&gt;84.78&lt;/D&gt;&lt;D xsi:type="xsd:double"&gt;83.72&lt;/D&gt;&lt;D xsi:type="xsd:double"&gt;85.48&lt;/D&gt;&lt;D xsi:type="xsd:double"&gt;85.48&lt;/D&gt;&lt;D xsi:type="xsd:double"&gt;85.42&lt;/D&gt;&lt;D xsi:type="xsd:double"&gt;85.04&lt;/D&gt;&lt;D xsi:type="xsd:double"&gt;84.45&lt;/D&gt;&lt;D xsi:type="xsd:double"&gt;85.29&lt;/D&gt;&lt;D xsi:type="xsd:double"&gt;84.61&lt;/D&gt;&lt;D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xsi:type="xsd:double"&gt;80.74&lt;/D&gt;&lt;D xsi:type="xsd:double"&gt;80.98&lt;/D&gt;&lt;D xsi:type="xsd:double"&gt;81.09&lt;/D&gt;&lt;D xsi:type="xsd:double"&gt;80.97&lt;/D&gt;&lt;D xsi:type="xsd:double"&gt;81&lt;/D&gt;&lt;D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xsi:type="xsd:double"&gt;73.39&lt;/D&gt;&lt;/FQL&gt;&lt;FQL&gt;&lt;Q&gt;TUR^FG_PRICE(0,-200D)&lt;/Q&gt;&lt;R&gt;201&lt;/R&gt;&lt;C&gt;1&lt;/C&gt;&lt;D xsi:type="xsd:double"&gt;39.34&lt;/D&gt;&lt;D xsi:type="xsd:double"&gt;39.29&lt;/D&gt;&lt;D xsi:type="xsd:double"&gt;39.18&lt;/D&gt;&lt;D xsi:type="xsd:double"&gt;38.74&lt;/D&gt;&lt;D xsi:type="xsd:double"&gt;37.22&lt;/D&gt;&lt;D xsi:type="xsd:double"&gt;38.73&lt;/D&gt;&lt;D xsi:type="xsd:double"&gt;38.96&lt;/D&gt;&lt;D xsi:type="xsd:double"&gt;38.78&lt;/D&gt;&lt;D xsi:type="xsd:double"&gt;39.59&lt;/D&gt;&lt;D xsi:type="xsd:double"&gt;40.63&lt;/D&gt;&lt;D xsi:type="xsd:double"&gt;41.23&lt;/D&gt;&lt;D xsi:type="xsd:double"&gt;41.19&lt;/D&gt;&lt;D xsi:type="xsd:double"&gt;41.93&lt;/D&gt;&lt;D xsi:type="xsd:double"&gt;41.76&lt;/D&gt;&lt;D xsi:type="xsd:double"&gt;41.65&lt;/D&gt;&lt;D xsi:type="xsd:double"&gt;41.26&lt;/D&gt;&lt;D xsi:type="xsd:double"&gt;42.41&lt;/D&gt;&lt;D xsi:type="xsd:double"&gt;42.34&lt;/D&gt;&lt;D xsi:type="xsd:double"&gt;42.22&lt;/D&gt;&lt;D xsi:type="xsd:double"&gt;42.22&lt;/D&gt;&lt;D xsi:type="xsd:double"&gt;41.91&lt;/D&gt;&lt;D xsi:type="xsd:double"&gt;41.21&lt;/D&gt;&lt;D xsi:type="xsd:double"&gt;40.97&lt;/D&gt;&lt;D xsi:type="xsd:double"&gt;41.54&lt;/D&gt;&lt;D xsi:type="xsd:double"&gt;40.84&lt;/D&gt;&lt;D xsi:type="xsd:double"&gt;40.66&lt;/D&gt;&lt;D xsi:type="xsd:double"&gt;41.37&lt;/D&gt;&lt;D xsi:type="xsd:double"&gt;41.54&lt;/D&gt;&lt;D xsi:type="xsd:double"&gt;41.14&lt;/D&gt;&lt;D xsi:type="xsd:double"&gt;41.25&lt;/D&gt;&lt;D xsi:type="xsd:double"&gt;41.58&lt;/D&gt;&lt;D xsi:type="xsd:double"&gt;40.39&lt;/D&gt;&lt;D xsi:type="xsd:double"&gt;39.56&lt;/D&gt;&lt;D xsi:type="xsd:double"&gt;39.86&lt;/D&gt;&lt;D xsi:type="xsd:double"&gt;39.43&lt;/D&gt;&lt;D xsi:type="xsd:double"&gt;39.08&lt;/D&gt;&lt;D xsi:type="xsd:double"&gt;38.64&lt;/D&gt;&lt;D xsi:type="xsd:double"&gt;38.87&lt;/D&gt;&lt;D xsi:type="xsd:double"&gt;38.41&lt;/D&gt;&lt;D xsi:type="xsd:double"&gt;38.41&lt;/D&gt;&lt;D xsi:type="xsd:double"&gt;37.94&lt;/D&gt;&lt;D xsi:type="xsd:double"&gt;37.59&lt;/D&gt;&lt;D xsi:type="xsd:double"&gt;37.73&lt;/D&gt;&lt;D xsi:type="xsd:double"&gt;37.54&lt;/D&gt;&lt;D xsi:type="xsd:double"&gt;37.16&lt;/D&gt;&lt;D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xsi:type="xsd:double"&gt;34.42&lt;/D&gt;&lt;D xsi:type="xsd:double"&gt;34.41&lt;/D&gt;&lt;D xsi:type="xsd:double"&gt;34.76&lt;/D&gt;&lt;D xsi:type="xsd:double"&gt;34.87&lt;/D&gt;&lt;D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xsi:type="xsd:double"&gt;31.44&lt;/D&gt;&lt;/FQL&gt;&lt;FQL&gt;&lt;Q&gt;EWY^FG_PRICE(0,-200D)&lt;/Q&gt;&lt;R&gt;201&lt;/R&gt;&lt;C&gt;1&lt;/C&gt;&lt;D xsi:type="xsd:double"&gt;123.5&lt;/D&gt;&lt;D xsi:type="xsd:double"&gt;132.85&lt;/D&gt;&lt;D xsi:type="xsd:double"&gt;130.3&lt;/D&gt;&lt;D xsi:type="xsd:double"&gt;133.89&lt;/D&gt;&lt;D xsi:type="xsd:double"&gt;126.73&lt;/D&gt;&lt;D xsi:type="xsd:double"&gt;125.74&lt;/D&gt;&lt;D xsi:type="xsd:double"&gt;134.37&lt;/D&gt;&lt;D xsi:type="xsd:double"&gt;132.34&lt;/D&gt;&lt;D xsi:type="xsd:double"&gt;147.54&lt;/D&gt;&lt;D xsi:type="xsd:double"&gt;151.37&lt;/D&gt;&lt;D xsi:type="xsd:double"&gt;150.41&lt;/D&gt;&lt;D xsi:type="xsd:double"&gt;148.89&lt;/D&gt;&lt;D xsi:type="xsd:double"&gt;144.55&lt;/D&gt;&lt;D xsi:type="xsd:double"&gt;139.3&lt;/D&gt;&lt;D xsi:type="xsd:double"&gt;141.88&lt;/D&gt;&lt;D xsi:type="xsd:double"&gt;135.21&lt;/D&gt;&lt;D xsi:type="xsd:double"&gt;132.93&lt;/D&gt;&lt;D xsi:type="xsd:double"&gt;130.68&lt;/D&gt;&lt;D xsi:type="xsd:double"&gt;133.97&lt;/D&gt;&lt;D xsi:type="xsd:double"&gt;133.97&lt;/D&gt;&lt;D xsi:type="xsd:double"&gt;130.8&lt;/D&gt;&lt;D xsi:type="xsd:double"&gt;130.6&lt;/D&gt;&lt;D xsi:type="xsd:double"&gt;124.45&lt;/D&gt;&lt;D xsi:type="xsd:double"&gt;126.05&lt;/D&gt;&lt;D xsi:type="xsd:double"&gt;124.71&lt;/D&gt;&lt;D xsi:type="xsd:double"&gt;120.21&lt;/D&gt;&lt;D xsi:type="xsd:double"&gt;120.26&lt;/D&gt;&lt;D xsi:type="xsd:double"&gt;124.32&lt;/D&gt;&lt;D xsi:type="xsd:double"&gt;120.93&lt;/D&gt;&lt;D xsi:type="xsd:double"&gt;122.41&lt;/D&gt;&lt;D xsi:type="xsd:double"&gt;124.5&lt;/D&gt;&lt;D xsi:type="xsd:double"&gt;125.56&lt;/D&gt;&lt;D xsi:type="xsd:double"&gt;122.7&lt;/D&gt;&lt;D xsi:type="xsd:double"&gt;117.32&lt;/D&gt;&lt;D xsi:type="xsd:double"&gt;117.97&lt;/D&gt;&lt;D xsi:type="xsd:double"&gt;115.99&lt;/D&gt;&lt;D xsi:type="xsd:double"&gt;115.66&lt;/D&gt;&lt;D xsi:type="xsd:double"&gt;110.97&lt;/D&gt;&lt;D xsi:type="xsd:double"&gt;112.22&lt;/D&gt;&lt;D xsi:type="xsd:double"&gt;112.22&lt;/D&gt;&lt;D xsi:type="xsd:double"&gt;111.05&lt;/D&gt;&lt;D xsi:type="xsd:double"&gt;109.64&lt;/D&gt;&lt;D xsi:type="xsd:double"&gt;107.54&lt;/D&gt;&lt;D xsi:type="xsd:double"&gt;108.93&lt;/D&gt;&lt;D xsi:type="xsd:double"&gt;108.89&lt;/D&gt;&lt;D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xsi:type="xsd:double"&gt;97.22&lt;/D&gt;&lt;D xsi:type="xsd:double"&gt;98.62&lt;/D&gt;&lt;D xsi:type="xsd:double"&gt;98.72&lt;/D&gt;&lt;D xsi:type="xsd:double"&gt;95.84&lt;/D&gt;&lt;D xsi:type="xsd:double"&gt;94.6&lt;/D&gt;&lt;D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xsi:type="xsd:double"&gt;65.36&lt;/D&gt;&lt;/FQL&gt;&lt;FQL&gt;&lt;Q&gt;ECH^FG_PRICE(0,-200D)&lt;/Q&gt;&lt;R&gt;201&lt;/R&gt;&lt;C&gt;1&lt;/C&gt;&lt;D xsi:type="xsd:double"&gt;39.28&lt;/D&gt;&lt;D xsi:type="xsd:double"&gt;40.64&lt;/D&gt;&lt;D xsi:type="xsd:double"&gt;40.68&lt;/D&gt;&lt;D xsi:type="xsd:double"&gt;39.73&lt;/D&gt;&lt;D xsi:type="xsd:double"&gt;38.99&lt;/D&gt;&lt;D xsi:type="xsd:double"&gt;38.97&lt;/D&gt;&lt;D xsi:type="xsd:double"&gt;40.31&lt;/D&gt;&lt;D xsi:type="xsd:double"&gt;39.57&lt;/D&gt;&lt;D xsi:type="xsd:double"&gt;41.56&lt;/D&gt;&lt;D xsi:type="xsd:double"&gt;43.5&lt;/D&gt;&lt;D xsi:type="xsd:double"&gt;44.34&lt;/D&gt;&lt;D xsi:type="xsd:double"&gt;44.73&lt;/D&gt;&lt;D xsi:type="xsd:double"&gt;44.54&lt;/D&gt;&lt;D xsi:type="xsd:double"&gt;43.51&lt;/D&gt;&lt;D xsi:type="xsd:double"&gt;43.58&lt;/D&gt;&lt;D xsi:type="xsd:double"&gt;43.52&lt;/D&gt;&lt;D xsi:type="xsd:double"&gt;43.69&lt;/D&gt;&lt;D xsi:type="xsd:double"&gt;43.8&lt;/D&gt;&lt;D xsi:type="xsd:double"&gt;43.81&lt;/D&gt;&lt;D xsi:type="xsd:double"&gt;43.81&lt;/D&gt;&lt;D xsi:type="xsd:double"&gt;44.25&lt;/D&gt;&lt;D xsi:type="xsd:double"&gt;45.35&lt;/D&gt;&lt;D xsi:type="xsd:double"&gt;44.54&lt;/D&gt;&lt;D xsi:type="xsd:double"&gt;46.17&lt;/D&gt;&lt;D xsi:type="xsd:double"&gt;45.24&lt;/D&gt;&lt;D xsi:type="xsd:double"&gt;45.19&lt;/D&gt;&lt;D xsi:type="xsd:double"&gt;45.66&lt;/D&gt;&lt;D xsi:type="xsd:double"&gt;47.19&lt;/D&gt;&lt;D xsi:type="xsd:double"&gt;46.05&lt;/D&gt;&lt;D xsi:type="xsd:double"&gt;45.24&lt;/D&gt;&lt;D xsi:type="xsd:double"&gt;46.875&lt;/D&gt;&lt;D xsi:type="xsd:double"&gt;47.06&lt;/D&gt;&lt;D xsi:type="xsd:double"&gt;47.37&lt;/D&gt;&lt;D xsi:type="xsd:double"&gt;46.78&lt;/D&gt;&lt;D xsi:type="xsd:double"&gt;46.4&lt;/D&gt;&lt;D xsi:type="xsd:double"&gt;46.175&lt;/D&gt;&lt;D xsi:type="xsd:double"&gt;45.2&lt;/D&gt;&lt;D xsi:type="xsd:double"&gt;43.89&lt;/D&gt;&lt;D xsi:type="xsd:double"&gt;44.09&lt;/D&gt;&lt;D xsi:type="xsd:double"&gt;44.09&lt;/D&gt;&lt;D xsi:type="xsd:double"&gt;44.15&lt;/D&gt;&lt;D xsi:type="xsd:double"&gt;44.51&lt;/D&gt;&lt;D xsi:type="xsd:double"&gt;44.34&lt;/D&gt;&lt;D xsi:type="xsd:double"&gt;43.87&lt;/D&gt;&lt;D xsi:type="xsd:double"&gt;42.85&lt;/D&gt;&lt;D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xsi:type="xsd:double"&gt;40.4&lt;/D&gt;&lt;D xsi:type="xsd:double"&gt;40.54&lt;/D&gt;&lt;D xsi:type="xsd:double"&gt;40.15&lt;/D&gt;&lt;D xsi:type="xsd:double"&gt;40.29&lt;/D&gt;&lt;D xsi:type="xsd:double"&gt;40.03&lt;/D&gt;&lt;D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xsi:type="xsd:double"&gt;32.17&lt;/D&gt;&lt;/FQL&gt;&lt;FQL&gt;&lt;Q&gt;QQQ^FG_TOTAL_RETURNC(-5AY,0,AM)&lt;/Q&gt;&lt;R&gt;61&lt;/R&gt;&lt;C&gt;1&lt;/C&gt;&lt;D xsi:type="xsd:double"&gt;-6.238675&lt;/D&gt;&lt;D xsi:type="xsd:double"&gt;6.8557262&lt;/D&gt;&lt;D xsi:type="xsd:double"&gt;-5.875188&lt;/D&gt;&lt;D xsi:type="xsd:double"&gt;7.684052&lt;/D&gt;&lt;D xsi:type="xsd:double"&gt;6.329155&lt;/D&gt;&lt;D xsi:type="xsd:double"&gt;1.4099598&lt;/D&gt;&lt;D xsi:type="xsd:double"&gt;2.465105&lt;/D&gt;&lt;D xsi:type="xsd:double"&gt;-5.0574303&lt;/D&gt;&lt;D xsi:type="xsd:double"&gt;10.516882&lt;/D&gt;&lt;D xsi:type="xsd:double"&gt;0.8386135&lt;/D&gt;&lt;D xsi:type="xsd:double"&gt;-2.5527&lt;/D&gt;&lt;D xsi:type="xsd:double"&gt;-10.401445&lt;/D&gt;&lt;D xsi:type="xsd:double"&gt;-6.5291286&lt;/D&gt;&lt;D xsi:type="xsd:double"&gt;4.7689795&lt;/D&gt;&lt;D xsi:type="xsd:double"&gt;-14.228905&lt;/D&gt;&lt;D xsi:type="xsd:double"&gt;-0.7934034&lt;/D&gt;&lt;D xsi:type="xsd:double"&gt;-0.71421266&lt;/D&gt;&lt;D xsi:type="xsd:double"&gt;15.424132&lt;/D&gt;&lt;D xsi:type="xsd:double"&gt;-5.947524&lt;/D&gt;&lt;D xsi:type="xsd:double"&gt;-15.322131&lt;/D&gt;&lt;D xsi:type="xsd:double"&gt;9.632217&lt;/D&gt;&lt;D xsi:type="xsd:double"&gt;-0.8265078&lt;/D&gt;&lt;D xsi:type="xsd:double"&gt;-2.049166&lt;/D&gt;&lt;D xsi:type="xsd:double"&gt;7.4001193&lt;/D&gt;&lt;D xsi:type="xsd:double"&gt;-3.7203968&lt;/D&gt;&lt;D xsi:type="xsd:double"&gt;8.654714&lt;/D&gt;&lt;D xsi:type="xsd:double"&gt;3.8301826&lt;/D&gt;&lt;D xsi:type="xsd:double"&gt;10.9097595&lt;/D&gt;&lt;D xsi:type="xsd:double"&gt;3.5624027&lt;/D&gt;&lt;D xsi:type="xsd:double"&gt;-1.7649293&lt;/D&gt;&lt;D xsi:type="xsd:double"&gt;1.7884493&lt;/D&gt;&lt;D xsi:type="xsd:double"&gt;-0.6238222&lt;/D&gt;&lt;D xsi:type="xsd:double"&gt;2.286923&lt;/D&gt;&lt;D xsi:type="xsd:double"&gt;5.3595543&lt;/D&gt;&lt;D xsi:type="xsd:double"&gt;2.9895306&lt;/D&gt;&lt;D xsi:type="xsd:double"&gt;6.2945604&lt;/D&gt;&lt;D xsi:type="xsd:double"&gt;1.9111514&lt;/D&gt;&lt;D xsi:type="xsd:double"&gt;-1.0854065&lt;/D&gt;&lt;D xsi:type="xsd:double"&gt;0.864768&lt;/D&gt;&lt;D xsi:type="xsd:double"&gt;7.25919&lt;/D&gt;&lt;D xsi:type="xsd:double"&gt;4.527056&lt;/D&gt;&lt;D xsi:type="xsd:double"&gt;-8.778948&lt;/D&gt;&lt;D xsi:type="xsd:double"&gt;4.8384905&lt;/D&gt;&lt;D xsi:type="xsd:double"&gt;4.4020414&lt;/D&gt;&lt;D xsi:type="xsd:double"&gt;3.962624&lt;/D&gt;&lt;D xsi:type="xsd:double"&gt;2.6495934&lt;/D&gt;&lt;D xsi:type="xsd:double"&gt;-3.5138428&lt;/D&gt;&lt;D xsi:type="xsd:double"&gt;4.1621447&lt;/D&gt;&lt;D xsi:type="xsd:double"&gt;-9.725529&lt;/D&gt;&lt;D xsi:type="xsd:double"&gt;-4.5829954&lt;/D&gt;&lt;D xsi:type="xsd:double"&gt;11.762762&lt;/D&gt;&lt;D xsi:type="xsd:double"&gt;5.082202&lt;/D&gt;&lt;D xsi:type="xsd:double"&gt;3.9643645&lt;/D&gt;&lt;D xsi:type="xsd:double"&gt;4.6643734&lt;/D&gt;&lt;D xsi:type="xsd:double"&gt;1.1395574&lt;/D&gt;&lt;D xsi:type="xsd:double"&gt;0.5998969&lt;/D&gt;&lt;D xsi:type="xsd:double"&gt;5.3570867&lt;/D&gt;&lt;D xsi:type="xsd:double"&gt;-1.2011349&lt;/D&gt;&lt;D xsi:type="xsd:double"&gt;2.3392916&lt;/D&gt;&lt;D xsi:type="xsd:double"&gt;-4.230106&lt;/D&gt;&lt;D xsi:type="xsd:double"&gt;-0.5627334&lt;/D&gt;&lt;/FQL&gt;&lt;FQL&gt;&lt;Q&gt;EWG^FG_PRICE(0,-200D)&lt;/Q&gt;&lt;R&gt;201&lt;/R&gt;&lt;C&gt;1&lt;/C&gt;&lt;D xsi:type="xsd:double"&gt;40.34&lt;/D&gt;&lt;D xsi:type="xsd:double"&gt;40.8&lt;/D&gt;&lt;D xsi:type="xsd:double"&gt;41.1&lt;/D&gt;&lt;D xsi:type="xsd:double"&gt;41.09&lt;/D&gt;&lt;D xsi:type="xsd:double"&gt;40.82&lt;/D&gt;&lt;D xsi:type="xsd:double"&gt;41.18&lt;/D&gt;&lt;D xsi:type="xsd:double"&gt;42.1&lt;/D&gt;&lt;D xsi:type="xsd:double"&gt;41.57&lt;/D&gt;&lt;D xsi:type="xsd:double"&gt;42.91&lt;/D&gt;&lt;D xsi:type="xsd:double"&gt;44.34&lt;/D&gt;&lt;D xsi:type="xsd:double"&gt;44.56&lt;/D&gt;&lt;D xsi:type="xsd:double"&gt;44.35&lt;/D&gt;&lt;D xsi:type="xsd:double"&gt;43.95&lt;/D&gt;&lt;D xsi:type="xsd:double"&gt;43.9&lt;/D&gt;&lt;D xsi:type="xsd:double"&gt;44.32&lt;/D&gt;&lt;D xsi:type="xsd:double"&gt;43.88&lt;/D&gt;&lt;D xsi:type="xsd:double"&gt;44.12&lt;/D&gt;&lt;D xsi:type="xsd:double"&gt;44.04&lt;/D&gt;&lt;D xsi:type="xsd:double"&gt;43.97&lt;/D&gt;&lt;D xsi:type="xsd:double"&gt;43.97&lt;/D&gt;&lt;D xsi:type="xsd:double"&gt;43.96&lt;/D&gt;&lt;D xsi:type="xsd:double"&gt;44.05&lt;/D&gt;&lt;D xsi:type="xsd:double"&gt;44.22&lt;/D&gt;&lt;D xsi:type="xsd:double"&gt;44.32&lt;/D&gt;&lt;D xsi:type="xsd:double"&gt;43.53&lt;/D&gt;&lt;D xsi:type="xsd:double"&gt;42.84&lt;/D&gt;&lt;D xsi:type="xsd:double"&gt;43.25&lt;/D&gt;&lt;D xsi:type="xsd:double"&gt;43.51&lt;/D&gt;&lt;D xsi:type="xsd:double"&gt;43.48&lt;/D&gt;&lt;D xsi:type="xsd:double"&gt;43.11&lt;/D&gt;&lt;D xsi:type="xsd:double"&gt;43.44&lt;/D&gt;&lt;D xsi:type="xsd:double"&gt;44.01&lt;/D&gt;&lt;D xsi:type="xsd:double"&gt;44.3&lt;/D&gt;&lt;D xsi:type="xsd:double"&gt;43.84&lt;/D&gt;&lt;D xsi:type="xsd:double"&gt;43.48&lt;/D&gt;&lt;D xsi:type="xsd:double"&gt;43.1&lt;/D&gt;&lt;D xsi:type="xsd:double"&gt;42.82&lt;/D&gt;&lt;D xsi:type="xsd:double"&gt;42.54&lt;/D&gt;&lt;D xsi:type="xsd:double"&gt;43.34&lt;/D&gt;&lt;D xsi:type="xsd:double"&gt;43.34&lt;/D&gt;&lt;D xsi:type="xsd:double"&gt;43.24&lt;/D&gt;&lt;D xsi:type="xsd:double"&gt;43.49&lt;/D&gt;&lt;D xsi:type="xsd:double"&gt;43.57&lt;/D&gt;&lt;D xsi:type="xsd:double"&gt;43.83&lt;/D&gt;&lt;D xsi:type="xsd:double"&gt;43.41&lt;/D&gt;&lt;D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xsi:type="xsd:double"&gt;42.5&lt;/D&gt;&lt;D xsi:type="xsd:double"&gt;42.75&lt;/D&gt;&lt;D xsi:type="xsd:double"&gt;42.51&lt;/D&gt;&lt;D xsi:type="xsd:double"&gt;42.65&lt;/D&gt;&lt;D xsi:type="xsd:double"&gt;42.57&lt;/D&gt;&lt;D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</t>
        </r>
      </text>
    </comment>
    <comment ref="A4" authorId="0" shapeId="0" xr:uid="{1AD4C794-BBDE-445D-BB54-0F8C1561DB9C}">
      <text>
        <r>
          <rPr>
            <b/>
            <sz val="9"/>
            <color indexed="81"/>
            <rFont val="Tahoma"/>
            <charset val="1"/>
          </rPr>
          <t>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xsi:type="xsd:double"&gt;42.57&lt;/D&gt;&lt;/FQL&gt;&lt;FQL&gt;&lt;Q&gt;VNM^FG_TOTAL_RETURNC(-5AY,0,AM)&lt;/Q&gt;&lt;R&gt;61&lt;/R&gt;&lt;C&gt;1&lt;/C&gt;&lt;D xsi:type="xsd:double"&gt;-1.2770653&lt;/D&gt;&lt;D xsi:type="xsd:double"&gt;6.4116955&lt;/D&gt;&lt;D xsi:type="xsd:double"&gt;-1.2685001&lt;/D&gt;&lt;D xsi:type="xsd:double"&gt;7.066381&lt;/D&gt;&lt;D xsi:type="xsd:double"&gt;-2.7999997&lt;/D&gt;&lt;D xsi:type="xsd:double"&gt;1.8518448&lt;/D&gt;&lt;D xsi:type="xsd:double"&gt;1.161623&lt;/D&gt;&lt;D xsi:type="xsd:double"&gt;-2.0968556&lt;/D&gt;&lt;D xsi:type="xsd:double"&gt;5.6093693&lt;/D&gt;&lt;D xsi:type="xsd:double"&gt;-0.14485121&lt;/D&gt;&lt;D xsi:type="xsd:double"&gt;2.493&lt;/D&gt;&lt;D xsi:type="xsd:double"&gt;-6.970125&lt;/D&gt;&lt;D xsi:type="xsd:double"&gt;-5.555558&lt;/D&gt;&lt;D xsi:type="xsd:double"&gt;0.16189814&lt;/D&gt;&lt;D xsi:type="xsd:double"&gt;-17.672413&lt;/D&gt;&lt;D xsi:type="xsd:double"&gt;2.4214625&lt;/D&gt;&lt;D xsi:type="xsd:double"&gt;-8.370602&lt;/D&gt;&lt;D xsi:type="xsd:double"&gt;9.274757&lt;/D&gt;&lt;D xsi:type="xsd:double"&gt;-3.3184469&lt;/D&gt;&lt;D xsi:type="xsd:double"&gt;-18.613857&lt;/D&gt;&lt;D xsi:type="xsd:double"&gt;-9.083533&lt;/D&gt;&lt;D xsi:type="xsd:double"&gt;12.132025&lt;/D&gt;&lt;D xsi:type="xsd:double"&gt;0.61804056&lt;/D&gt;&lt;D xsi:type="xsd:double"&gt;-4.628891&lt;/D&gt;&lt;D xsi:type="xsd:double"&gt;-2.4267793&lt;/D&gt;&lt;D xsi:type="xsd:double"&gt;5.3173183999999996&lt;/D&gt;&lt;D xsi:type="xsd:double"&gt;1.710093&lt;/D&gt;&lt;D xsi:type="xsd:double"&gt;6.64531&lt;/D&gt;&lt;D xsi:type="xsd:double"&gt;3.7537575&lt;/D&gt;&lt;D xsi:type="xsd:double"&gt;9.80463&lt;/D&gt;&lt;D xsi:type="xsd:double"&gt;2.8665543&lt;/D&gt;&lt;D xsi:type="xsd:double"&gt;-12.363863&lt;/D&gt;&lt;D xsi:type="xsd:double"&gt;-3.6549687&lt;/D&gt;&lt;D xsi:type="xsd:double"&gt;2.8072834&lt;/D&gt;&lt;D xsi:type="xsd:double"&gt;-0.9408057&lt;/D&gt;&lt;D xsi:type="xsd:double"&gt;3.2600284&lt;/D&gt;&lt;D xsi:type="xsd:double"&gt;1.5595317&lt;/D&gt;&lt;D xsi:type="xsd:double"&gt;-0.67415833&lt;/D&gt;&lt;D xsi:type="xsd:double"&gt;-5.2790346&lt;/D&gt;&lt;D xsi:type="xsd:double"&gt;3.105092&lt;/D&gt;&lt;D xsi:type="xsd:double"&gt;-3.861004&lt;/D&gt;&lt;D xsi:type="xsd:double"&gt;-4.658633&lt;/D&gt;&lt;D xsi:type="xsd:double"&gt;4.4650316&lt;/D&gt;&lt;D xsi:type="xsd:double"&gt;2.016127&lt;/D&gt;&lt;D xsi:type="xsd:double"&gt;-6.7193627&lt;/D&gt;&lt;D xsi:type="xsd:double"&gt;0.33898354&lt;/D&gt;&lt;D xsi:type="xsd:double"&gt;-5.9966207&lt;/D&gt;&lt;D xsi:type="xsd:double"&gt;1.7969489&lt;/D&gt;&lt;D xsi:type="xsd:double"&gt;11.032653&lt;/D&gt;&lt;D xsi:type="xsd:double"&gt;-5.6438804&lt;/D&gt;&lt;D xsi:type="xsd:double"&gt;6.9081664&lt;/D&gt;&lt;D xsi:type="xsd:double"&gt;5.2797437&lt;/D&gt;&lt;D xsi:type="xsd:double"&gt;13.922155&lt;/D&gt;&lt;D xsi:type="xsd:double"&gt;14.586067&lt;/D&gt;&lt;D xsi:type="xsd:double"&gt;3.0389786&lt;/D&gt;&lt;D xsi:type="xsd:double"&gt;5.6204796&lt;/D&gt;&lt;D xsi:type="xsd:double"&gt;-7.639617&lt;/D&gt;&lt;D xsi:type="xsd:double"&gt;-0.22818446&lt;/D&gt;&lt;D xsi:type="xsd:double"&gt;12.693906&lt;/D&gt;&lt;D xsi:type="xsd:double"&gt;-5.8973074&lt;/D&gt;&lt;D xsi:type="xsd:double"&gt;-9.508377&lt;/D&gt;&lt;/FQL&gt;&lt;FQL&gt;&lt;Q&gt;EZA^FG_TOTAL_RETURNC(-5AY,0,AM)&lt;/Q&gt;&lt;R&gt;61&lt;/R&gt;&lt;C&gt;1&lt;/C&gt;&lt;D xsi:type="xsd:double"&gt;-0.97185373&lt;/D&gt;&lt;D xsi:type="xsd:double"&gt;0.9609461&lt;/D&gt;&lt;D xsi:type="xsd:double"&gt;1.9643545&lt;/D&gt;&lt;D xsi:type="xsd:double"&gt;4.8092246&lt;/D&gt;&lt;D xsi:type="xsd:double"&gt;-6.9038095&lt;/D&gt;&lt;D xsi:type="xsd:double"&gt;-1.2119949&lt;/D&gt;&lt;D xsi:type="xsd:double"&gt;-1.6011655&lt;/D&gt;&lt;D xsi:type="xsd:double"&gt;1.9864678&lt;/D&gt;&lt;D xsi:type="xsd:double"&gt;-1.0567725&lt;/D&gt;&lt;D xsi:type="xsd:double"&gt;-4.8167524&lt;/D&gt;&lt;D xsi:type="xsd:double"&gt;13.0364895&lt;/D&gt;&lt;D xsi:type="xsd:double"&gt;0.6489754&lt;/D&gt;&lt;D xsi:type="xsd:double"&gt;2.3642063&lt;/D&gt;&lt;D xsi:type="xsd:double"&gt;3.798437&lt;/D&gt;&lt;D xsi:type="xsd:double"&gt;-18.812061&lt;/D&gt;&lt;D xsi:type="xsd:double"&gt;1.1739492&lt;/D&gt;&lt;D xsi:type="xsd:double"&gt;-5.699241&lt;/D&gt;&lt;D xsi:type="xsd:double"&gt;11.529123&lt;/D&gt;&lt;D xsi:type="xsd:double"&gt;-8.770407&lt;/D&gt;&lt;D xsi:type="xsd:double"&gt;-12.499994&lt;/D&gt;&lt;D xsi:type="xsd:double"&gt;19.547426&lt;/D&gt;&lt;D xsi:type="xsd:double"&gt;-2.3945272&lt;/D&gt;&lt;D xsi:type="xsd:double"&gt;12.297428&lt;/D&gt;&lt;D xsi:type="xsd:double"&gt;-8.829742&lt;/D&gt;&lt;D xsi:type="xsd:double"&gt;-6.047267&lt;/D&gt;&lt;D xsi:type="xsd:double"&gt;3.4032106&lt;/D&gt;&lt;D xsi:type="xsd:double"&gt;-6.5347075&lt;/D&gt;&lt;D xsi:type="xsd:double"&gt;5.187869&lt;/D&gt;&lt;D xsi:type="xsd:double"&gt;3.158927&lt;/D&gt;&lt;D xsi:type="xsd:double"&gt;-2.6555061&lt;/D&gt;&lt;D xsi:type="xsd:double"&gt;-3.883016&lt;/D&gt;&lt;D xsi:type="xsd:double"&gt;-1.968807&lt;/D&gt;&lt;D xsi:type="xsd:double"&gt;0.9128809&lt;/D&gt;&lt;D xsi:type="xsd:double"&gt;0.8787751&lt;/D&gt;&lt;D xsi:type="xsd:double"&gt;2.7008057&lt;/D&gt;&lt;D xsi:type="xsd:double"&gt;-2.5006354&lt;/D&gt;&lt;D xsi:type="xsd:double"&gt;1.0103703&lt;/D&gt;&lt;D xsi:type="xsd:double"&gt;1.5644908&lt;/D&gt;&lt;D xsi:type="xsd:double"&gt;7.398987&lt;/D&gt;&lt;D xsi:type="xsd:double"&gt;-2.4661183&lt;/D&gt;&lt;D xsi:type="xsd:double"&gt;10.430944&lt;/D&gt;&lt;D xsi:type="xsd:double"&gt;-2.6385784&lt;/D&gt;&lt;D xsi:type="xsd:double"&gt;5.3290844&lt;/D&gt;&lt;D xsi:type="xsd:double"&gt;8.237839&lt;/D&gt;&lt;D xsi:type="xsd:double"&gt;-6.072712&lt;/D&gt;&lt;D xsi:type="xsd:double"&gt;4.147172&lt;/D&gt;&lt;D xsi:type="xsd:double"&gt;-11.529475&lt;/D&gt;&lt;D xsi:type="xsd:double"&gt;11.548746&lt;/D&gt;&lt;D xsi:type="xsd:double"&gt;0.19615889&lt;/D&gt;&lt;D xsi:type="xsd:double"&gt;-0.76137185&lt;/D&gt;&lt;D xsi:type="xsd:double"&gt;10.017538&lt;/D&gt;&lt;D xsi:type="xsd:double"&gt;9.125328&lt;/D&gt;&lt;D xsi:type="xsd:double"&gt;-2.1270633&lt;/D&gt;&lt;D xsi:type="xsd:double"&gt;8.531523&lt;/D&gt;&lt;D xsi:type="xsd:double"&gt;5.3391337&lt;/D&gt;&lt;D xsi:type="xsd:double"&gt;4.540205&lt;/D&gt;&lt;D xsi:type="xsd:double"&gt;7.5173736&lt;/D&gt;&lt;D xsi:type="xsd:double"&gt;0.80786943&lt;/D&gt;&lt;D xsi:type="xsd:double"&gt;11.87619&lt;/D&gt;&lt;D xsi:type="xsd:double"&gt;1.8823862&lt;/D&gt;&lt;D xsi:type="xsd:double"&gt;-6.918412&lt;/D&gt;&lt;/FQL&gt;&lt;FQL&gt;&lt;Q&gt;EPHE^FG_PRICE(0,-200D)&lt;/Q&gt;&lt;R&gt;201&lt;/R&gt;&lt;C&gt;1&lt;/C&gt;&lt;D xsi:type="xsd:double"&gt;25.07&lt;/D&gt;&lt;D xsi:type="xsd:double"&gt;25.38&lt;/D&gt;&lt;D xsi:type="xsd:double"&gt;25.54&lt;/D&gt;&lt;D xsi:type="xsd:double"&gt;25.28&lt;/D&gt;&lt;D xsi:type="xsd:double"&gt;25.32&lt;/D&gt;&lt;D xsi:type="xsd:double"&gt;26.13&lt;/D&gt;&lt;D xsi:type="xsd:double"&gt;26.39&lt;/D&gt;&lt;D xsi:type="xsd:double"&gt;26.64&lt;/D&gt;&lt;D xsi:type="xsd:double"&gt;26.91&lt;/D&gt;&lt;D xsi:type="xsd:double"&gt;27.91&lt;/D&gt;&lt;D xsi:type="xsd:double"&gt;28.15&lt;/D&gt;&lt;D xsi:type="xsd:double"&gt;28.37&lt;/D&gt;&lt;D xsi:type="xsd:double"&gt;27.73&lt;/D&gt;&lt;D xsi:type="xsd:double"&gt;27.53&lt;/D&gt;&lt;D xsi:type="xsd:double"&gt;27.16&lt;/D&gt;&lt;D xsi:type="xsd:double"&gt;26.83&lt;/D&gt;&lt;D xsi:type="xsd:double"&gt;26.78&lt;/D&gt;&lt;D xsi:type="xsd:double"&gt;26.68&lt;/D&gt;&lt;D xsi:type="xsd:double"&gt;26.97&lt;/D&gt;&lt;D xsi:type="xsd:double"&gt;26.97&lt;/D&gt;&lt;D xsi:type="xsd:double"&gt;26.94&lt;/D&gt;&lt;D xsi:type="xsd:double"&gt;27.25&lt;/D&gt;&lt;D xsi:type="xsd:double"&gt;26.93&lt;/D&gt;&lt;D xsi:type="xsd:double"&gt;26.42&lt;/D&gt;&lt;D xsi:type="xsd:double"&gt;26.73&lt;/D&gt;&lt;D xsi:type="xsd:double"&gt;26.45&lt;/D&gt;&lt;D xsi:type="xsd:double"&gt;26.33&lt;/D&gt;&lt;D xsi:type="xsd:double"&gt;26.45&lt;/D&gt;&lt;D xsi:type="xsd:double"&gt;26.24&lt;/D&gt;&lt;D xsi:type="xsd:double"&gt;25.97&lt;/D&gt;&lt;D xsi:type="xsd:double"&gt;25.65&lt;/D&gt;&lt;D xsi:type="xsd:double"&gt;26.33&lt;/D&gt;&lt;D xsi:type="xsd:double"&gt;26.23&lt;/D&gt;&lt;D xsi:type="xsd:double"&gt;26.03&lt;/D&gt;&lt;D xsi:type="xsd:double"&gt;26.21&lt;/D&gt;&lt;D xsi:type="xsd:double"&gt;26.35&lt;/D&gt;&lt;D xsi:type="xsd:double"&gt;26.27&lt;/D&gt;&lt;D xsi:type="xsd:double"&gt;26&lt;/D&gt;&lt;D xsi:type="xsd:double"&gt;26.42&lt;/D&gt;&lt;D xsi:type="xsd:double"&gt;26.42&lt;/D&gt;&lt;D xsi:type="xsd:double"&gt;26.38&lt;/D&gt;&lt;D xsi:type="xsd:double"&gt;26.04&lt;/D&gt;&lt;D xsi:type="xsd:double"&gt;26.24&lt;/D&gt;&lt;D xsi:type="xsd:double"&gt;26.41&lt;/D&gt;&lt;D xsi:type="xsd:double"&gt;26.13&lt;/D&gt;&lt;D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xsi:type="xsd:double"&gt;24.92&lt;/D&gt;&lt;D xsi:type="xsd:double"&gt;25.06&lt;/D&gt;&lt;D xsi:type="xsd:double"&gt;25.09&lt;/D&gt;&lt;D xsi:type="xsd:double"&gt;25.08&lt;/D&gt;&lt;D xsi:type="xsd:double"&gt;24.94&lt;/D&gt;&lt;D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xsi:type="xsd:double"&gt;27.96&lt;/D&gt;&lt;/FQL&gt;&lt;FQL&gt;&lt;Q&gt;EWA^FG_TOTAL_RETURNC(-5AY,0,AM)&lt;/Q&gt;&lt;R&gt;61&lt;/R&gt;&lt;C&gt;1&lt;/C&gt;&lt;D xsi:type="xsd:double"&gt;0.03979206&lt;/D&gt;&lt;D xsi:type="xsd:double"&gt;1.1933208&lt;/D&gt;&lt;D xsi:type="xsd:double"&gt;2.751565&lt;/D&gt;&lt;D xsi:type="xsd:double"&gt;4.690838&lt;/D&gt;&lt;D xsi:type="xsd:double"&gt;-3.3716202&lt;/D&gt;&lt;D xsi:type="xsd:double"&gt;1.3420224&lt;/D&gt;&lt;D xsi:type="xsd:double"&gt;-2.3836613&lt;/D&gt;&lt;D xsi:type="xsd:double"&gt;-0.6201565&lt;/D&gt;&lt;D xsi:type="xsd:double"&gt;1.677072&lt;/D&gt;&lt;D xsi:type="xsd:double"&gt;-3.1837344&lt;/D&gt;&lt;D xsi:type="xsd:double"&gt;2.5357485&lt;/D&gt;&lt;D xsi:type="xsd:double"&gt;-5.2462935&lt;/D&gt;&lt;D xsi:type="xsd:double"&gt;3.0431032&lt;/D&gt;&lt;D xsi:type="xsd:double"&gt;8.121419&lt;/D&gt;&lt;D xsi:type="xsd:double"&gt;-13.505316&lt;/D&gt;&lt;D xsi:type="xsd:double"&gt;1.3290763&lt;/D&gt;&lt;D xsi:type="xsd:double"&gt;-6.8811417&lt;/D&gt;&lt;D xsi:type="xsd:double"&gt;11.564302&lt;/D&gt;&lt;D xsi:type="xsd:double"&gt;-2.838707&lt;/D&gt;&lt;D xsi:type="xsd:double"&gt;-13.147408&lt;/D&gt;&lt;D xsi:type="xsd:double"&gt;16.207945&lt;/D&gt;&lt;D xsi:type="xsd:double"&gt;1.8421054&lt;/D&gt;&lt;D xsi:type="xsd:double"&gt;4.538107&lt;/D&gt;&lt;D xsi:type="xsd:double"&gt;1.4267683&lt;/D&gt;&lt;D xsi:type="xsd:double"&gt;-7.9437313&lt;/D&gt;&lt;D xsi:type="xsd:double"&gt;5.0786495&lt;/D&gt;&lt;D xsi:type="xsd:double"&gt;-2.0958066&lt;/D&gt;&lt;D xsi:type="xsd:double"&gt;-0.06839037&lt;/D&gt;&lt;D xsi:type="xsd:double"&gt;1.6926408&lt;/D&gt;&lt;D xsi:type="xsd:double"&gt;-2.5405169&lt;/D&gt;&lt;D xsi:type="xsd:double"&gt;-1.1235952&lt;/D&gt;&lt;D xsi:type="xsd:double"&gt;-3.5454571&lt;/D&gt;&lt;D xsi:type="xsd:double"&gt;0.7540107&lt;/D&gt;&lt;D xsi:type="xsd:double"&gt;6.969142&lt;/D&gt;&lt;D xsi:type="xsd:double"&gt;5.8089375&lt;/D&gt;&lt;D xsi:type="xsd:double"&gt;-0.33740997&lt;/D&gt;&lt;D xsi:type="xsd:double"&gt;3.3008933&lt;/D&gt;&lt;D xsi:type="xsd:double"&gt;-2.0893097&lt;/D&gt;&lt;D xsi:type="xsd:double"&gt;2.4267793&lt;/D&gt;&lt;D xsi:type="xsd:double"&gt;1.6154408&lt;/D&gt;&lt;D xsi:type="xsd:double"&gt;5.0409794&lt;/D&gt;&lt;D xsi:type="xsd:double"&gt;-5.384314&lt;/D&gt;&lt;D xsi:type="xsd:double"&gt;7.4226737&lt;/D&gt;&lt;D xsi:type="xsd:double"&gt;1.7274499&lt;/D&gt;&lt;D xsi:type="xsd:double"&gt;-3.773582&lt;/D&gt;&lt;D xsi:type="xsd:double"&gt;-1.1764705&lt;/D&gt;&lt;D xsi:type="xsd:double"&gt;-3.9292395&lt;/D&gt;&lt;D xsi:type="xsd:double"&gt;6.089878&lt;/D&gt;&lt;D xsi:type="xsd:double"&gt;-7.7197194&lt;/D&gt;&lt;D xsi:type="xsd:double"&gt;-2.3166&lt;/D&gt;&lt;D xsi:type="xsd:double"&gt;10.584105&lt;/D&gt;&lt;D xsi:type="xsd:double"&gt;5.7982445&lt;/D&gt;&lt;D xsi:type="xsd:double"&gt;0.455904&lt;/D&gt;&lt;D xsi:type="xsd:double"&gt;2.2761703&lt;/D&gt;&lt;D xsi:type="xsd:double"&gt;1.0385752&lt;/D&gt;&lt;D xsi:type="xsd:double"&gt;-2.936852&lt;/D&gt;&lt;D xsi:type="xsd:double"&gt;0.5295038&lt;/D&gt;&lt;D xsi:type="xsd:double"&gt;-0.22572875&lt;/D&gt;&lt;D xsi:type="xsd:double"&gt;1.4496684&lt;/D&gt;&lt;D xsi:type="xsd:double"&gt;10.018897&lt;/D&gt;&lt;D xsi:type="xsd:double"&gt;-2.3367703&lt;/D&gt;&lt;/FQL&gt;&lt;FQL&gt;&lt;Q&gt;EWZ^FG_PRICE(0,-200D)&lt;/Q&gt;&lt;R&gt;201&lt;/R&gt;&lt;C&gt;1&lt;/C&gt;&lt;D xsi:type="xsd:double"&gt;36.12&lt;/D&gt;&lt;D xsi:type="xsd:double"&gt;37.61&lt;/D&gt;&lt;D xsi:type="xsd:double"&gt;37.53&lt;/D&gt;&lt;D xsi:type="xsd:double"&gt;37.1&lt;/D&gt;&lt;D xsi:type="xsd:double"&gt;36.28&lt;/D&gt;&lt;D xsi:type="xsd:double"&gt;36.36&lt;/D&gt;&lt;D xsi:type="xsd:double"&gt;37.49&lt;/D&gt;&lt;D xsi:type="xsd:double"&gt;36.82&lt;/D&gt;&lt;D xsi:type="xsd:double"&gt;38.64&lt;/D&gt;&lt;D xsi:type="xsd:double"&gt;38.73&lt;/D&gt;&lt;D xsi:type="xsd:double"&gt;39.1&lt;/D&gt;&lt;D xsi:type="xsd:double"&gt;39.59&lt;/D&gt;&lt;D xsi:type="xsd:double"&gt;39.47&lt;/D&gt;&lt;D xsi:type="xsd:double"&gt;38.77&lt;/D&gt;&lt;D xsi:type="xsd:double"&gt;39.37&lt;/D&gt;&lt;D xsi:type="xsd:double"&gt;38.61&lt;/D&gt;&lt;D xsi:type="xsd:double"&gt;38.03&lt;/D&gt;&lt;D xsi:type="xsd:double"&gt;37.74&lt;/D&gt;&lt;D xsi:type="xsd:double"&gt;38.06&lt;/D&gt;&lt;D xsi:type="xsd:double"&gt;38.06&lt;/D&gt;&lt;D xsi:type="xsd:double"&gt;38.49&lt;/D&gt;&lt;D xsi:type="xsd:double"&gt;39.16&lt;/D&gt;&lt;D xsi:type="xsd:double"&gt;38.32&lt;/D&gt;&lt;D xsi:type="xsd:double"&gt;38.42&lt;/D&gt;&lt;D xsi:type="xsd:double"&gt;37.56&lt;/D&gt;&lt;D xsi:type="xsd:double"&gt;36.91&lt;/D&gt;&lt;D xsi:type="xsd:double"&gt;36.98&lt;/D&gt;&lt;D xsi:type="xsd:double"&gt;38.04&lt;/D&gt;&lt;D xsi:type="xsd:double"&gt;37.45&lt;/D&gt;&lt;D xsi:type="xsd:double"&gt;37.04&lt;/D&gt;&lt;D xsi:type="xsd:double"&gt;38.12&lt;/D&gt;&lt;D xsi:type="xsd:double"&gt;38.33&lt;/D&gt;&lt;D xsi:type="xsd:double"&gt;37.89&lt;/D&gt;&lt;D xsi:type="xsd:double"&gt;36.61&lt;/D&gt;&lt;D xsi:type="xsd:double"&gt;36.59&lt;/D&gt;&lt;D xsi:type="xsd:double"&gt;35.95&lt;/D&gt;&lt;D xsi:type="xsd:double"&gt;35.02&lt;/D&gt;&lt;D xsi:type="xsd:double"&gt;33.62&lt;/D&gt;&lt;D xsi:type="xsd:double"&gt;33.17&lt;/D&gt;&lt;D xsi:type="xsd:double"&gt;33.17&lt;/D&gt;&lt;D xsi:type="xsd:double"&gt;33.36&lt;/D&gt;&lt;D xsi:type="xsd:double"&gt;33.16&lt;/D&gt;&lt;D xsi:type="xsd:double"&gt;32.63&lt;/D&gt;&lt;D xsi:type="xsd:double"&gt;32.93&lt;/D&gt;&lt;D xsi:type="xsd:double"&gt;33.06&lt;/D&gt;&lt;D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xsi:type="xsd:double"&gt;31.77&lt;/D&gt;&lt;D xsi:type="xsd:double"&gt;31.99&lt;/D&gt;&lt;D xsi:type="xsd:double"&gt;31.42&lt;/D&gt;&lt;D xsi:type="xsd:double"&gt;31.73&lt;/D&gt;&lt;D xsi:type="xsd:double"&gt;31.55&lt;/D&gt;&lt;D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xsi:type="xsd:double"&gt;27.6&lt;/D&gt;&lt;/FQL&gt;&lt;FQL&gt;&lt;Q&gt;EWN^FG_PRICE(0,-200D)&lt;/Q&gt;&lt;R&gt;201&lt;/R&gt;&lt;C&gt;1&lt;/C&gt;&lt;D xsi:type="xsd:double"&gt;58.96&lt;/D&gt;&lt;D xsi:type="xsd:double"&gt;60.03&lt;/D&gt;&lt;D xsi:type="xsd:double"&gt;59.71&lt;/D&gt;&lt;D xsi:type="xsd:double"&gt;59.23&lt;/D&gt;&lt;D xsi:type="xsd:double"&gt;58.13&lt;/D&gt;&lt;D xsi:type="xsd:double"&gt;59.54&lt;/D&gt;&lt;D xsi:type="xsd:double"&gt;60.74&lt;/D&gt;&lt;D xsi:type="xsd:double"&gt;59.67&lt;/D&gt;&lt;D xsi:type="xsd:double"&gt;61.33&lt;/D&gt;&lt;D xsi:type="xsd:double"&gt;62.8&lt;/D&gt;&lt;D xsi:type="xsd:double"&gt;63.05&lt;/D&gt;&lt;D xsi:type="xsd:double"&gt;63.77&lt;/D&gt;&lt;D xsi:type="xsd:double"&gt;63&lt;/D&gt;&lt;D xsi:type="xsd:double"&gt;62.95&lt;/D&gt;&lt;D xsi:type="xsd:double"&gt;63.18&lt;/D&gt;&lt;D xsi:type="xsd:double"&gt;62.66&lt;/D&gt;&lt;D xsi:type="xsd:double"&gt;62.94&lt;/D&gt;&lt;D xsi:type="xsd:double"&gt;62.23&lt;/D&gt;&lt;D xsi:type="xsd:double"&gt;61.65&lt;/D&gt;&lt;D xsi:type="xsd:double"&gt;61.65&lt;/D&gt;&lt;D xsi:type="xsd:double"&gt;61.53&lt;/D&gt;&lt;D xsi:type="xsd:double"&gt;63.06&lt;/D&gt;&lt;D xsi:type="xsd:double"&gt;63.07&lt;/D&gt;&lt;D xsi:type="xsd:double"&gt;62.99&lt;/D&gt;&lt;D xsi:type="xsd:double"&gt;62.03&lt;/D&gt;&lt;D xsi:type="xsd:double"&gt;60.56&lt;/D&gt;&lt;D xsi:type="xsd:double"&gt;61.07&lt;/D&gt;&lt;D xsi:type="xsd:double"&gt;61.9&lt;/D&gt;&lt;D xsi:type="xsd:double"&gt;62.77&lt;/D&gt;&lt;D xsi:type="xsd:double"&gt;62.27&lt;/D&gt;&lt;D xsi:type="xsd:double"&gt;63.48&lt;/D&gt;&lt;D xsi:type="xsd:double"&gt;63.05&lt;/D&gt;&lt;D xsi:type="xsd:double"&gt;63.7&lt;/D&gt;&lt;D xsi:type="xsd:double"&gt;62.81&lt;/D&gt;&lt;D xsi:type="xsd:double"&gt;62.33&lt;/D&gt;&lt;D xsi:type="xsd:double"&gt;62.14&lt;/D&gt;&lt;D xsi:type="xsd:double"&gt;61.539&lt;/D&gt;&lt;D xsi:type="xsd:double"&gt;60.64&lt;/D&gt;&lt;D xsi:type="xsd:double"&gt;61.91&lt;/D&gt;&lt;D xsi:type="xsd:double"&gt;61.91&lt;/D&gt;&lt;D xsi:type="xsd:double"&gt;61.6&lt;/D&gt;&lt;D xsi:type="xsd:double"&gt;60.67&lt;/D&gt;&lt;D xsi:type="xsd:double"&gt;60.78&lt;/D&gt;&lt;D xsi:type="xsd:double"&gt;61.04&lt;/D&gt;&lt;D xsi:type="xsd:double"&gt;60.4&lt;/D&gt;&lt;D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xsi:type="xsd:double"&gt;57.03&lt;/D&gt;&lt;D xsi:type="xsd:double"&gt;57.227&lt;/D&gt;&lt;D xsi:type="xsd:double"&gt;57&lt;/D&gt;&lt;D xsi:type="xsd:double"&gt;57.16&lt;/D&gt;&lt;D xsi:type="xsd:double"&gt;57.1&lt;/D&gt;&lt;D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xsi:type="xsd:double"&gt;53.36&lt;/D&gt;&lt;/FQL&gt;&lt;FQL&gt;&lt;Q&gt;EWC^FG_PRICE(0,-200D)&lt;/Q&gt;&lt;R&gt;201&lt;/R&gt;&lt;C&gt;1&lt;/C&gt;&lt;D xsi:type="xsd:double"&gt;55.85&lt;/D&gt;&lt;D xsi:type="xsd:double"&gt;56.48&lt;/D&gt;&lt;D xsi:type="xsd:double"&gt;56.7&lt;/D&gt;&lt;D xsi:type="xsd:double"&gt;56.61&lt;/D&gt;&lt;D xsi:type="xsd:double"&gt;56.35&lt;/D&gt;&lt;D xsi:type="xsd:double"&gt;56.91&lt;/D&gt;&lt;D xsi:type="xsd:double"&gt;57.47&lt;/D&gt;&lt;D xsi:type="xsd:double"&gt;57.07&lt;/D&gt;&lt;D xsi:type="xsd:double"&gt;58.16&lt;/D&gt;&lt;D xsi:type="xsd:double"&gt;57.98&lt;/D&gt;&lt;D xsi:type="xsd:double"&gt;58.15&lt;/D&gt;&lt;D xsi:type="xsd:double"&gt;57.59&lt;/D&gt;&lt;D xsi:type="xsd:double"&gt;57.15&lt;/D&gt;&lt;D xsi:type="xsd:double"&gt;56.95&lt;/D&gt;&lt;D xsi:type="xsd:double"&gt;57.16&lt;/D&gt;&lt;D xsi:type="xsd:double"&gt;56.75&lt;/D&gt;&lt;D xsi:type="xsd:double"&gt;56.46&lt;/D&gt;&lt;D xsi:type="xsd:double"&gt;55.86&lt;/D&gt;&lt;D xsi:type="xsd:double"&gt;56.17&lt;/D&gt;&lt;D xsi:type="xsd:double"&gt;56.17&lt;/D&gt;&lt;D xsi:type="xsd:double"&gt;55.26&lt;/D&gt;&lt;D xsi:type="xsd:double"&gt;56.58&lt;/D&gt;&lt;D xsi:type="xsd:double"&gt;56.72&lt;/D&gt;&lt;D xsi:type="xsd:double"&gt;56.27&lt;/D&gt;&lt;D xsi:type="xsd:double"&gt;55.01&lt;/D&gt;&lt;D xsi:type="xsd:double"&gt;54.14&lt;/D&gt;&lt;D xsi:type="xsd:double"&gt;55.01&lt;/D&gt;</t>
        </r>
      </text>
    </comment>
    <comment ref="A5" authorId="0" shapeId="0" xr:uid="{74EBE11D-C885-4115-BA93-F08E3B7C86CE}">
      <text>
        <r>
          <rPr>
            <b/>
            <sz val="9"/>
            <color indexed="81"/>
            <rFont val="Tahoma"/>
            <charset val="1"/>
          </rPr>
          <t>&lt;D xsi:type="xsd:double"&gt;54.84&lt;/D&gt;&lt;D xsi:type="xsd:double"&gt;54.55&lt;/D&gt;&lt;D xsi:type="xsd:double"&gt;54.26&lt;/D&gt;&lt;D xsi:type="xsd:double"&gt;56.53&lt;/D&gt;&lt;D xsi:type="xsd:double"&gt;56.35&lt;/D&gt;&lt;D xsi:type="xsd:double"&gt;56.18&lt;/D&gt;&lt;D xsi:type="xsd:double"&gt;55.69&lt;/D&gt;&lt;D xsi:type="xsd:double"&gt;55.77&lt;/D&gt;&lt;D xsi:type="xsd:double"&gt;55.2&lt;/D&gt;&lt;D xsi:type="xsd:double"&gt;55.02&lt;/D&gt;&lt;D xsi:type="xsd:double"&gt;54.75&lt;/D&gt;&lt;D xsi:type="xsd:double"&gt;55.13&lt;/D&gt;&lt;D xsi:type="xsd:double"&gt;55.13&lt;/D&gt;&lt;D xsi:type="xsd:double"&gt;55.22&lt;/D&gt;&lt;D xsi:type="xsd:double"&gt;55.18&lt;/D&gt;&lt;D xsi:type="xsd:double"&gt;55.12&lt;/D&gt;&lt;D xsi:type="xsd:double"&gt;55.09&lt;/D&gt;&lt;D xsi:type="xsd:double"&gt;54.63&lt;/D&gt;&lt;D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xsi:type="xsd:double"&gt;53.93&lt;/D&gt;&lt;D xsi:type="xsd:double"&gt;54.3&lt;/D&gt;&lt;D xsi:type="xsd:double"&gt;54.33&lt;/D&gt;&lt;D xsi:type="xsd:double"&gt;54.8&lt;/D&gt;&lt;D xsi:type="xsd:double"&gt;54.6&lt;/D&gt;&lt;D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xsi:type="xsd:double"&gt;45.32&lt;/D&gt;&lt;/FQL&gt;&lt;FQL&gt;&lt;Q&gt;QAT^FG_PRICE(0,-200D)&lt;/Q&gt;&lt;R&gt;201&lt;/R&gt;&lt;C&gt;1&lt;/C&gt;&lt;D xsi:type="xsd:double"&gt;18.7&lt;/D&gt;&lt;D xsi:type="xsd:double"&gt;18.8&lt;/D&gt;&lt;D xsi:type="xsd:double"&gt;18.93&lt;/D&gt;&lt;D xsi:type="xsd:double"&gt;18.81&lt;/D&gt;&lt;D xsi:type="xsd:double"&gt;18.75&lt;/D&gt;&lt;D xsi:type="xsd:double"&gt;18.86&lt;/D&gt;&lt;D xsi:type="xsd:double"&gt;18.89&lt;/D&gt;&lt;D xsi:type="xsd:double"&gt;19.01&lt;/D&gt;&lt;D xsi:type="xsd:double"&gt;18.87&lt;/D&gt;&lt;D xsi:type="xsd:double"&gt;19.46&lt;/D&gt;&lt;D xsi:type="xsd:double"&gt;19.52&lt;/D&gt;&lt;D xsi:type="xsd:double"&gt;19.89&lt;/D&gt;&lt;D xsi:type="xsd:double"&gt;19.99&lt;/D&gt;&lt;D xsi:type="xsd:double"&gt;19.92&lt;/D&gt;&lt;D xsi:type="xsd:double"&gt;19.845&lt;/D&gt;&lt;D xsi:type="xsd:double"&gt;19.8556&lt;/D&gt;&lt;D xsi:type="xsd:double"&gt;20.115&lt;/D&gt;&lt;D xsi:type="xsd:double"&gt;19.98&lt;/D&gt;&lt;D xsi:type="xsd:double"&gt;20.0967&lt;/D&gt;&lt;D xsi:type="xsd:double"&gt;20.0967&lt;/D&gt;&lt;D xsi:type="xsd:double"&gt;20.075&lt;/D&gt;&lt;D xsi:type="xsd:double"&gt;20.125&lt;/D&gt;&lt;D xsi:type="xsd:double"&gt;20.095&lt;/D&gt;&lt;D xsi:type="xsd:double"&gt;20.1&lt;/D&gt;&lt;D xsi:type="xsd:double"&gt;19.94&lt;/D&gt;&lt;D xsi:type="xsd:double"&gt;19.82&lt;/D&gt;&lt;D xsi:type="xsd:double"&gt;19.96&lt;/D&gt;&lt;D xsi:type="xsd:double"&gt;19.9169&lt;/D&gt;&lt;D xsi:type="xsd:double"&gt;19.97&lt;/D&gt;&lt;D xsi:type="xsd:double"&gt;19.71&lt;/D&gt;&lt;D xsi:type="xsd:double"&gt;19.82&lt;/D&gt;&lt;D xsi:type="xsd:double"&gt;20&lt;/D&gt;&lt;D xsi:type="xsd:double"&gt;19.94&lt;/D&gt;&lt;D xsi:type="xsd:double"&gt;19.937&lt;/D&gt;&lt;D xsi:type="xsd:double"&gt;19.82&lt;/D&gt;&lt;D xsi:type="xsd:double"&gt;19.9&lt;/D&gt;&lt;D xsi:type="xsd:double"&gt;19.71&lt;/D&gt;&lt;D xsi:type="xsd:double"&gt;19.71&lt;/D&gt;&lt;D xsi:type="xsd:double"&gt;19.46&lt;/D&gt;&lt;D xsi:type="xsd:double"&gt;19.46&lt;/D&gt;&lt;D xsi:type="xsd:double"&gt;19.425&lt;/D&gt;&lt;D xsi:type="xsd:double"&gt;19.6596&lt;/D&gt;&lt;D xsi:type="xsd:double"&gt;19.71&lt;/D&gt;&lt;D xsi:type="xsd:double"&gt;19.6099&lt;/D&gt;&lt;D xsi:type="xsd:double"&gt;19.36&lt;/D&gt;&lt;D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xsi:type="xsd:double"&gt;18.78&lt;/D&gt;&lt;/FQL&gt;&lt;FQL&gt;&lt;Q&gt;EWT^FG_PRICE(0,-200D)&lt;/Q&gt;&lt;R&gt;201&lt;/R&gt;&lt;C&gt;1&lt;/C&gt;&lt;D xsi:type="xsd:double"&gt;69.76&lt;/D&gt;&lt;D xsi:type="xsd:double"&gt;71.91&lt;/D&gt;&lt;D xsi:type="xsd:double"&gt;70.44&lt;/D&gt;&lt;D xsi:type="xsd:double"&gt;70.76&lt;/D&gt;&lt;D xsi:type="xsd:double"&gt;69.52&lt;/D&gt;&lt;D xsi:type="xsd:double"&gt;70.4&lt;/D&gt;&lt;D xsi:type="xsd:double"&gt;71.62&lt;/D&gt;&lt;D xsi:type="xsd:double"&gt;71.29&lt;/D&gt;&lt;D xsi:type="xsd:double"&gt;75.07&lt;/D&gt;&lt;D xsi:type="xsd:double"&gt;75.67&lt;/D&gt;&lt;D xsi:type="xsd:double"&gt;76.14&lt;/D&gt;&lt;D xsi:type="xsd:double"&gt;77.06&lt;/D&gt;&lt;D xsi:type="xsd:double"&gt;75.73&lt;/D&gt;&lt;D xsi:type="xsd:double"&gt;73.18&lt;/D&gt;&lt;D xsi:type="xsd:double"&gt;74.38&lt;/D&gt;&lt;D xsi:type="xsd:double"&gt;72.67&lt;/D&gt;&lt;D xsi:type="xsd:double"&gt;72.98&lt;/D&gt;&lt;D xsi:type="xsd:double"&gt;72.89&lt;/D&gt;&lt;D xsi:type="xsd:double"&gt;73.05&lt;/D&gt;&lt;D xsi:type="xsd:double"&gt;73.05&lt;/D&gt;&lt;D xsi:type="xsd:double"&gt;72.56&lt;/D&gt;&lt;D xsi:type="xsd:double"&gt;73.35&lt;/D&gt;&lt;D xsi:type="xsd:double"&gt;71.44&lt;/D&gt;&lt;D xsi:type="xsd:double"&gt;70.76&lt;/D&gt;&lt;D xsi:type="xsd:double"&gt;70.05&lt;/D&gt;&lt;D xsi:type="xsd:double"&gt;67.86&lt;/D&gt;&lt;D xsi:type="xsd:double"&gt;68.15&lt;/D&gt;&lt;D xsi:type="xsd:double"&gt;68.83&lt;/D&gt;&lt;D xsi:type="xsd:double"&gt;68.94&lt;/D&gt;&lt;D xsi:type="xsd:double"&gt;68.06&lt;/D&gt;&lt;D xsi:type="xsd:double"&gt;69.83&lt;/D&gt;&lt;D xsi:type="xsd:double"&gt;71.19&lt;/D&gt;&lt;D xsi:type="xsd:double"&gt;71.32&lt;/D&gt;&lt;D xsi:type="xsd:double"&gt;69.94&lt;/D&gt;&lt;D xsi:type="xsd:double"&gt;69.71&lt;/D&gt;&lt;D xsi:type="xsd:double"&gt;68.25&lt;/D&gt;&lt;D xsi:type="xsd:double"&gt;67.45&lt;/D&gt;&lt;D xsi:type="xsd:double"&gt;66.54&lt;/D&gt;&lt;D xsi:type="xsd:double"&gt;67.34&lt;/D&gt;&lt;D xsi:type="xsd:double"&gt;67.34&lt;/D&gt;&lt;D xsi:type="xsd:double"&gt;67.29&lt;/D&gt;&lt;D xsi:type="xsd:double"&gt;66.51&lt;/D&gt;&lt;D xsi:type="xsd:double"&gt;66.1&lt;/D&gt;&lt;D xsi:type="xsd:double"&gt;66.62&lt;/D&gt;&lt;D xsi:type="xsd:double"&gt;65.92&lt;/D&gt;&lt;D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xsi:type="xsd:double"&gt;63.53&lt;/D&gt;&lt;D xsi:type="xsd:double"&gt;63.71&lt;/D&gt;&lt;D xsi:type="xsd:double"&gt;63.33&lt;/D&gt;&lt;D xsi:type="xsd:double"&gt;63.02&lt;/D&gt;&lt;D xsi:type="xsd:double"&gt;62.53&lt;/D&gt;&lt;D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xsi:type="xsd:double"&gt;53.74&lt;/D&gt;&lt;/FQL&gt;&lt;FQL&gt;&lt;Q&gt;CNYA^JULIAN(FG_PRICE(0,-200D).DATES)&lt;/Q&gt;&lt;R&gt;201&lt;/R&gt;&lt;C&gt;1&lt;/C&gt;&lt;D xsi:type="xsd:long"&gt;46093&lt;/D&gt;&lt;D xsi:type="xsd:long"&gt;46092&lt;/D&gt;&lt;D xsi:type="xsd:long"&gt;46091&lt;/D&gt;&lt;D xsi:type="xsd:long"&gt;46090&lt;/D&gt;&lt;D xsi:type="xsd:long"&gt;46087&lt;/D&gt;&lt;D xsi:type="xsd:long"&gt;46086&lt;/D&gt;&lt;D xsi:type="xsd:long"&gt;46085&lt;/D&gt;&lt;D xsi:type="xsd:long"&gt;46084&lt;/D&gt;&lt;D xsi:type="xsd:long"&gt;46083&lt;/D&gt;&lt;D xsi:type="xsd:long"&gt;46080&lt;/D&gt;&lt;D xsi:type="xsd:long"&gt;46079&lt;/D&gt;&lt;D xsi:type="xsd:long"&gt;46078&lt;/D&gt;&lt;D xsi:type="xsd:long"&gt;46077&lt;/D&gt;&lt;D xsi:type="xsd:long"&gt;46076&lt;/D&gt;&lt;D xsi:type="xsd:long"&gt;46073&lt;/D&gt;&lt;D xsi:type="xsd:long"&gt;46072&lt;/D&gt;&lt;D xsi:type="xsd:long"&gt;46071&lt;/D&gt;&lt;D xsi:type="xsd:long"&gt;46070&lt;/D&gt;&lt;D xsi:type="xsd:long"&gt;46069&lt;/D&gt;&lt;D xsi:type="xsd:long"&gt;46066&lt;/D&gt;&lt;D xsi:type="xsd:long"&gt;46065&lt;/D&gt;&lt;D xsi:type="xsd:long"&gt;46064&lt;/D&gt;&lt;D xsi:type="xsd:long"&gt;46063&lt;/D&gt;&lt;D xsi:type="xsd:long"&gt;46062&lt;/D&gt;&lt;D xsi:type="xsd:long"&gt;46059&lt;/D&gt;&lt;D xsi:type="xsd:long"&gt;46058&lt;/D&gt;&lt;D xsi:type="xsd:long"&gt;46057&lt;/D&gt;&lt;D xsi:type="xsd:long"&gt;46056&lt;/D&gt;&lt;D xsi:type="xsd:long"&gt;46055&lt;/D&gt;&lt;D xsi:type="xsd:long"&gt;46052&lt;/D&gt;&lt;D xsi:type="xsd:long"&gt;46051&lt;/D&gt;&lt;D xsi:type="xsd:long"&gt;46050&lt;/D&gt;&lt;D xsi:type="xsd:long"&gt;46049&lt;/D&gt;&lt;D xsi:type="xsd:long"&gt;46048&lt;/D&gt;&lt;D xsi:type="xsd:long"&gt;46045&lt;/D&gt;&lt;D xsi:type="xsd:long"&gt;46044&lt;/D&gt;&lt;D xsi:type="xsd:long"&gt;46043&lt;/D&gt;&lt;D xsi:type="xsd:long"&gt;46042&lt;/D&gt;&lt;D xsi:type="xsd:long"&gt;46041&lt;/D&gt;&lt;D xsi:type="xsd:long"&gt;46038&lt;/D&gt;&lt;D xsi:type="xsd:long"&gt;46037&lt;/D&gt;&lt;D xsi:type="xsd:long"&gt;46036&lt;/D&gt;&lt;D xsi:type="xsd:long"&gt;46035&lt;/D&gt;&lt;D xsi:type="xsd:long"&gt;46034&lt;/D&gt;&lt;D xsi:type="xsd:long"&gt;46031&lt;/D&gt;&lt;D xsi:type="xsd:long"&gt;46030&lt;/D&gt;&lt;D xsi:type="xsd:long"&gt;46029&lt;/D&gt;&lt;D xsi:type="xsd:long"&gt;46028&lt;/D&gt;&lt;D xsi:type="xsd:long"&gt;46027&lt;/D&gt;&lt;D xsi:type="xsd:long"&gt;46024&lt;/D&gt;&lt;D xsi:type="xsd:long"&gt;46023&lt;/D&gt;&lt;D xsi:type="xsd:long"&gt;46022&lt;/D&gt;&lt;D xsi:type="xsd:long"&gt;46021&lt;/D&gt;&lt;D xsi:type="xsd:long"&gt;46020&lt;/D&gt;&lt;D xsi:type="xsd:long"&gt;46017&lt;/D&gt;&lt;D xsi:type="xsd:long"&gt;46016&lt;/D&gt;&lt;D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xsi:type="xsd:long"&gt;45988&lt;/D&gt;&lt;D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xsi:type="xsd:long"&gt;45901&lt;/D&gt;&lt;D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xsi:type="xsd:long"&gt;45842&lt;/D&gt;&lt;D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xsi:type="xsd:long"&gt;45827&lt;/D&gt;&lt;D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xsi:type="xsd:long"&gt;45813&lt;/D&gt;&lt;/FQL&gt;&lt;FQL&gt;&lt;Q&gt;EWL^FG_TOTAL_RETURNC(-5AY,0,AM)&lt;/Q&gt;&lt;R&gt;61&lt;/R&gt;&lt;C&gt;1&lt;/C&gt;&lt;D xsi:type="xsd:double"&gt;-3.1084657&lt;/D&gt;&lt;D xsi:type="xsd:double"&gt;4.596138&lt;/D&gt;&lt;D xsi:type="xsd:double"&gt;0.32629967&lt;/D&gt;&lt;D xsi:type="xsd:double"&gt;9.617508&lt;/D&gt;&lt;D xsi:type="xsd:double"&gt;-0.02014041&lt;/D&gt;&lt;D xsi:type="xsd:double"&gt;1.8134117&lt;/D&gt;&lt;D xsi:type="xsd:double"&gt;-2.2560835&lt;/D&gt;&lt;D xsi:type="xsd:double"&gt;-4.2316256&lt;/D&gt;&lt;D xsi:type="xsd:double"&gt;7.9704046&lt;/D&gt;&lt;D xsi:type="xsd:double"&gt;0.33288002&lt;/D&gt;&lt;D xsi:type="xsd:double"&gt;0.8391857&lt;/D&gt;&lt;D xsi:type="xsd:double"&gt;-5.844778&lt;/D&gt;&lt;D xsi:type="xsd:double"&gt;-7.173693&lt;/D&gt;&lt;D xsi:type="xsd:double"&gt;9.189547&lt;/D&gt;&lt;D xsi:type="xsd:double"&gt;-12.81687&lt;/D&gt;&lt;D xsi:type="xsd:double"&gt;-2.3745835&lt;/D&gt;&lt;D xsi:type="xsd:double"&gt;0.19450188&lt;/D&gt;&lt;D xsi:type="xsd:double"&gt;6.7702055&lt;/D&gt;&lt;D xsi:type="xsd:double"&gt;-4.318184&lt;/D&gt;&lt;D xsi:type="xsd:double"&gt;-12.32779&lt;/D&gt;&lt;D xsi:type="xsd:double"&gt;17.339479999999998&lt;/D&gt;&lt;D xsi:type="xsd:double"&gt;-1.1313796&lt;/D&gt;&lt;D xsi:type="xsd:double"&gt;3.8066387&lt;/D&gt;&lt;D xsi:type="xsd:double"&gt;-0.26996136&lt;/D&gt;&lt;D xsi:type="xsd:double"&gt;-3.3386052&lt;/D&gt;&lt;D xsi:type="xsd:double"&gt;9.05484&lt;/D&gt;&lt;D xsi:type="xsd:double"&gt;3.4667253&lt;/D&gt;&lt;D xsi:type="xsd:double"&gt;-3.3166647&lt;/D&gt;&lt;D xsi:type="xsd:double"&gt;1.9466281&lt;/D&gt;&lt;D xsi:type="xsd:double"&gt;-0.23600459&lt;/D&gt;&lt;D xsi:type="xsd:double"&gt;-2.838707&lt;/D&gt;&lt;D xsi:type="xsd:double"&gt;-2.6339054&lt;/D&gt;&lt;D xsi:type="xsd:double"&gt;-2.09139&lt;/D&gt;&lt;D xsi:type="xsd:double"&gt;7.8244686&lt;/D&gt;&lt;D xsi:type="xsd:double"&gt;3.1007767&lt;/D&gt;&lt;D xsi:type="xsd:double"&gt;-2.7986646&lt;/D&gt;&lt;D xsi:type="xsd:double"&gt;4.7056317&lt;/D&gt;&lt;D xsi:type="xsd:double"&gt;-6.484711&lt;/D&gt;&lt;D xsi:type="xsd:double"&gt;5.2007914&lt;/D&gt;&lt;D xsi:type="xsd:double"&gt;4.440403&lt;/D&gt;&lt;D xsi:type="xsd:double"&gt;1.4885783&lt;/D&gt;&lt;D xsi:type="xsd:double"&gt;-0.5224049&lt;/D&gt;&lt;D xsi:type="xsd:double"&gt;3.1508803&lt;/D&gt;&lt;D xsi:type="xsd:double"&gt;0.7832408&lt;/D&gt;&lt;D xsi:type="xsd:double"&gt;-7.072079&lt;/D&gt;&lt;D xsi:type="xsd:double"&gt;-1.2962639&lt;/D&gt;&lt;D xsi:type="xsd:double"&gt;-1.6945541&lt;/D&gt;&lt;D xsi:type="xsd:double"&gt;8.209443&lt;/D&gt;&lt;D xsi:type="xsd:double"&gt;4.360807&lt;/D&gt;&lt;D xsi:type="xsd:double"&gt;-2.594924&lt;/D&gt;&lt;D xsi:type="xsd:double"&gt;4.857981&lt;/D&gt;&lt;D xsi:type="xsd:double"&gt;5.1186323&lt;/D&gt;&lt;D xsi:type="xsd:double"&gt;-0.9401202&lt;/D&gt;&lt;D xsi:type="xsd:double"&gt;-1.6270578&lt;/D&gt;&lt;D xsi:type="xsd:double"&gt;3.419435&lt;/D&gt;&lt;D xsi:type="xsd:double"&gt;0.80862045&lt;/D&gt;&lt;D xsi:type="xsd:double"&gt;3.493762&lt;/D&gt;&lt;D xsi:type="xsd:double"&gt;0.5339265&lt;/D&gt;&lt;D xsi:type="xsd:double"&gt;3.8718581&lt;/D&gt;&lt;D xsi:type="xsd:double"&gt;4.6676517&lt;/D&gt;&lt;D xsi:type="xsd:double"&gt;-6.460762&lt;/D&gt;&lt;/FQL&gt;&lt;FQL&gt;&lt;Q&gt;UAE^FG_TOTAL_RETURNC(-5AY,0,AM)&lt;/Q&gt;&lt;R&gt;61&lt;/R&gt;&lt;C&gt;1&lt;/C&gt;&lt;D xsi:type="xsd:double"&gt;0.87685585&lt;/D&gt;&lt;D xsi:type="xsd:double"&gt;1.5117168&lt;/D&gt;&lt;D xsi:type="xsd:double"&gt;2.084887&lt;/D&gt;&lt;D xsi:type="xsd:double"&gt;9.625948&lt;/D&gt;&lt;D xsi:type="xsd:double"&gt;-3.030306&lt;/D&gt;&lt;D xsi:type="xsd:double"&gt;2.414775&lt;/D&gt;&lt;D xsi:type="xsd:double"&gt;5.4091573&lt;/D&gt;&lt;D xsi:type="xsd:double"&gt;-4.0355206&lt;/D&gt;&lt;D xsi:type="xsd:double"&gt;10.512388&lt;/D&gt;&lt;D xsi:type="xsd:double"&gt;7.320094&lt;/D&gt;&lt;D xsi:type="xsd:double"&gt;-5.015129&lt;/D&gt;&lt;D xsi:type="xsd:double"&gt;5.409026&lt;/D&gt;&lt;D xsi:type="xsd:double"&gt;6.4553857&lt;/D&gt;&lt;D xsi:type="xsd:double"&gt;5.796039&lt;/D&gt;&lt;D xsi:type="xsd:double"&gt;-13.346613&lt;/D&gt;&lt;D xsi:type="xsd:double"&gt;-0.13102889&lt;/D&gt;&lt;D xsi:type="xsd:double"&gt;-5.665028&lt;/D&gt;&lt;D xsi:type="xsd:double"&gt;10.966063&lt;/D&gt;&lt;D xsi:type="xsd:double"&gt;-7.2352886&lt;/D&gt;&lt;D xsi:type="xsd:double"&gt;-4.8192797&lt;/D&gt;&lt;D xsi:type="xsd:double"&gt;7.1285844&lt;/D&gt;&lt;D xsi:type="xsd:double"&gt;-6.50124&lt;/D&gt;&lt;D xsi:type="xsd:double"&gt;-0.41239858&lt;/D&gt;&lt;D xsi:type="xsd:double"&gt;1.1211514&lt;/D&gt;&lt;D xsi:type="xsd:double"&gt;-4.4183373&lt;/D&gt;&lt;D xsi:type="xsd:double"&gt;1.1772871&lt;/D&gt;&lt;D xsi:type="xsd:double"&gt;1.300478&lt;/D&gt;&lt;D xsi:type="xsd:double"&gt;-0.6793618&lt;/D&gt;&lt;D xsi:type="xsd:double"&gt;5.241084&lt;/D&gt;&lt;D xsi:type="xsd:double"&gt;1.2616158&lt;/D&gt;&lt;D xsi:type="xsd:double"&gt;-1.311475&lt;/D&gt;&lt;D xsi:type="xsd:double"&gt;-3.3887029&lt;/D&gt;&lt;D xsi:type="xsd:double"&gt;1.5818477&lt;/D&gt;&lt;D xsi:type="xsd:double"&gt;-2.437377&lt;/D&gt;&lt;D xsi:type="xsd:double"&gt;6.2410474&lt;/D&gt;&lt;D xsi:type="xsd:double"&gt;-3.7120342&lt;/D&gt;&lt;D xsi:type="xsd:double"&gt;-0.99485517&lt;/D&gt;&lt;D xsi:type="xsd:double"&gt;0.0020742416&lt;/D&gt;&lt;D xsi:type="xsd:double"&gt;0.20689964&lt;/D&gt;&lt;D xsi:type="xsd:double"&gt;-4.217595&lt;/D&gt;&lt;D xsi:type="xsd:double"&gt;4.854369&lt;/D&gt;&lt;D xsi:type="xsd:double"&gt;2.9914498&lt;/D&gt;&lt;D xsi:type="xsd:double"&gt;3.4578204&lt;/D&gt;&lt;D xsi:type="xsd:double"&gt;-1.3368964&lt;/D&gt;&lt;D xsi:type="xsd:double"&gt;4.6747923&lt;/D&gt;&lt;D xsi:type="xsd:double"&gt;-0.3669858&lt;/D&gt;&lt;D xsi:type="xsd:double"&gt;8.092833&lt;/D&gt;&lt;D xsi:type="xsd:double"&gt;5.655825&lt;/D&gt;&lt;D xsi:type="xsd:double"&gt;-4.441905&lt;/D&gt;&lt;D xsi:type="xsd:double"&gt;-1.6090631&lt;/D&gt;&lt;D xsi:type="xsd:double"&gt;9.812223&lt;/D&gt;&lt;D xsi:type="xsd:double"&gt;1.4616728&lt;/D&gt;&lt;D xsi:type="xsd:double"&gt;7.974887&lt;/D&gt;&lt;D xsi:type="xsd:double"&gt;4.893291&lt;/D&gt;&lt;D xsi:type="xsd:double"&gt;-4.8635187&lt;/D&gt;&lt;D xsi:type="xsd:double"&gt;-0.88680387&lt;/D&gt;&lt;D xsi:type="xsd:double"&gt;2.526319&lt;/D&gt;&lt;D xsi:type="xsd:double"&gt;-0.6673455&lt;/D&gt;&lt;D xsi:type="xsd:double"&gt;2.0225883&lt;/D&gt;&lt;D xsi:type="xsd:double"&gt;11.9693165&lt;/D&gt;&lt;D xsi:type="xsd:double"&gt;-18.273186&lt;/D&gt;&lt;/FQL&gt;&lt;FQL&gt;&lt;Q&gt;EWZ^FG_TOTAL_RETURNC(-5AY,0,AM)&lt;/Q&gt;&lt;R&gt;61&lt;/R&gt;&lt;C&gt;1&lt;/C&gt;&lt;D xsi:type="xsd:double"&gt;-7.604766&lt;/D&gt;&lt;D xsi:type="xsd:double"&gt;0.6909013&lt;/D&gt;&lt;D xsi:type="xsd:double"&gt;9.486877&lt;/D&gt;&lt;D xsi:type="xsd:double"&gt;11.490547&lt;/D&gt;&lt;D xsi:type="xsd:double"&gt;-2.2580624&lt;/D&gt;&lt;D xsi:type="xsd:double"&gt;-6.47372&lt;/D&gt;&lt;D xsi:type="xsd:double"&gt;-6.0803533&lt;/D&gt;&lt;D xsi:type="xsd:double"&gt;-7.3699417&lt;/D&gt;&lt;D xsi:type="xsd:double"&gt;-3.7129462&lt;/D&gt;&lt;D xsi:type="xsd:double"&gt;-0.58327913&lt;/D&gt;&lt;D xsi:type="xsd:double"&gt;1.1823416&lt;/D&gt;&lt;D xsi:type="xsd:double"&gt;12.720966&lt;/D&gt;&lt;D xsi:type="xsd:double"&gt;2.613771&lt;/D&gt;&lt;D xsi:type="xsd:double"&gt;12.526226&lt;/D&gt;&lt;D xsi:type="xsd:double"&gt;-17.203724&lt;/D&gt;&lt;D xsi:type="xsd:double"&gt;2.8751373&lt;/D&gt;&lt;D xsi:type="xsd:double"&gt;-14.379305&lt;/D&gt;&lt;D xsi:type="xsd:double"&gt;22.379494&lt;/D&gt;&lt;D xsi:type="xsd:double"&gt;0.5314112&lt;/D&gt;&lt;D xsi:type="xsd:double"&gt;-2.4564624&lt;/D&gt;&lt;D xsi:type="xsd:double"&gt;-2.3270667&lt;/D&gt;&lt;D xsi:type="xsd:double"&gt;-4.960829&lt;/D&gt;&lt;D xsi:type="xsd:double"&gt;9.883714&lt;/D&gt;&lt;D xsi:type="xsd:double"&gt;-5.4826736&lt;/D&gt;&lt;D xsi:type="xsd:double"&gt;-3.8434148&lt;/D&gt;&lt;D xsi:type="xsd:double"&gt;8.771276&lt;/D&gt;&lt;D xsi:type="xsd:double"&gt;1.3950348&lt;/D&gt;&lt;D xsi:type="xsd:double"&gt;9.055567&lt;/D&gt;&lt;D xsi:type="xsd:double"&gt;0.94578266&lt;/D&gt;&lt;D xsi:type="xsd:double"&gt;-1.4053762&lt;/D&gt;&lt;D xsi:type="xsd:double"&gt;-0.38010478&lt;/D&gt;&lt;D xsi:type="xsd:double"&gt;-4.1971445&lt;/D&gt;&lt;D xsi:type="xsd:double"&gt;7.534027&lt;/D&gt;&lt;D xsi:type="xsd:double"&gt;3.1481385&lt;/D&gt;&lt;D xsi:type="xsd:double"&gt;6.466818&lt;/D&gt;&lt;D xsi:type="xsd:double"&gt;-3.2615006&lt;/D&gt;&lt;D xsi:type="xsd:double"&gt;-2.0168602&lt;/D&gt;&lt;D xsi:type="xsd:double"&gt;-3.9324105&lt;/D&gt;&lt;D xsi:type="xsd:double"&gt;1.0873079&lt;/D&gt;&lt;D xsi:type="xsd:double"&gt;-10.995472&lt;/D&gt;&lt;D xsi:type="xsd:double"&gt;7.0117474&lt;/D&gt;&lt;D xsi:type="xsd:double"&gt;0.9605527&lt;/D&gt;&lt;D xsi:type="xsd:double"&gt;-0.5096853&lt;/D&gt;&lt;D xsi:type="xsd</t>
        </r>
      </text>
    </comment>
    <comment ref="A6" authorId="0" shapeId="0" xr:uid="{9E8020D7-43E9-4772-A909-B138D415A771}">
      <text>
        <r>
          <rPr>
            <b/>
            <sz val="9"/>
            <color indexed="81"/>
            <rFont val="Tahoma"/>
            <charset val="1"/>
          </rPr>
          <t>:double"&gt;-3.2786906&lt;/D&gt;&lt;D xsi:type="xsd:double"&gt;-2.2245705&lt;/D&gt;&lt;D xsi:type="xsd:double"&gt;-7.0783734&lt;/D&gt;&lt;D xsi:type="xsd:double"&gt;-7.802689&lt;/D&gt;&lt;D xsi:type="xsd:double"&gt;11.679149&lt;/D&gt;&lt;D xsi:type="xsd:double"&gt;-3.3938468&lt;/D&gt;&lt;D xsi:type="xsd:double"&gt;0.85784197&lt;/D&gt;&lt;D xsi:type="xsd:double"&gt;11.340618&lt;/D&gt;&lt;D xsi:type="xsd:double"&gt;2.400875&lt;/D&gt;&lt;D xsi:type="xsd:double"&gt;-0.42275786&lt;/D&gt;&lt;D xsi:type="xsd:double"&gt;3.1238556&lt;/D&gt;&lt;D xsi:type="xsd:double"&gt;5.7766914&lt;/D&gt;&lt;D xsi:type="xsd:double"&gt;-4.129201&lt;/D&gt;&lt;D xsi:type="xsd:double"&gt;15.387285&lt;/D&gt;&lt;D xsi:type="xsd:double"&gt;0.30101538&lt;/D&gt;&lt;D xsi:type="xsd:double"&gt;2.3795366&lt;/D&gt;&lt;D xsi:type="xsd:double"&gt;16.884304&lt;/D&gt;&lt;D xsi:type="xsd:double"&gt;-6.1574516&lt;/D&gt;&lt;/FQL&gt;&lt;FQL&gt;&lt;Q&gt;EIDO^FG_TOTAL_RETURNC(-5AY,0,AM)&lt;/Q&gt;&lt;R&gt;61&lt;/R&gt;&lt;C&gt;1&lt;/C&gt;&lt;D xsi:type="xsd:double"&gt;-3.638643&lt;/D&gt;&lt;D xsi:type="xsd:double"&gt;-8.376736&lt;/D&gt;&lt;D xsi:type="xsd:double"&gt;0.7105589&lt;/D&gt;&lt;D xsi:type="xsd:double"&gt;5.321026&lt;/D&gt;&lt;D xsi:type="xsd:double"&gt;-8.31461&lt;/D&gt;&lt;D xsi:type="xsd:double"&gt;0.98040104&lt;/D&gt;&lt;D xsi:type="xsd:double"&gt;3.7378669&lt;/D&gt;&lt;D xsi:type="xsd:double"&gt;10.809541&lt;/D&gt;&lt;D xsi:type="xsd:double"&gt;1.0979772&lt;/D&gt;&lt;D xsi:type="xsd:double"&gt;-1.879704&lt;/D&gt;&lt;D xsi:type="xsd:double"&gt;0.83522797&lt;/D&gt;&lt;D xsi:type="xsd:double"&gt;1.0204077&lt;/D&gt;&lt;D xsi:type="xsd:double"&gt;2.525258&lt;/D&gt;&lt;D xsi:type="xsd:double"&gt;0.77996254&lt;/D&gt;&lt;D xsi:type="xsd:double"&gt;-6.517303&lt;/D&gt;&lt;D xsi:type="xsd:double"&gt;2.7802825&lt;/D&gt;&lt;D xsi:type="xsd:double"&gt;-6.4918337&lt;/D&gt;&lt;D xsi:type="xsd:double"&gt;11.4482765&lt;/D&gt;&lt;D xsi:type="xsd:double"&gt;1.4438987&lt;/D&gt;&lt;D xsi:type="xsd:double"&gt;-5.815375&lt;/D&gt;&lt;D xsi:type="xsd:double"&gt;2.5474906&lt;/D&gt;&lt;D xsi:type="xsd:double"&gt;-4.168421&lt;/D&gt;&lt;D xsi:type="xsd:double"&gt;-1.0318935&lt;/D&gt;&lt;D xsi:type="xsd:double"&gt;4.9327374&lt;/D&gt;&lt;D xsi:type="xsd:double"&gt;-5.5128155&lt;/D&gt;&lt;D xsi:type="xsd:double"&gt;7.6435924&lt;/D&gt;&lt;D xsi:type="xsd:double"&gt;-1.0084033&lt;/D&gt;&lt;D xsi:type="xsd:double"&gt;1.8567443&lt;/D&gt;&lt;D xsi:type="xsd:double"&gt;0.68056583&lt;/D&gt;&lt;D xsi:type="xsd:double"&gt;-3.168565&lt;/D&gt;&lt;D xsi:type="xsd:double"&gt;-0.47993064&lt;/D&gt;&lt;D xsi:type="xsd:double"&gt;-4.7786055&lt;/D&gt;&lt;D xsi:type="xsd:double"&gt;-3.4530401&lt;/D&gt;&lt;D xsi:type="xsd:double"&gt;2.1459222&lt;/D&gt;&lt;D xsi:type="xsd:double"&gt;6.5500736&lt;/D&gt;&lt;D xsi:type="xsd:double"&gt;0.04416704&lt;/D&gt;&lt;D xsi:type="xsd:double"&gt;1.147902&lt;/D&gt;&lt;D xsi:type="xsd:double"&gt;-6.329119&lt;/D&gt;&lt;D xsi:type="xsd:double"&gt;-4.5666337&lt;/D&gt;&lt;D xsi:type="xsd:double"&gt;-4.419512&lt;/D&gt;&lt;D xsi:type="xsd:double"&gt;8.46113&lt;/D&gt;&lt;D xsi:type="xsd:double"&gt;0.243783&lt;/D&gt;&lt;D xsi:type="xsd:double"&gt;8.4630375&lt;/D&gt;&lt;D xsi:type="xsd:double"&gt;-1.7937183&lt;/D&gt;&lt;D xsi:type="xsd:double"&gt;-6.712323&lt;/D&gt;&lt;D xsi:type="xsd:double"&gt;-1.2236893&lt;/D&gt;&lt;D xsi:type="xsd:double"&gt;-8.145613&lt;/D&gt;&lt;D xsi:type="xsd:double"&gt;-4.273975&lt;/D&gt;&lt;D xsi:type="xsd:double"&gt;-3.4344494&lt;/D&gt;&lt;D xsi:type="xsd:double"&gt;-5.9276876&lt;/D&gt;&lt;D xsi:type="xsd:double"&gt;9.640825&lt;/D&gt;&lt;D xsi:type="xsd:double"&gt;8.620691&lt;/D&gt;&lt;D xsi:type="xsd:double"&gt;-2.905178&lt;/D&gt;&lt;D xsi:type="xsd:double"&gt;4.141021&lt;/D&gt;&lt;D xsi:type="xsd:double"&gt;-4.1912975&lt;/D&gt;&lt;D xsi:type="xsd:double"&gt;-2.9164374&lt;/D&gt;&lt;D xsi:type="xsd:double"&gt;6.52802&lt;/D&gt;&lt;D xsi:type="xsd:double"&gt;1.7353535&lt;/D&gt;&lt;D xsi:type="xsd:double"&gt;2.2073627&lt;/D&gt;&lt;D xsi:type="xsd:double"&gt;-5.7925224&lt;/D&gt;&lt;D xsi:type="xsd:double"&gt;-11.347121&lt;/D&gt;&lt;/FQL&gt;&lt;FQL&gt;&lt;Q&gt;EWQ^FG_PRICE(0,-200D)&lt;/Q&gt;&lt;R&gt;201&lt;/R&gt;&lt;C&gt;1&lt;/C&gt;&lt;D xsi:type="xsd:double"&gt;43.58&lt;/D&gt;&lt;D xsi:type="xsd:double"&gt;44.2&lt;/D&gt;&lt;D xsi:type="xsd:double"&gt;44.08&lt;/D&gt;&lt;D xsi:type="xsd:double"&gt;44.2&lt;/D&gt;&lt;D xsi:type="xsd:double"&gt;44.14&lt;/D&gt;&lt;D xsi:type="xsd:double"&gt;44.28&lt;/D&gt;&lt;D xsi:type="xsd:double"&gt;45.23&lt;/D&gt;&lt;D xsi:type="xsd:double"&gt;45.07&lt;/D&gt;&lt;D xsi:type="xsd:double"&gt;46.57&lt;/D&gt;&lt;D xsi:type="xsd:double"&gt;47.87&lt;/D&gt;&lt;D xsi:type="xsd:double"&gt;48.35&lt;/D&gt;&lt;D xsi:type="xsd:double"&gt;48.02&lt;/D&gt;&lt;D xsi:type="xsd:double"&gt;47.62&lt;/D&gt;&lt;D xsi:type="xsd:double"&gt;47.49&lt;/D&gt;&lt;D xsi:type="xsd:double"&gt;47.68&lt;/D&gt;&lt;D xsi:type="xsd:double"&gt;46.91&lt;/D&gt;&lt;D xsi:type="xsd:double"&gt;47.03&lt;/D&gt;&lt;D xsi:type="xsd:double"&gt;47.05&lt;/D&gt;&lt;D xsi:type="xsd:double"&gt;46.7&lt;/D&gt;&lt;D xsi:type="xsd:double"&gt;46.7&lt;/D&gt;&lt;D xsi:type="xsd:double"&gt;46.68&lt;/D&gt;&lt;D xsi:type="xsd:double"&gt;47.08&lt;/D&gt;&lt;D xsi:type="xsd:double"&gt;46.83&lt;/D&gt;&lt;D xsi:type="xsd:double"&gt;46.99&lt;/D&gt;&lt;D xsi:type="xsd:double"&gt;46.4&lt;/D&gt;&lt;D xsi:type="xsd:double"&gt;45.73&lt;/D&gt;&lt;D xsi:type="xsd:double"&gt;46.03&lt;/D&gt;&lt;D xsi:type="xsd:double"&gt;45.69&lt;/D&gt;&lt;D xsi:type="xsd:double"&gt;45.68&lt;/D&gt;&lt;D xsi:type="xsd:double"&gt;45.35&lt;/D&gt;&lt;D xsi:type="xsd:double"&gt;45.82&lt;/D&gt;&lt;D xsi:type="xsd:double"&gt;45.53&lt;/D&gt;&lt;D xsi:type="xsd:double"&gt;46.15&lt;/D&gt;&lt;D xsi:type="xsd:double"&gt;45.65&lt;/D&gt;&lt;D xsi:type="xsd:double"&gt;45.51&lt;/D&gt;&lt;D xsi:type="xsd:double"&gt;45.16&lt;/D&gt;&lt;D xsi:type="xsd:double"&gt;45.05&lt;/D&gt;&lt;D xsi:type="xsd:double"&gt;44.55&lt;/D&gt;&lt;D xsi:type="xsd:double"&gt;45.29&lt;/D&gt;&lt;D xsi:type="xsd:double"&gt;45.29&lt;/D&gt;&lt;D xsi:type="xsd:double"&gt;45.4&lt;/D&gt;&lt;D xsi:type="xsd:double"&gt;45.87&lt;/D&gt;&lt;D xsi:type="xsd:double"&gt;45.96&lt;/D&gt;&lt;D xsi:type="xsd:double"&gt;46.1&lt;/D&gt;&lt;D xsi:type="xsd:double"&gt;45.88&lt;/D&gt;&lt;D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xsi:type="xsd:double"&gt;44.99&lt;/D&gt;&lt;D xsi:type="xsd:double"&gt;45.14&lt;/D&gt;&lt;D xsi:type="xsd:double"&gt;44.99&lt;/D&gt;&lt;D xsi:type="xsd:double"&gt;45.18&lt;/D&gt;&lt;D xsi:type="xsd:double"&gt;44.98&lt;/D&gt;&lt;D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xsi:type="xsd:double"&gt;43.04&lt;/D&gt;&lt;/FQL&gt;&lt;FQL&gt;&lt;Q&gt;EWA^FG_PRICE(0,-200D)&lt;/Q&gt;&lt;R&gt;201&lt;/R&gt;&lt;C&gt;1&lt;/C&gt;&lt;D xsi:type="xsd:double"&gt;28.42&lt;/D&gt;&lt;D xsi:type="xsd:double"&gt;29&lt;/D&gt;&lt;D xsi:type="xsd:double"&gt;28.95&lt;/D&gt;&lt;D xsi:type="xsd:double"&gt;28.86&lt;/D&gt;&lt;D xsi:type="xsd:double"&gt;28.33&lt;/D&gt;&lt;D xsi:type="xsd:double"&gt;28.61&lt;/D&gt;&lt;D xsi:type="xsd:double"&gt;29.35&lt;/D&gt;&lt;D xsi:type="xsd:double"&gt;29.09&lt;/D&gt;&lt;D xsi:type="xsd:double"&gt;29.93&lt;/D&gt;&lt;D xsi:type="xsd:double"&gt;30.09&lt;/D&gt;&lt;D xsi:type="xsd:double"&gt;30.14&lt;/D&gt;&lt;D xsi:type="xsd:double"&gt;30.16&lt;/D&gt;&lt;D xsi:type="xsd:double"&gt;29.58&lt;/D&gt;&lt;D xsi:type="xsd:double"&gt;29.45&lt;/D&gt;&lt;D xsi:type="xsd:double"&gt;29.7&lt;/D&gt;&lt;D xsi:type="xsd:double"&gt;29.37&lt;/D&gt;&lt;D xsi:type="xsd:double"&gt;29.31&lt;/D&gt;&lt;D xsi:type="xsd:double"&gt;29.32&lt;/D&gt;&lt;D xsi:type="xsd:double"&gt;29.16&lt;/D&gt;&lt;D xsi:type="xsd:double"&gt;29.16&lt;/D&gt;&lt;D xsi:type="xsd:double"&gt;29.1&lt;/D&gt;&lt;D xsi:type="xsd:double"&gt;29.3&lt;/D&gt;&lt;D xsi:type="xsd:double"&gt;28.64&lt;/D&gt;&lt;D xsi:type="xsd:double"&gt;28.83&lt;/D&gt;&lt;D xsi:type="xsd:double"&gt;28.23&lt;/D&gt;&lt;D xsi:type="xsd:double"&gt;27.84&lt;/D&gt;&lt;D xsi:type="xsd:double"&gt;28.35&lt;/D&gt;&lt;D xsi:type="xsd:double"&gt;28.12&lt;/D&gt;&lt;D xsi:type="xsd:double"&gt;27.95&lt;/D&gt;&lt;D xsi:type="xsd:double"&gt;27.75&lt;/D&gt;&lt;D xsi:type="xsd:double"&gt;28.42&lt;/D&gt;&lt;D xsi:type="xsd:double"&gt;28.17&lt;/D&gt;&lt;D xsi:type="xsd:double"&gt;28.24&lt;/D&gt;&lt;D xsi:type="xsd:double"&gt;27.62&lt;/D&gt;&lt;D xsi:type="xsd:double"&gt;27.38&lt;/D&gt;&lt;D xsi:type="xsd:double"&gt;27.07&lt;/D&gt;&lt;D xsi:type="xsd:double"&gt;26.7&lt;/D&gt;&lt;D xsi:type="xsd:double"&gt;26.46&lt;/D&gt;&lt;D xsi:type="xsd:double"&gt;26.74&lt;/D&gt;&lt;D xsi:type="xsd:double"&gt;26.74&lt;/D&gt;&lt;D xsi:type="xsd:double"&gt;26.65&lt;/D&gt;&lt;D xsi:type="xsd:double"&gt;26.54&lt;/D&gt;&lt;D xsi:type="xsd:double"&gt;26.41&lt;/D&gt;&lt;D xsi:type="xsd:double"&gt;26.45&lt;/D&gt;&lt;D xsi:type="xsd:double"&gt;26.26&lt;/D&gt;&lt;D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xsi:type="xsd:double"&gt;26.19&lt;/D&gt;&lt;D xsi:type="xsd:double"&gt;26.41&lt;/D&gt;&lt;D xsi:type="xsd:double"&gt;26.48&lt;/D&gt;&lt;D xsi:type="xsd:double"&gt;26.68&lt;/D&gt;&lt;D xsi:type="xsd:double"&gt;26.6&lt;/D&gt;&lt;D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xsi:type="xsd:double"&gt;26.36&lt;/D&gt;&lt;/FQL&gt;&lt;FQL&gt;&lt;Q&gt;MCHI^FG_PRICE(0,-200D)&lt;/Q&gt;&lt;R&gt;201&lt;/R&gt;&lt;C&gt;1&lt;/C&gt;&lt;D xsi:type="xsd:double"&gt;57.68&lt;/D&gt;&lt;D xsi:type="xsd:double"&gt;58.31&lt;/D&gt;&lt;D xsi:type="xsd:double"&gt;58.7&lt;/D&gt;&lt;D xsi:type="xsd:double"&gt;57.67&lt;/D&gt;&lt;D xsi:type="xsd:double"&gt;56.72&lt;/D&gt;&lt;D xsi:type="xsd:double"&gt;56.18&lt;/D&gt;&lt;D xsi:type="xsd:double"&gt;57.13&lt;/D&gt;&lt;D xsi:type="xsd:double"&gt;56.9&lt;/D&gt;&lt;D xsi:type="xsd:double"&gt;58.51&lt;/D&gt;&lt;D xsi:type="xsd:double"&gt;59.06&lt;/D&gt;&lt;D xsi:type="xsd:double"&gt;59.23&lt;/D&gt;&lt;D xsi:type="xsd:double"&gt;60.67&lt;/D&gt;&lt;D xsi:type="xsd:double"&gt;60.43&lt;/D&gt;&lt;D xsi:type="xsd:double"&gt;60.76&lt;/D&gt;&lt;D xsi:type="xsd:double"&gt;61.01&lt;/D&gt;&lt;D xsi:type="xsd:double"&gt;60.72&lt;/D&gt;&lt;D xsi:type="xsd:double"&gt;60.95&lt;/D&gt;&lt;D xsi:type="xsd:double"&gt;60.61&lt;/D&gt;&lt;D xsi:type="xsd:double"&gt;60.35&lt;/D&gt;&lt;D xsi:type="xsd:double"&gt;60.35&lt;/D&gt;&lt;D xsi:type="xsd:double"&gt;60.58&lt;/D&gt;&lt;D xsi:type="xsd:double"&gt;61.93&lt;/D&gt;&lt;D xsi:type="xsd:double"&gt;61.99&lt;/D&gt;&lt;D xsi:type="xsd:double"&gt;61.97&lt;/D&gt;&lt;D xsi:type="xsd:double"&gt;61.67&lt;/D&gt;&lt;D xsi:type="xsd:double"&gt;60.1&lt;/D&gt;&lt;D xsi:type="xsd:double"&gt;60.31&lt;/D&gt;&lt;D xsi:type="xsd:double"&gt;61.07&lt;/D&gt;&lt;D xsi:type="xsd:double"&gt;61.61&lt;/D&gt;&lt;D xsi:type="xsd:double"&gt;62.4&lt;/D&gt;&lt;D xsi:type="xsd:double"&gt;64.23&lt;/D&gt;&lt;D xsi:type="xsd:double"&gt;63.91&lt;/D&gt;&lt;D xsi:type="xsd:double"&gt;63.29&lt;/D&gt;&lt;D xsi:type="xsd:double"&gt;62.66&lt;/D&gt;&lt;D xsi:type="xsd:double"&gt;62.74&lt;/D&gt;&lt;D xsi:type="xsd:double"&gt;62.78&lt;/D&gt;&lt;D xsi:type="xsd:double"&gt;62.49&lt;/D&gt;&lt;D xsi:type="xsd:double"&gt;61.65&lt;/D&gt;&lt;D xsi:type="xsd:double"&gt;62.52&lt;/D&gt;&lt;D xsi:type="xsd:double"&gt;62.52&lt;/D&gt;&lt;D xsi:type="xsd:double"&gt;63.59&lt;/D&gt;&lt;D xsi:type="xsd:double"&gt;63.55&lt;/D&gt;&lt;D xsi:type="xsd:double"&gt;63.52&lt;/D&gt;&lt;D xsi:type="xsd:double"&gt;64.26&lt;/D&gt;&lt;D xsi:type="xsd:double"&gt;62.22&lt;/D&gt;&lt;D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xsi:type="xsd:double"&gt;60.07&lt;/D&gt;&lt;D xsi:type="xsd:double"&gt;60.58&lt;/D&gt;&lt;D xsi:type="xsd:double"&gt;60.37&lt;/D&gt;&lt;D xsi:type="xsd:double"&gt;61.27&lt;/D&gt;&lt;D xsi:type="xsd:double"&gt;60.61&lt;/D&gt;&lt;D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xsi:type="xsd:double"&gt;54.99&lt;/D&gt;&lt;/FQL&gt;&lt;FQL&gt;&lt;Q&gt;EWM^FG_PRICE(0,-200D)&lt;/Q&gt;&lt;R&gt;201&lt;/R&gt;&lt;C&gt;1&lt;/C&gt;&lt;D xsi:type="xsd:double"&gt;28.53&lt;/D&gt;&lt;D xsi:type="xsd:double"&gt;28.78&lt;/D&gt;&lt;D xsi:type="xsd:double"&gt;28.58&lt;/D&gt;&lt;D xsi:type="xsd:double"&gt;28.27&lt;/D&gt;&lt;D xsi:type="xsd:double"&gt;28.49&lt;/D&gt;&lt;D xsi:type="xsd:double"&gt;28.54&lt;/D&gt;&lt;D xsi:type="xsd:double"&gt;28.82&lt;/D&gt;&lt;D xsi:type="xsd:double"&gt;28.36&lt;/D&gt;&lt;D xsi:type="xsd:double"&gt;28.69&lt;/D&gt;&lt;D xsi:type="xsd:double"&gt;29.22&lt;/D&gt;&lt;D xsi:type="xsd:double"&gt;29.65&lt;/D&gt;&lt;D xsi:type="xsd:double"&gt;30.01&lt;/D&gt;&lt;D xsi:type="xsd:double"&gt;30.02&lt;/D&gt;&lt;D xsi:type="xsd:double"&gt;30.01&lt;/D&gt;&lt;D xsi:type="xsd:double"&gt;30.13&lt;/D&gt;&lt;D xsi:type="xsd:double"&gt;29.82&lt;/D&gt;&lt;D xsi:type="xsd:double"&gt;29.67&lt;/D&gt;&lt;D xsi:type="xsd:double"&gt;29.65&lt;/D&gt;&lt;D xsi:type="xsd:double"&gt;29.72&lt;/D&gt;&lt;D xsi:type="xsd:double"&gt;29.72&lt;/D&gt;&lt;D xsi:type="xsd:double"&gt;29.71&lt;/D&gt;&lt;D xsi:type="xsd:double"&gt;29.98&lt;/D&gt;&lt;D xsi:type="xsd:double"&gt;29.69&lt;/D&gt;&lt;D xsi:type="xsd:double"&gt;29.83&lt;/D&gt;&lt;D xsi:type="xsd:double"&gt;29.57&lt;/D&gt;&lt;D xsi:type="xsd:double"&gt;29.18&lt;/D&gt;&lt;D xsi:type="xsd:double"&gt;29.49&lt;/D&gt;&lt;D xsi:type="xsd:double"&gt;29.42&lt;/D&gt;&lt;D xsi:type="xsd:double"&gt;29.32&lt;/D&gt;&lt;D xsi:type="xsd:double"&gt;29.18&lt;/D&gt;&lt;D xsi:type="xsd:double"&gt;29.27&lt;/D&gt;&lt;D xsi:type="xsd:double"&gt;29.84&lt;/D&gt;&lt;D xsi:type="xsd:double"&gt;30.06&lt;/D&gt;&lt;D xsi:type="xsd:double"&gt;29.5&lt;/D&gt;&lt;D xsi:type="xsd:double"&gt;28.78&lt;/D&gt;&lt;D xsi:type="xsd:double"&gt;28.43&lt;/D&gt;&lt;D xsi:type="xsd:double"&gt;28.26&lt;/D&gt;&lt;D xsi:type="xsd:double"&gt;27.88&lt;/D&gt;&lt;D xsi:type="xsd:double"&gt;28.17&lt;/D&gt;&lt;D xsi:type="xsd:double"&gt;28.17&lt;/D&gt;&lt;D xsi:type="xsd:double"&gt;28.28&lt;/D&gt;&lt;D xsi:type="xsd:double"&gt;28.2&lt;/D&gt;&lt;D xsi:type="xsd:double"&gt;28.05&lt;/D&gt;&lt;D xsi:type="xsd:double"&gt;27.97&lt;/D&gt;&lt;D xsi:type="xsd:double"&gt;27.59&lt;/D&gt;&lt;D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xsi:type="xsd:double"&gt;27.36&lt;/D&gt;&lt;D xsi:type="xsd:double"&gt;27.57&lt;/D&gt;&lt;D xsi:type="xsd:double"&gt;27.53&lt;/D&gt;&lt;D xsi:type="xsd:double"&gt;27.64&lt;/D&gt;&lt;D xsi:type="xsd:double"&gt;27.69&lt;/D&gt;&lt;D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xsi:type="xsd:double"&gt;24.31&lt;/D&gt;&lt;/FQL&gt;&lt;FQL&gt;&lt;Q&gt;EWI^FG_TOTAL_RETURNC(-5AY,0,AM)&lt;/Q&gt;&lt;R&gt;61&lt;/R&gt;&lt;C&gt;1&lt;/C&gt;&lt;D xsi:type="xsd:double"&gt;2.1985173&lt;/D&gt;&lt;D xsi:type="xsd:double"&gt;0.1581788&lt;/D&gt;&lt;D xsi:type="xsd:double"&gt;1.1370778&lt;/D&gt;&lt;D xsi:type="xsd:double"&gt;6.5615654&lt;/D&gt;&lt;D xsi:type="xsd:double"&gt;-3.530103&lt;/D&gt;&lt;D xsi:type="xsd:double"&gt;3.597784&lt;/D&gt;&lt;D xsi:type="xsd:double"&gt;-4.1258516&lt;/D&gt;&lt;D xsi:type="xsd:double"&gt;-0.49535632&lt;/D&gt;&lt;D xsi:type="xsd:double"&gt;5.538261&lt;/D&gt;&lt;D xsi:type="xsd:double"&gt;-3.9504588&lt;/D&gt;&lt;D xsi:type="xsd:double"&gt;5.128467&lt;/D&gt;&lt;D xsi:type="xsd:double"&gt;-4.8563776&lt;/D&gt;&lt;D xsi:type="xsd:double"&gt;-16.433239&lt;/D&gt;&lt;D xsi:type="xsd:double"&gt;7.113588&lt;/D&gt;&lt;D xsi:type="xsd:double"&gt;-8.205843&lt;/D&gt;&lt;D xsi:type="xsd:double"&gt;-1.3812721&lt;/D&gt;&lt;D xsi:type="xsd:double"&gt;-8.907366&lt;/D&gt;&lt;D xsi:type="xsd:double"&gt;10.430241&lt;/D&gt;&lt;D xsi:type="xsd:double"&gt;-3.7780344&lt;/D&gt;&lt;D xsi:type="xsd:double"&gt;-12.801641&lt;/D&gt;&lt;D xsi:type="xsd:double"&gt;28.330208&lt;/D&gt;&lt;D xsi:type="xsd:double"&gt;1.096487&lt;/D&gt;&lt;D xsi:type="xsd:double"&gt;8.769691&lt;/D&gt;&lt;D xsi:type="xsd:double"&gt;2.1592498&lt;/D&gt;&lt;D xsi:type="xsd:double"&gt;-2.1136105&lt;/D&gt;&lt;D xsi:type="xsd:double"&gt;6.275308&lt;/D&gt;&lt;D xsi:type="xsd:double"&gt;-0.5714297&lt;/D&gt;&lt;D xsi:type="xsd:double"&gt;-0.35949945&lt;/D&gt;&lt;D xsi:type="xsd:double"&gt;7.0584416&lt;/D&gt;&lt;D xsi:type="xsd:double"&gt;-2.054584&lt;/D&gt;&lt;D xsi:type="xsd:double"&gt;-1.3775826&lt;/D&gt;&lt;D xsi:type="xsd:double"&gt;-3.7142873&lt;/D&gt;&lt;D xsi:type="xsd:double"&gt;2.7035952&lt;/D&gt;&lt;D xsi:type="xsd:double"&gt;7.447839&lt;/D&gt;&lt;D xsi:type="xsd:double"&gt;2.5322914&lt;/D&gt;&lt;D xsi:type="xsd:double"&gt;0.5606413&lt;/D&gt;&lt;D xsi:type="xsd:double"&gt;8.744133&lt;/D&gt;&lt;D xsi:type="xsd:double"&gt;-2.9411793&lt;/D&gt;&lt;D xsi:type="xsd:double"&gt;6.1717987&lt;/D&gt;&lt;D xsi:type="xsd:double"&gt;-0.12629628&lt;/D&gt;&lt;D xsi:type="xsd:double"&gt;1.4776945&lt;/D&gt;&lt;D xsi:type="xsd:double"&gt;-5.5599747&lt;/D&gt;&lt;D xsi:type="xsd:double"&gt;6.7844152&lt;/D&gt;&lt;D xsi:type="xsd:double"&gt;0.6300926&lt;/D&gt;&lt;D xsi:type="xsd:double"&gt;-5.400479&lt;/D&gt;&lt;D xsi:type="xsd:double"&gt;3.2818556&lt;/D&gt;&lt;D xsi:type="xsd:double"&gt;-1.0433078&lt;/D&gt;&lt;D xsi:type="xsd:double"&gt;9.452057&lt;/D&gt;&lt;D xsi:type="xsd:double"&gt;6.382978&lt;/D&gt;&lt;D xsi:type="xsd:double"&gt;-4.6352983&lt;/D&gt;&lt;D xsi:type="xsd:double"&gt;12.657297&lt;/D&gt;&lt;D xsi:type="xsd:double"&gt;5.6723595&lt;/D&gt;&lt;D xsi:type="xsd:double"&gt;1.192081&lt;/D&gt;&lt;D xsi:type="xsd:double"&gt;5.521977&lt;/D&gt;&lt;D xsi:type="xsd:double"&gt;2.1327019&lt;/D&gt;&lt;D xsi:type="xsd:double"&gt;-2.7262151&lt;/D&gt;&lt;D xsi:type="xsd:d</t>
        </r>
      </text>
    </comment>
    <comment ref="A7" authorId="0" shapeId="0" xr:uid="{22A5ACC7-B8DB-4C4D-898F-8F27BFEF6C07}">
      <text>
        <r>
          <rPr>
            <b/>
            <sz val="9"/>
            <color indexed="81"/>
            <rFont val="Tahoma"/>
            <charset val="1"/>
          </rPr>
          <t>ouble"&gt;7.5730443&lt;/D&gt;&lt;D xsi:type="xsd:double"&gt;-0.84996223&lt;/D&gt;&lt;D xsi:type="xsd:double"&gt;4.4445276&lt;/D&gt;&lt;D xsi:type="xsd:double"&gt;2.1692038&lt;/D&gt;&lt;D xsi:type="xsd:double"&gt;-6.8471313&lt;/D&gt;&lt;/FQL&gt;&lt;FQL&gt;&lt;Q&gt;EWJ^FG_TOTAL_RETURNC(-5AY,0,AM)&lt;/Q&gt;&lt;R&gt;61&lt;/R&gt;&lt;C&gt;1&lt;/C&gt;&lt;D xsi:type="xsd:double"&gt;-3.6477983&lt;/D&gt;&lt;D xsi:type="xsd:double"&gt;0.43514967&lt;/D&gt;&lt;D xsi:type="xsd:double"&gt;-5.5025935&lt;/D&gt;&lt;D xsi:type="xsd:double"&gt;6.0455203&lt;/D&gt;&lt;D xsi:type="xsd:double"&gt;-0.36295056&lt;/D&gt;&lt;D xsi:type="xsd:double"&gt;-0.29141307&lt;/D&gt;&lt;D xsi:type="xsd:double"&gt;6.4006925&lt;/D&gt;&lt;D xsi:type="xsd:double"&gt;-6.9907904&lt;/D&gt;&lt;D xsi:type="xsd:double"&gt;3.4849405&lt;/D&gt;&lt;D xsi:type="xsd:double"&gt;-2.354455&lt;/D&gt;&lt;D xsi:type="xsd:double"&gt;0.6762266&lt;/D&gt;&lt;D xsi:type="xsd:double"&gt;-5.9273424&lt;/D&gt;&lt;D xsi:type="xsd:double"&gt;-8.474046&lt;/D&gt;&lt;D xsi:type="xsd:double"&gt;-1.3836741&lt;/D&gt;&lt;D xsi:type="xsd:double"&gt;-4.417115&lt;/D&gt;&lt;D xsi:type="xsd:double"&gt;0.26462078&lt;/D&gt;&lt;D xsi:type="xsd:double"&gt;-3.248775&lt;/D&gt;&lt;D xsi:type="xsd:double"&gt;7.583475&lt;/D&gt;&lt;D xsi:type="xsd:double"&gt;-6.9086432&lt;/D&gt;&lt;D xsi:type="xsd:double"&gt;-8.19363&lt;/D&gt;&lt;D xsi:type="xsd:double"&gt;12.720549&lt;/D&gt;&lt;D xsi:type="xsd:double"&gt;0.56425333&lt;/D&gt;&lt;D xsi:type="xsd:double"&gt;2.5441408&lt;/D&gt;&lt;D xsi:type="xsd:double"&gt;2.8126717&lt;/D&gt;&lt;D xsi:type="xsd:double"&gt;-2.3055732&lt;/D&gt;&lt;D xsi:type="xsd:double"&gt;2.2719264&lt;/D&gt;&lt;D xsi:type="xsd:double"&gt;3.6679864&lt;/D&gt;&lt;D xsi:type="xsd:double"&gt;4.737544&lt;/D&gt;&lt;D xsi:type="xsd:double"&gt;-0.5749881&lt;/D&gt;&lt;D xsi:type="xsd:double"&gt;-1.4136553&lt;/D&gt;&lt;D xsi:type="xsd:double"&gt;1.5316963&lt;/D&gt;&lt;D xsi:type="xsd:double"&gt;-3.1776607&lt;/D&gt;&lt;D xsi:type="xsd:double"&gt;0.2320528&lt;/D&gt;&lt;D xsi:type="xsd:double"&gt;4.266572&lt;/D&gt;&lt;D xsi:type="xsd:double"&gt;6.8458796&lt;/D&gt;&lt;D xsi:type="xsd:double"&gt;0.81288815&lt;/D&gt;&lt;D xsi:type="xsd:double"&gt;4.494548&lt;/D&gt;&lt;D xsi:type="xsd:double"&gt;-1.3146698&lt;/D&gt;&lt;D xsi:type="xsd:double"&gt;-1.6072989&lt;/D&gt;&lt;D xsi:type="xsd:double"&gt;1.3997436&lt;/D&gt;&lt;D xsi:type="xsd:double"&gt;4.401231&lt;/D&gt;&lt;D xsi:type="xsd:double"&gt;-7.9411745&lt;/D&gt;&lt;D xsi:type="xsd:double"&gt;6.8766117&lt;/D&gt;&lt;D xsi:type="xsd:double"&gt;1.1387944&lt;/D&gt;&lt;D xsi:type="xsd:double"&gt;-3.5890281&lt;/D&gt;&lt;D xsi:type="xsd:double"&gt;2.7299285&lt;/D&gt;&lt;D xsi:type="xsd:double"&gt;-5.8362246&lt;/D&gt;&lt;D xsi:type="xsd:double"&gt;4.2611837&lt;/D&gt;&lt;D xsi:type="xsd:double"&gt;2.2052288&lt;/D&gt;&lt;D xsi:type="xsd:double"&gt;-5.322206&lt;/D&gt;&lt;D xsi:type="xsd:double"&gt;10.604679&lt;/D&gt;&lt;D xsi:type="xsd:double"&gt;1.9368052&lt;/D&gt;&lt;D xsi:type="xsd:double"&gt;-1.7049074&lt;/D&gt;&lt;D xsi:type="xsd:double"&gt;9.494198&lt;/D&gt;&lt;D xsi:type="xsd:double"&gt;1.9310832&lt;/D&gt;&lt;D xsi:type="xsd:double"&gt;-2.9717684&lt;/D&gt;&lt;D xsi:type="xsd:double"&gt;7.631445&lt;/D&gt;&lt;D xsi:type="xsd:double"&gt;-0.4031241&lt;/D&gt;&lt;D xsi:type="xsd:double"&gt;5.3803444&lt;/D&gt;&lt;D xsi:type="xsd:double"&gt;9.473562&lt;/D&gt;&lt;D xsi:type="xsd:double"&gt;-9.831852&lt;/D&gt;&lt;/FQL&gt;&lt;FQL&gt;&lt;Q&gt;TUR^FG_TOTAL_RETURNC(-5AY,0,AM)&lt;/Q&gt;&lt;R&gt;61&lt;/R&gt;&lt;C&gt;1&lt;/C&gt;&lt;D xsi:type="xsd:double"&gt;-5.236137&lt;/D&gt;&lt;D xsi:type="xsd:double"&gt;-16.612494&lt;/D&gt;&lt;D xsi:type="xsd:double"&gt;-0.9094894&lt;/D&gt;&lt;D xsi:type="xsd:double"&gt;5.7644725&lt;/D&gt;&lt;D xsi:type="xsd:double"&gt;-9.574467&lt;/D&gt;&lt;D xsi:type="xsd:double"&gt;7.0117593&lt;/D&gt;&lt;D xsi:type="xsd:double"&gt;0.35179853&lt;/D&gt;&lt;D xsi:type="xsd:double"&gt;-7.2743177&lt;/D&gt;&lt;D xsi:type="xsd:double"&gt;5.576563&lt;/D&gt;&lt;D xsi:type="xsd:double"&gt;-10.966879&lt;/D&gt;&lt;D xsi:type="xsd:double"&gt;5.0421476&lt;/D&gt;&lt;D xsi:type="xsd:double"&gt;-2.9807627&lt;/D&gt;&lt;D xsi:type="xsd:double"&gt;-9.0188265&lt;/D&gt;&lt;D xsi:type="xsd:double"&gt;25&lt;/D&gt;&lt;D xsi:type="xsd:double"&gt;-7.886714&lt;/D&gt;&lt;D xsi:type="xsd:double"&gt;-5.772382&lt;/D&gt;&lt;D xsi:type="xsd:double"&gt;-6.2984047&lt;/D&gt;&lt;D xsi:type="xsd:double"&gt;15.867769&lt;/D&gt;&lt;D xsi:type="xsd:double"&gt;25.154531&lt;/D&gt;&lt;D xsi:type="xsd:double"&gt;-7.2948337&lt;/D&gt;&lt;D xsi:type="xsd:double"&gt;23.114765&lt;/D&gt;&lt;D xsi:type="xsd:double"&gt;17.809582&lt;/D&gt;&lt;D xsi:type="xsd:double"&gt;-4.6978474&lt;/D&gt;&lt;D xsi:type="xsd:double"&gt;-12.544698&lt;/D&gt;&lt;D xsi:type="xsd:double"&gt;24.87223&lt;/D&gt;&lt;D xsi:type="xsd:double"&gt;-5.4570255&lt;/D&gt;&lt;D xsi:type="xsd:double"&gt;-6.4646482&lt;/D&gt;&lt;D xsi:type="xsd:double"&gt;-5.193061&lt;/D&gt;&lt;D xsi:type="xsd:double"&gt;3.5401225&lt;/D&gt;&lt;D xsi:type="xsd:double"&gt;17.193104&lt;/D&gt;&lt;D xsi:type="xsd:double"&gt;6.557369&lt;/D&gt;&lt;D xsi:type="xsd:double"&gt;-0.7301152&lt;/D&gt;&lt;D xsi:type="xsd:double"&gt;-8.983445&lt;/D&gt;&lt;D xsi:type="xsd:double"&gt;-1.8470526&lt;/D&gt;&lt;D xsi:type="xsd:double"&gt;0.4656911&lt;/D&gt;&lt;D xsi:type="xsd:double"&gt;12.511086&lt;/D&gt;&lt;D xsi:type="xsd:double"&gt;-5.3627787&lt;/D&gt;&lt;D xsi:type="xsd:double"&gt;6.02777&lt;/D&gt;&lt;D xsi:type="xsd:double"&gt;8.226358&lt;/D&gt;&lt;D xsi:type="xsd:double"&gt;-0.86984634&lt;/D&gt;&lt;D xsi:type="xsd:double"&gt;7.194066&lt;/D&gt;&lt;D xsi:type="xsd:double"&gt;-13.353324&lt;/D&gt;&lt;D xsi:type="xsd:double"&gt;-3.832841&lt;/D&gt;&lt;D xsi:type="xsd:double"&gt;-6.8364263&lt;/D&gt;&lt;D xsi:type="xsd:double"&gt;2.7332187&lt;/D&gt;&lt;D xsi:type="xsd:double"&gt;7.779062&lt;/D&gt;&lt;D xsi:type="xsd:double"&gt;-2.8379917&lt;/D&gt;&lt;D xsi:type="xsd:double"&gt;-3.299135&lt;/D&gt;&lt;D xsi:type="xsd:double"&gt;7.855499&lt;/D&gt;&lt;D xsi:type="xsd:double"&gt;-14.726204&lt;/D&gt;&lt;D xsi:type="xsd:double"&gt;1.6832829&lt;/D&gt;&lt;D xsi:type="xsd:double"&gt;-3.2188833&lt;/D&gt;&lt;D xsi:type="xsd:double"&gt;6.6672444&lt;/D&gt;&lt;D xsi:type="xsd:double"&gt;4.1302443&lt;/D&gt;&lt;D xsi:type="xsd:double"&gt;-6.5720916&lt;/D&gt;&lt;D xsi:type="xsd:double"&gt;1.7663479&lt;/D&gt;&lt;D xsi:type="xsd:double"&gt;0.57855844&lt;/D&gt;&lt;D xsi:type="xsd:double"&gt;5.419314&lt;/D&gt;&lt;D xsi:type="xsd:double"&gt;8.927584&lt;/D&gt;&lt;D xsi:type="xsd:double"&gt;11.640919&lt;/D&gt;&lt;D xsi:type="xsd:double"&gt;-6.1321855&lt;/D&gt;&lt;/FQL&gt;&lt;FQL&gt;&lt;Q&gt;EWY^FG_TOTAL_RETURNC(-5AY,0,AM)&lt;/Q&gt;&lt;R&gt;61&lt;/R&gt;&lt;C&gt;1&lt;/C&gt;&lt;D xsi:type="xsd:double"&gt;-6.4505816&lt;/D&gt;&lt;D xsi:type="xsd:double"&gt;3.2034516&lt;/D&gt;&lt;D xsi:type="xsd:double"&gt;-2.9389083&lt;/D&gt;&lt;D xsi:type="xsd:double"&gt;5.0578356&lt;/D&gt;&lt;D xsi:type="xsd:double"&gt;-1.8782377&lt;/D&gt;&lt;D xsi:type="xsd:double"&gt;-3.9273918&lt;/D&gt;&lt;D xsi:type="xsd:double"&gt;-4.2597055&lt;/D&gt;&lt;D xsi:type="xsd:double"&gt;-8.539647&lt;/D&gt;&lt;D xsi:type="xsd:double"&gt;4.2500377&lt;/D&gt;&lt;D xsi:type="xsd:double"&gt;1.2794733&lt;/D&gt;&lt;D xsi:type="xsd:double"&gt;0.9238839&lt;/D&gt;&lt;D xsi:type="xsd:double"&gt;-8.612257&lt;/D&gt;&lt;D xsi:type="xsd:double"&gt;-7.9423904&lt;/D&gt;&lt;D xsi:type="xsd:double"&gt;2.101028&lt;/D&gt;&lt;D xsi:type="xsd:double"&gt;-8.523053&lt;/D&gt;&lt;D xsi:type="xsd:double"&gt;0.71793795&lt;/D&gt;&lt;D xsi:type="xsd:double"&gt;-10.375416&lt;/D&gt;&lt;D xsi:type="xsd:double"&gt;9.915161&lt;/D&gt;&lt;D xsi:type="xsd:double"&gt;-9.422731&lt;/D&gt;&lt;D xsi:type="xsd:double"&gt;-12.799579&lt;/D&gt;&lt;D xsi:type="xsd:double"&gt;23.635996&lt;/D&gt;&lt;D xsi:type="xsd:double"&gt;-4.1659775&lt;/D&gt;&lt;D xsi:type="xsd:double"&gt;7.7351093&lt;/D&gt;&lt;D xsi:type="xsd:double"&gt;0.83925724&lt;/D&gt;&lt;D xsi:type="xsd:double"&gt;-7.5384083&lt;/D&gt;&lt;D xsi:type="xsd:double"&gt;7.5991035&lt;/D&gt;&lt;D xsi:type="xsd:double"&gt;-4.6492934&lt;/D&gt;&lt;D xsi:type="xsd:double"&gt;12.434614&lt;/D&gt;&lt;D xsi:type="xsd:double"&gt;-0.81032515&lt;/D&gt;&lt;D xsi:type="xsd:double"&gt;-4.5083227&lt;/D&gt;&lt;D xsi:type="xsd:double"&gt;-1.7585576&lt;/D&gt;&lt;D xsi:type="xsd:double"&gt;-4.8056784&lt;/D&gt;&lt;D xsi:type="xsd:double"&gt;2.1514535&lt;/D&gt;&lt;D xsi:type="xsd:double"&gt;4.56053&lt;/D&gt;&lt;D xsi:type="xsd:double"&gt;-0.13483763&lt;/D&gt;&lt;D xsi:type="xsd:double"&gt;5.0358534&lt;/D&gt;&lt;D xsi:type="xsd:double"&gt;4.297912&lt;/D&gt;&lt;D xsi:type="xsd:double"&gt;-6.858081&lt;/D&gt;&lt;D xsi:type="xsd:double"&gt;3.6256194&lt;/D&gt;&lt;D xsi:type="xsd:double"&gt;0.75525045&lt;/D&gt;&lt;D xsi:type="xsd:double"&gt;5.0175905&lt;/D&gt;&lt;D xsi:type="xsd:double"&gt;-9.308088&lt;/D&gt;&lt;D xsi:type="xsd:double"&gt;0.40154457&lt;/D&gt;&lt;D xsi:type="xsd:double"&gt;1.4077783&lt;/D&gt;&lt;D xsi:type="xsd:double"&gt;-10.317087&lt;/D&gt;&lt;D xsi:type="xsd:double"&gt;-2.4098516&lt;/D&gt;&lt;D xsi:type="xsd:double"&gt;-1.1951566&lt;/D&gt;&lt;D xsi:type="xsd:double"&gt;3.0642748&lt;/D&gt;&lt;D xsi:type="xsd:double"&gt;1.4322042&lt;/D&gt;&lt;D xsi:type="xsd:double"&gt;-2.9311895&lt;/D&gt;&lt;D xsi:type="xsd:double"&gt;6.867981&lt;/D&gt;&lt;D xsi:type="xsd:double"&gt;16.626465&lt;/D&gt;&lt;D xsi:type="xsd:double"&gt;7.194555&lt;/D&gt;&lt;D xsi:type="xsd:double"&gt;2.1223783&lt;/D&gt;&lt;D xsi:type="xsd:double"&gt;6.1538577&lt;/D&gt;&lt;D xsi:type="xsd:double"&gt;2.6188612&lt;/D&gt;&lt;D xsi:type="xsd:double"&gt;18.830526&lt;/D&gt;&lt;D xsi:type="xsd:double"&gt;-3.388238&lt;/D&gt;&lt;D xsi:type="xsd:double"&gt;20.220959&lt;/D&gt;&lt;D xsi:type="xsd:double"&gt;20.077122&lt;/D&gt;&lt;D xsi:type="xsd:double"&gt;-5.5810394&lt;/D&gt;&lt;/FQL&gt;&lt;FQL&gt;&lt;Q&gt;ECH^FG_TOTAL_RETURNC(-5AY,0,AM)&lt;/Q&gt;&lt;R&gt;61&lt;/R&gt;&lt;C&gt;1&lt;/C&gt;&lt;D xsi:type="xsd:double"&gt;5.0586104&lt;/D&gt;&lt;D xsi:type="xsd:double"&gt;2.29007&lt;/D&gt;&lt;D xsi:type="xsd:double"&gt;-9.213549&lt;/D&gt;&lt;D xsi:type="xsd:double"&gt;-5.2777767&lt;/D&gt;&lt;D xsi:type="xsd:double"&gt;-5.4989758&lt;/D&gt;&lt;D xsi:type="xsd:double"&gt;-0.35919547&lt;/D&gt;&lt;D xsi:type="xsd:double"&gt;-0.07209778&lt;/D&gt;&lt;D xsi:type="xsd:double"&gt;-12.193357&lt;/D&gt;&lt;D xsi:type="xsd:double"&gt;11.75021&lt;/D&gt;&lt;D xsi:type="xsd:double"&gt;-6.985301&lt;/D&gt;&lt;D xsi:type="xsd:double"&gt;1.6136765&lt;/D&gt;&lt;D xsi:type="xsd:double"&gt;6.468463&lt;/D&gt;&lt;D xsi:type="xsd:double"&gt;-0.7924497&lt;/D&gt;&lt;D xsi:type="xsd:double"&gt;6.504369&lt;/D&gt;&lt;D xsi:type="xsd:double"&gt;-10.071426&lt;/D&gt;&lt;D xsi:type="xsd:double"&gt;14.421105&lt;/D&gt;&lt;D xsi:type="xsd:double"&gt;-18.880875&lt;/D&gt;&lt;D xsi:type="xsd:double"&gt;25.389408&lt;/D&gt;&lt;D xsi:type="xsd:double"&gt;1.224494&lt;/D&gt;&lt;D xsi:type="xsd:double"&gt;-17.566622&lt;/D&gt;&lt;D xsi:type="xsd:double"&gt;16.971504&lt;/D&gt;&lt;D xsi:type="xsd:double"&gt;-1.8181801&lt;/D&gt;&lt;D xsi:type="xsd:double"&gt;4.4728875&lt;/D&gt;&lt;D xsi:type="xsd:double"&gt;6.4727306&lt;/D&gt;&lt;D xsi:type="xsd:double"&gt;-1.5027344&lt;/D&gt;&lt;D xsi:type="xsd:double"&gt;-1.3869584&lt;/D&gt;&lt;D xsi:type="xsd:double"&gt;6.680727&lt;/D&gt;&lt;D xsi:type="xsd:double"&gt;-2.0112872&lt;/D&gt;&lt;D xsi:type="xsd:double"&gt;6.9954515&lt;/D&gt;&lt;D xsi:type="xsd:double"&gt;-3.6122918&lt;/D&gt;&lt;D xsi:type="xsd:double"&gt;-9.920305&lt;/D&gt;&lt;D xsi:type="xsd:double"&gt;-5.9111414&lt;/D&gt;&lt;D xsi:type="xsd:double"&gt;-1.2404919&lt;/D&gt;&lt;D xsi:type="xsd:double"&gt;9.278763&lt;/D&gt;&lt;D xsi:type="xsd:double"&gt;-2.7151704&lt;/D&gt;&lt;D xsi:type="xsd:double"&gt;-4.4495583&lt;/D&gt;&lt;D xsi:type="xsd:double"&gt;7.3063016&lt;/D&gt;&lt;D xsi:type="xsd:double"&gt;0.07482767&lt;/D&gt;&lt;D xsi:type="xsd:double"&gt;5.1214933&lt;/D&gt;&lt;D xsi:type="xsd:double"&gt;-1.3839483&lt;/D&gt;&lt;D xsi:type="xsd:double"&gt;1.4798403&lt;/D&gt;&lt;D xsi:type="xsd:double"&gt;-6.3798785&lt;/D&gt;&lt;D xsi:type="xsd:double"&gt;0.661993&lt;/D&gt;&lt;D xsi:type="xsd:double"&gt;3.4816265&lt;/D&gt;&lt;D xsi:type="xsd:double"&gt;-7.0280313&lt;/D&gt;&lt;D xsi:type="xsd:double"&gt;4.101324&lt;/D&gt;&lt;D xsi:type="xsd:double"&gt;-2.8456926&lt;/D&gt;&lt;D xsi:type="xsd:double"&gt;13.841248&lt;/D&gt;&lt;D xsi:type="xsd:double"&gt;2.8030753&lt;/D&gt;&lt;D xsi:type="xsd:double"&gt;-3.237903&lt;/D&gt;&lt;D xsi:type="xsd:double"&gt;13.948572&lt;/D&gt;&lt;D xsi:type="xsd:double"&gt;0.49458742&lt;/D&gt;&lt;D xsi:type="xsd:double"&gt;-4.1236877&lt;/D&gt;&lt;D xsi:type="xsd:double"&gt;4.785311&lt;/D&gt;&lt;D xsi:type="xsd:double"&gt;3.9099216&lt;/D&gt;&lt;D xsi:type="xsd:double"&gt;-5.177605&lt;/D&gt;&lt;D xsi:type="xsd:double"&gt;18.285704&lt;/D&gt;&lt;D xsi:type="xsd:double"&gt;6.7632914&lt;/D&gt;&lt;D xsi:type="xsd:double"&gt;10.672701&lt;/D&gt;&lt;D xsi:type="xsd:double"&gt;0.86619854&lt;/D&gt;&lt;D xsi:type="xsd:double"&gt;-11.231643&lt;/D&gt;&lt;/FQL&gt;&lt;FQL&gt;&lt;Q&gt;SPY^FG_PRICE(0,-200D)&lt;/Q&gt;&lt;R&gt;201&lt;/R&gt;&lt;C&gt;1&lt;/C&gt;&lt;D xsi:type="xsd:double"&gt;666.06&lt;/D&gt;&lt;D xsi:type="xsd:double"&gt;676.33&lt;/D&gt;&lt;D xsi:type="xsd:double"&gt;677.18&lt;/D&gt;&lt;D xsi:type="xsd:double"&gt;678.27&lt;/D&gt;&lt;D xsi:type="xsd:double"&gt;672.38&lt;/D&gt;&lt;D xsi:type="xsd:double"&gt;681.31&lt;/D&gt;&lt;D xsi:type="xsd:double"&gt;685.13&lt;/D&gt;&lt;D xsi:type="xsd:double"&gt;680.33&lt;/D&gt;&lt;D xsi:type="xsd:double"&gt;686.38&lt;/D&gt;&lt;D xsi:type="xsd:double"&gt;685.99&lt;/D&gt;&lt;D xsi:type="xsd:double"&gt;689.3&lt;/D&gt;&lt;D xsi:type="xsd:double"&gt;693.15&lt;/D&gt;&lt;D xsi:type="xsd:double"&gt;687.35&lt;/D&gt;&lt;D xsi:type="xsd:double"&gt;682.39&lt;/D&gt;&lt;D xsi:type="xsd:double"&gt;689.43&lt;/D&gt;&lt;D xsi:type="xsd:double"&gt;684.48&lt;/D&gt;&lt;D xsi:type="xsd:double"&gt;686.29&lt;/D&gt;&lt;D xsi:type="xsd:double"&gt;682.85&lt;/D&gt;&lt;D xsi:type="xsd:double"&gt;681.75&lt;/D&gt;&lt;D xsi:type="xsd:double"&gt;681.75&lt;/D&gt;&lt;D xsi:type="xsd:double"&gt;681.27&lt;/D&gt;&lt;D xsi:type="xsd:double"&gt;691.96&lt;/D&gt;&lt;D xsi:type="xsd:double"&gt;692.12&lt;/D&gt;&lt;D xsi:type="xsd:double"&gt;693.95&lt;/D&gt;&lt;D xsi:type="xsd:double"&gt;690.62&lt;/D&gt;&lt;D xsi:type="xsd:double"&gt;677.62&lt;/D&gt;&lt;D xsi:type="xsd:double"&gt;686.19&lt;/D&gt;&lt;D xsi:type="xsd:double"&gt;689.53&lt;/D&gt;&lt;D xsi:type="xsd:double"&gt;695.41&lt;/D&gt;&lt;D xsi:type="xsd:double"&gt;691.97&lt;/D&gt;&lt;D xsi:type="xsd:double"&gt;694.04&lt;/D&gt;&lt;D xsi:type="xsd:double"&gt;695.42&lt;/D&gt;&lt;D xsi:type="xsd:double"&gt;695.49&lt;/D&gt;&lt;D xsi:type="xsd:double"&gt;692.73&lt;/D&gt;&lt;D xsi:type="xsd:double"&gt;689.23&lt;/D&gt;&lt;D xsi:type="xsd:double"&gt;688.98&lt;/D&gt;&lt;D xsi:type="xsd:double"&gt;685.4&lt;/D&gt;&lt;D xsi:type="xsd:double"&gt;677.58&lt;/D&gt;&lt;D xsi:type="xsd:double"&gt;691.66&lt;/D&gt;&lt;D xsi:type="xsd:double"&gt;691.66&lt;/D&gt;&lt;D xsi:type="xsd:double"&gt;692.24&lt;/D&gt;&lt;D xsi:type="xsd:double"&gt;690.36&lt;/D&gt;&lt;D xsi:type="xsd:double"&gt;693.77&lt;/D&gt;&lt;D xsi:type="xsd:double"&gt;695.16&lt;/D&gt;&lt;D xsi:type="xsd:double"&gt;694.07&lt;/D&gt;&lt;D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xsi:type="xsd:double"&gt;681.92&lt;/D&gt;&lt;D xsi:type="xsd:double"&gt;687.01&lt;/D&gt;&lt;D xsi:type="xsd:double"&gt;687.85&lt;/D&gt;&lt;D xsi:type="xsd:double"&gt;690.31&lt;/D&gt;&lt;D xsi:type="xsd:double"&gt;690.38&lt;/D&gt;&lt;D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xsi:type="xsd:double"&gt;593.05&lt;/D&gt;&lt;/FQL&gt;&lt;FQL&gt;&lt;Q&gt;ENZL^FG_PRICE(0,-200D)&lt;/Q&gt;&lt;R&gt;201&lt;/R&gt;&lt;C&gt;1&lt;/C&gt;&lt;D xsi:type="xsd:double"&gt;44.6653&lt;/D&gt;&lt;D xsi:type="xsd:double"&gt;45.1753&lt;/D&gt;&lt;D xsi:type="xsd:double"&gt;44.9836&lt;/D&gt;&lt;D xsi:type="xsd:double"&gt;45.21&lt;/D&gt;&lt;D xsi:type="xsd:double"&gt;45.7138&lt;/D&gt;&lt;D xsi:type="xsd:double"&gt;46.06&lt;/D&gt;&lt;D xsi:type="xsd:double"&gt;46.58&lt;/D&gt;&lt;D xsi:type="xsd:double"&gt;46.05&lt;/D&gt;&lt;D xsi:type="xsd:double"&gt;47.1153&lt;/D&gt;&lt;D xsi:type="xsd:double"&gt;47.4776&lt;/D&gt;&lt;D xsi:type="xsd:double"&gt;47.225&lt;/D&gt;&lt;D xsi:type="xsd:double"&gt;47.1645&lt;/D&gt;&lt;D xsi:type="xsd:double"&gt;46.72&lt;/D&gt;&lt;D xsi:type="xsd:double"&gt;45.9335&lt;/D&gt;&lt;D xsi:type="xsd:double"&gt;45.8355&lt;/D&gt;&lt;D xsi:type="xsd:double"&gt;46.0172&lt;/D&gt;&lt;D xsi:type="xsd:double"&gt;45.25&lt;/D&gt;&lt;D xsi:type="xsd:double"&gt;44.905&lt;/D&gt;&lt;D xsi:type="xsd:double"&gt;46.7721&lt;/D&gt;&lt;D xsi:type="xsd:double"&gt;46.7721&lt;/D&gt;&lt;D xsi:type="xsd:double"&gt;47.4568&lt;/D&gt;&lt;D xsi:type="xsd:double"&gt;47.898&lt;/D&gt;&lt;D xsi:type="xsd:double"&gt;47.995&lt;/D&gt;&lt;D xsi:type="xsd:double"&gt;47.975&lt;/D&gt;&lt;D xsi:type="xsd:double"&gt;47.6&lt;/D&gt;&lt;D xsi:type="xsd:double"&gt;47.11&lt;/D&gt;&lt;D xsi:type="xsd:double"&gt;46.72&lt;/D&gt;&lt;D xsi:type="xsd:double"&gt;47.242&lt;/D&gt;&lt;D xsi:type="xsd:double"&gt;47.1177&lt;/D&gt;&lt;D xsi:type="xsd:double"&gt;46.9408&lt;/D&gt;&lt;D xsi:type="xsd:double"&gt;47.234&lt;/D&gt;&lt;D xsi:type="xsd:double"&gt;47.11&lt;/D&gt;&lt;D xsi:type="xsd:double"&gt;47.52&lt;/D&gt;&lt;D xsi:type="xsd:double"&gt;46.87&lt;/D&gt;&lt;D xsi:type="xsd:double"&gt;46.624&lt;/D&gt;&lt;D xsi:type="xsd:double"&gt;46.755&lt;/D&gt;&lt;D xsi:type="xsd:double"&gt;46.11&lt;/D&gt;&lt;D xsi:type="xsd:double"&gt;46.09&lt;/D&gt;&lt;D xsi:type="xsd:double"&gt;45.755&lt;/D&gt;&lt;D xsi:type="xsd:double"&gt;45.755&lt;/D&gt;&lt;D xsi:type="xsd:double"&gt;45.6301&lt;/D&gt;&lt;D xsi:type="xsd:double"&gt;45.89&lt;/D&gt;&lt;D xsi:type="xsd:double"&gt;45.52&lt;/D&gt;&lt;D xsi:type="xsd:double"&gt;46.1&lt;/D&gt;&lt;D xsi:type="xsd:double"&gt;45.98&lt;/D&gt;&lt;D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xsi:type="xsd:double"&gt;45.2715&lt;/D&gt;&lt;D xsi:type="xsd:double"&gt;45.41&lt;/D&gt;&lt;D xsi:type="xsd:double"&gt;45.41&lt;/D&gt;&lt;D xsi:type="xsd:double"&gt;45.73&lt;/D&gt;&lt;D xsi:type="xsd:double"&gt;45.74&lt;/D&gt;&lt;D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xsi:type="xsd:double"&gt;45.53&lt;/D&gt;&lt;/FQL&gt;&lt;FQL&gt;&lt;Q&gt;INDA^FG_PRICE(0,-200D)&lt;/Q&gt;&lt;R&gt;201&lt;/R&gt;&lt;C&gt;1&lt;/C&gt;&lt;D xsi:type="xsd:double"&gt;48.52&lt;/D&gt;&lt;D xsi:type="xsd:double"&gt;49.27&lt;/D&gt;&lt;D xsi:type="xsd:double"&gt;49.93&lt;/D&gt;&lt;D xsi:type="xsd:double"&gt;49.98&lt;/D&gt;&lt;D xsi:type="xsd:double"&gt;49.99&lt;/D&gt;&lt;D xsi:type="xsd:double"&gt;50.37&lt;/D&gt;&lt;D xsi:type="xsd:double"&gt;50.27&lt;/D&gt;&lt;D xsi:type="xsd:double"&gt;50.22&lt;/D&gt;&lt;D xsi:type="xsd:double"&gt;50.95&lt;/D&gt;&lt;D xsi:type="xsd:double"&gt;52.27&lt;/D&gt;&lt;D xsi:type="xsd:double"&gt;52.58&lt;/D&gt;&lt;D xsi:type="xsd:double"&gt;52.74&lt;/D&gt;&lt;D xsi:type="xsd:double"&gt;52.67&lt;/D&gt;&lt;D xsi:type="xsd:double"&gt;52.61&lt;/D&gt;&lt;D xsi:type="xsd:double"&gt;53.42&lt;/D&gt;&lt;D xsi:type="xsd:double"&gt;52.3&lt;/D&gt;&lt;D xsi:type="xsd:double"&gt;53.32&lt;/D&gt;&lt;D xsi:type="xsd:double"&gt;53.27&lt;/D&gt;&lt;D xsi:type="xsd:double"&gt;52.89&lt;/D&gt;&lt;D xsi:type="xsd:double"&gt;52.89&lt;/D&gt;&lt;D xsi:type="xsd:double"&gt;53.11&lt;/D&gt;&lt;D xsi:type="xsd:double"&gt;53.53&lt;/D&gt;&lt;D xsi:type="xsd:double"&gt;53.74&lt;/D&gt;&lt;D xsi:type="xsd:double"&gt;53.44&lt;/D&gt;&lt;D xsi:type="xsd:double"&gt;53.28&lt;/D&gt;&lt;D xsi:type="xsd:double"&gt;52.95&lt;/D&gt;&lt;D xsi:type="xsd:double"&gt;53.44&lt;/D&gt;&lt;D xsi:type="xsd:double"&gt;53.15&lt;/D&gt;&lt;D xsi:type="xsd:double"&gt;53.28&lt;/D&gt;&lt;D xsi:type="xsd:double"&gt;51.74&lt;/D&gt;&lt;D xsi:type="xsd:double"&gt;51.61&lt;/D&gt;&lt;D xsi:type="xsd:double"&gt;51.49&lt;/D&gt;&lt;D xsi:type="xsd:double"&gt;51.69&lt;/D&gt;&lt;D xsi:type="xsd:double"&gt;51.44&lt;/D&gt;&lt;D xsi:type="xsd:double"&gt;51.24&lt;/D&gt;&lt;D xsi:type="xsd:double"&gt;51.795&lt;/D&gt;&lt;D xsi:type="xsd:double"&gt;51.55&lt;/D&gt;&lt;D xsi:type="xsd:double"&gt;51.73&lt;/D&gt;&lt;D xsi:type="xsd:double"&gt;52.85&lt;/D&gt;&lt;D xsi:type="xsd:double"&gt;52.85&lt;/D&gt;&lt;D xsi:type="xsd:double"&gt;53.22&lt;/D&gt;&lt;D xsi:type="xsd:double"&gt;53.25&lt;/D&gt;&lt;D xsi:type="xsd:double"&gt;53.04&lt;/D&gt;&lt;D xsi:type="xsd:double"&gt;53.4&lt;/D&gt;&lt;D xsi:type="xsd:double"&gt;53.175&lt;/D&gt;&lt;D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xsi:type="xsd:double"&gt;54.05&lt;/D&gt;&lt;D xsi:type="xsd:double"&gt;53.64&lt;/D&gt;&lt;D xsi:type="xsd:double"&gt;53.47&lt;/D&gt;&lt;D xsi:type="xsd:double"&gt;53.84&lt;/D&gt;&lt;D xsi:type="xsd:double"&gt;54.01&lt;/D&gt;&lt;D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xsi:type="xsd:double"&gt;54.18&lt;/D&gt;&lt;/FQL&gt;&lt;FQL&gt;&lt;Q&gt;EPU^FG_PRICE(0,-200D)&lt;/Q&gt;&lt;R&gt;201&lt;/R&gt;&lt;C&gt;1&lt;/C&gt;&lt;D xsi:type="xsd:double"&gt;81.95&lt;/D&gt;&lt;D xsi:type="xsd:double"&gt;84.67&lt;/D&gt;&lt;D xsi:type="xsd:double"&gt;86.87&lt;/D&gt;&lt;D xsi:type="xsd:double"&gt;83.97&lt;/D&gt;&lt;D xsi:type="xsd:double"&gt;83.19&lt;/D&gt;&lt;D xsi:type="xsd:double"&gt;84.72&lt;/D&gt;&lt;D xsi:type="xsd:double"&gt;88.67&lt;/D&gt;&lt;D xsi:type="xsd:double"&gt;87.55&lt;/D&gt;&lt;D xsi:type="xsd:double"&gt;93.38&lt;/D&gt;&lt;D xsi:type="xsd:double"&gt;93.84&lt;/D&gt;&lt;D xsi:type="xsd:double"&gt;93.46&lt;/D&gt;&lt;D xsi:type="xsd:double"&gt;93.37&lt;/D&gt;&lt;D xsi:type="xsd:double"&gt;92.18&lt;/D&gt;&lt;D xsi:type="xsd:double"&gt;90.66&lt;/D&gt;&lt;D xsi:type="xsd:double"&gt;89.66&lt;/D&gt;&lt;D xsi:type="xsd:double"&gt;88.13&lt;/D&gt;&lt;D xsi:type="xsd:double"&gt;86.571&lt;/D&gt;&lt;D xsi:type="xsd:double"&gt;84.91&lt;/D&gt;&lt;D xsi:type="xsd:double"&gt;86.67&lt;/D&gt;&lt;D xsi:type="xsd:double"&gt;86.67&lt;/D&gt;&lt;D xsi:type="xsd:double"&gt;87.03&lt;/D&gt;&lt;D xsi:type="xsd:double"&gt;90.05&lt;/D&gt;&lt;D xsi:type="xsd:double"&gt;89.43&lt;/D&gt;&lt;D xsi:type="xsd:double"&gt;91.08&lt;/D&gt;&lt;D xsi:type="xsd:double"&gt;88.15&lt;/D&gt;&lt;D xsi:type="xsd:double"&gt;85.17&lt;/D&gt;&lt;D xsi:type="xsd:double"&gt;88.38&lt;/D&gt;&lt;D xsi:type="xsd:double"&gt;91.33&lt;/D&gt;&lt;D xsi:type="xsd:double"&gt;87.4&lt;/D&gt;&lt;D xsi:type="xsd:double"&gt;86.6&lt;/D&gt;&lt;D xsi:type="xsd:double"&gt;92.57&lt;/D&gt;&lt;D xsi:type="xsd:double"&gt;92.07&lt;/D&gt;&lt;D xsi:type="xsd:double"&gt;91.61&lt;/D&gt;&lt;D xsi:type="xsd:double"&gt;90.43&lt;/D&gt;&lt;D xsi:type="xsd:double"&gt;88.38&lt;/D&gt;&lt;D xsi:type="xsd:double"&gt;86.2&lt;/D&gt;&lt;D xsi:type="xsd:double"&gt;85.04&lt;/D&gt;&lt;D xsi:type="xsd:double"&gt;84.78&lt;/D&gt;&lt;D xsi:type="xsd:double"&gt;82.63&lt;/D&gt;&lt;D xsi:type="xsd:double"&gt;82.63&lt;/D&gt;&lt;D xsi:type="xsd:double"&gt;83.01&lt;/D&gt;&lt;D xsi:type="xsd:double"&gt;82.26&lt;/D&gt;&lt;D xsi:type="xsd:double"&gt;80.99&lt;/D&gt;&lt;D xsi:type="xsd:double"&gt;80.55&lt;/D&gt;&lt;D xsi:type="xsd:double"&gt;78.19&lt;/D&gt;&lt;D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xsi:type="xsd:double"&gt;72.35&lt;/D&gt;&lt;D xsi:type="xsd:double"&gt;72.91&lt;/D&gt;&lt;D xsi:type="xsd:double"&gt;71.95&lt;/D&gt;&lt;D xsi:type="xsd:double"&gt;73.77&lt;/D&gt;&lt;D xsi:type="xsd:double"&gt;72.74&lt;/D&gt;&lt;D xsi:type="xsd:double"&gt;72.74&lt;/D&gt;&lt;D</t>
        </r>
      </text>
    </comment>
    <comment ref="A8" authorId="0" shapeId="0" xr:uid="{97A14D41-FDBA-4226-B65D-0B7C5CA3D0C3}">
      <text>
        <r>
          <rPr>
            <b/>
            <sz val="9"/>
            <color indexed="81"/>
            <rFont val="Tahoma"/>
            <charset val="1"/>
          </rPr>
          <t xml:space="preserve">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xsi:type="xsd:double"&gt;48.7961&lt;/D&gt;&lt;/FQL&gt;&lt;FQL&gt;&lt;Q&gt;EWD^FG_TOTAL_RETURNC(-5AY,0,AM)&lt;/Q&gt;&lt;R&gt;61&lt;/R&gt;&lt;C&gt;1&lt;/C&gt;&lt;D xsi:type="xsd:double"&gt;5.344224&lt;/D&gt;&lt;D xsi:type="xsd:double"&gt;2.658403&lt;/D&gt;&lt;D xsi:type="xsd:double"&gt;0.3452778&lt;/D&gt;&lt;D xsi:type="xsd:double"&gt;6.0257435&lt;/D&gt;&lt;D xsi:type="xsd:double"&gt;-1.1415482&lt;/D&gt;&lt;D xsi:type="xsd:double"&gt;2.1205068&lt;/D&gt;&lt;D xsi:type="xsd:double"&gt;-2.0764768&lt;/D&gt;&lt;D xsi:type="xsd:double"&gt;-5.3747654&lt;/D&gt;&lt;D xsi:type="xsd:double"&gt;7.987571&lt;/D&gt;&lt;D xsi:type="xsd:double"&gt;-4.848975&lt;/D&gt;&lt;D xsi:type="xsd:double"&gt;3.1886697&lt;/D&gt;&lt;D xsi:type="xsd:double"&gt;-11.72027&lt;/D&gt;&lt;D xsi:type="xsd:double"&gt;-12.004889&lt;/D&gt;&lt;D xsi:type="xsd:double"&gt;6.3350916&lt;/D&gt;&lt;D xsi:type="xsd:double"&gt;-12.568593&lt;/D&gt;&lt;D xsi:type="xsd:double"&gt;2.5562763&lt;/D&gt;&lt;D xsi:type="xsd:double"&gt;-7.7661095&lt;/D&gt;&lt;D xsi:type="xsd:double"&gt;9.980499&lt;/D&gt;&lt;D xsi:type="xsd:double"&gt;-6.1483917&lt;/D&gt;&lt;D xsi:type="xsd:double"&gt;-15.968502&lt;/D&gt;&lt;D xsi:type="xsd:double"&gt;27.886057&lt;/D&gt;&lt;D xsi:type="xsd:double"&gt;-0.3516972&lt;/D&gt;&lt;D xsi:type="xsd:double"&gt;4.653728&lt;/D&gt;&lt;D xsi:type="xsd:double"&gt;-1.243645&lt;/D&gt;&lt;D xsi:type="xsd:double"&gt;-4.092729&lt;/D&gt;&lt;D xsi:type="xsd:double"&gt;6.923318&lt;/D&gt;&lt;D xsi:type="xsd:double"&gt;0.5581856&lt;/D&gt;&lt;D xsi:type="xsd:double"&gt;-1.8318057&lt;/D&gt;&lt;D xsi:type="xsd:double"&gt;2.4597168&lt;/D&gt;&lt;D xsi:type="xsd:double"&gt;-6.0430527&lt;/D&gt;&lt;D xsi:type="xsd:double"&gt;-3.7591755&lt;/D&gt;&lt;D xsi:type="xsd:double"&gt;2.7464032&lt;/D&gt;&lt;D xsi:type="xsd:double"&gt;-2.168101&lt;/D&gt;&lt;D xsi:type="xsd:double"&gt;14.875531&lt;/D&gt;&lt;D xsi:type="xsd:double"&gt;2.30695&lt;/D&gt;&lt;D xsi:type="xsd:double"&gt;0.555861&lt;/D&gt;&lt;D xsi:type="xsd:double"&gt;8.844423&lt;/D&gt;&lt;D xsi:type="xsd:double"&gt;-6.3361526&lt;/D&gt;&lt;D xsi:type="xsd:double"&gt;5.4737926&lt;/D&gt;&lt;D xsi:type="xsd:double"&gt;4.422128&lt;/D&gt;&lt;D xsi:type="xsd:double"&gt;-0.8575499&lt;/D&gt;&lt;D xsi:type="xsd:double"&gt;-6.7515554&lt;/D&gt;&lt;D xsi:type="xsd:double"&gt;5.333674&lt;/D&gt;&lt;D xsi:type="xsd:double"&gt;2.005875&lt;/D&gt;&lt;D xsi:type="xsd:double"&gt;-7.170266&lt;/D&gt;&lt;D xsi:type="xsd:double"&gt;0.5683303&lt;/D&gt;&lt;D xsi:type="xsd:double"&gt;-3.5191357&lt;/D&gt;&lt;D xsi:type="xsd:double"&gt;14.430237&lt;/D&gt;&lt;D xsi:type="xsd:double"&gt;1.8380642&lt;/D&gt;&lt;D xsi:type="xsd:double"&gt;-7.904953&lt;/D&gt;&lt;D xsi:type="xsd:double"&gt;11.858093&lt;/D&gt;&lt;D xsi:type="xsd:double"&gt;2.0625472&lt;/D&gt;&lt;D xsi:type="xsd:double"&gt;1.250124&lt;/D&gt;&lt;D xsi:type="xsd:double"&gt;0.9216666&lt;/D&gt;&lt;D xsi:type="xsd:double"&gt;2.7179837&lt;/D&gt;&lt;D xsi:type="xsd:double"&gt;-0.6774008&lt;/D&gt;&lt;D xsi:type="xsd:double"&gt;4.049444&lt;/D&gt;&lt;D xsi:type="xsd:double"&gt;1.1470795&lt;/D&gt;&lt;D xsi:type="xsd:double"&gt;4.383564&lt;/D&gt;&lt;D xsi:type="xsd:double"&gt;4.9302697&lt;/D&gt;&lt;D xsi:type="xsd:double"&gt;-5.409956&lt;/D&gt;&lt;/FQL&gt;&lt;FQL&gt;&lt;Q&gt;EWG^FG_TOTAL_RETURNC(-5AY,0,AM)&lt;/Q&gt;&lt;R&gt;61&lt;/R&gt;&lt;C&gt;1&lt;/C&gt;&lt;D xsi:type="xsd:double"&gt;0.72836876&lt;/D&gt;&lt;D xsi:type="xsd:double"&gt;4.127753&lt;/D&gt;&lt;D xsi:type="xsd:double"&gt;-0.52083135&lt;/D&gt;&lt;D xsi:type="xsd:double"&gt;5.367148&lt;/D&gt;&lt;D xsi:type="xsd:double"&gt;-1.3475537&lt;/D&gt;&lt;D xsi:type="xsd:double"&gt;-0.1707375&lt;/D&gt;&lt;D xsi:type="xsd:double"&gt;-1.7103851&lt;/D&gt;&lt;D xsi:type="xsd:double"&gt;-5.684453&lt;/D&gt;&lt;D xsi:type="xsd:double"&gt;4.8892975&lt;/D&gt;&lt;D xsi:type="xsd:double"&gt;-4.1923227&lt;/D&gt;&lt;D xsi:type="xsd:double"&gt;3.4269214&lt;/D&gt;&lt;D xsi:type="xsd:double"&gt;-5.7893157&lt;/D&gt;&lt;D xsi:type="xsd:double"&gt;-15.394365&lt;/D&gt;&lt;D xsi:type="xsd:double"&gt;1.3103724&lt;/D&gt;&lt;D xsi:type="xsd:double"&gt;-7.243162&lt;/D&gt;&lt;D xsi:type="xsd:double"&gt;1.9830704&lt;/D&gt;&lt;D xsi:type="xsd:double"&gt;-11.759967&lt;/D&gt;&lt;D xsi:type="xsd:double"&gt;10.451853&lt;/D&gt;&lt;D xsi:type="xsd:double"&gt;-4.7520695&lt;/D&gt;&lt;D xsi:type="xsd:double"&gt;-14.403468&lt;/D&gt;&lt;D xsi:type="xsd:double"&gt;25.84896&lt;/D&gt;&lt;D xsi:type="xsd:double"&gt;1.8525958&lt;/D&gt;&lt;D xsi:type="xsd:double"&gt;9.843147&lt;/D&gt;&lt;D xsi:type="xsd:double"&gt;0&lt;/D&gt;&lt;D xsi:type="xsd:double"&gt;-1.6924798&lt;/D&gt;&lt;D xsi:type="xsd:double"&gt;5.567765&lt;/D&gt;&lt;D xsi:type="xsd:double"&gt;0.10409355&lt;/D&gt;&lt;D xsi:type="xsd:double"&gt;0.21730661&lt;/D&gt;&lt;D xsi:type="xsd:double"&gt;2.594173&lt;/D&gt;&lt;D xsi:type="xsd:double"&gt;-2.6324928&lt;/D&gt;&lt;D xsi:type="xsd:double"&gt;-3.2017112&lt;/D&gt;&lt;D xsi:type="xsd:double"&gt;-4.152882&lt;/D&gt;&lt;D xsi:type="xsd:double"&gt;0.99693537&lt;/D&gt;&lt;D xsi:type="xsd:double"&gt;10.478365&lt;/D&gt;&lt;D xsi:type="xsd:double"&gt;0.41761398&lt;/D&gt;&lt;D xsi:type="xsd:double"&gt;0.410676&lt;/D&gt;&lt;D xsi:type="xsd:double"&gt;7.089293&lt;/D&gt;&lt;D xsi:type="xsd:double"&gt;-3.7237406&lt;/D&gt;&lt;D xsi:type="xsd:double"&gt;6.3801646&lt;/D&gt;&lt;D xsi:type="xsd:double"&gt;-0.17626882&lt;/D&gt;&lt;D xsi:type="xsd:double"&gt;1.8181801&lt;/D&gt;&lt;D xsi:type="xsd:double"&gt;-5.7017508&lt;/D&gt;&lt;D xsi:type="xsd:double"&gt;6.744194&lt;/D&gt;&lt;D xsi:type="xsd:double"&gt;3.2990932&lt;/D&gt;&lt;D xsi:type="xsd:double"&gt;-4.8508525&lt;/D&gt;&lt;D xsi:type="xsd:double"&gt;4.5598507&lt;/D&gt;&lt;D xsi:type="xsd:double"&gt;-2.9981852&lt;/D&gt;&lt;D xsi:type="xsd:double"&gt;11.6141205&lt;/D&gt;&lt;D xsi:type="xsd:double"&gt;6.2657356&lt;/D&gt;&lt;D xsi:type="xsd:double"&gt;-4.264289&lt;/D&gt;&lt;D xsi:type="xsd:double"&gt;11.025572&lt;/D&gt;&lt;D xsi:type="xsd:double"&gt;4.5567155&lt;/D&gt;&lt;D xsi:type="xsd:double"&gt;2.2053957&lt;/D&gt;&lt;D xsi:type="xsd:double"&gt;-0.7067144&lt;/D&gt;&lt;D xsi:type="xsd:double"&gt;-1.9928813&lt;/D&gt;&lt;D xsi:type="xsd:double"&gt;0.5083442&lt;/D&gt;&lt;D xsi:type="xsd:double"&gt;0.38535595&lt;/D&gt;&lt;D xsi:type="xsd:double"&gt;1.199615&lt;/D&gt;&lt;D xsi:type="xsd:double"&gt;3.9118052&lt;/D&gt;&lt;D xsi:type="xsd:double"&gt;0.2965927&lt;/D&gt;&lt;D xsi:type="xsd:double"&gt;-8.234757&lt;/D&gt;&lt;/FQL&gt;&lt;FQL&gt;&lt;Q&gt;SET-BKK^FG_TOTAL_RETURNC(-5AY,0,AM)&lt;/Q&gt;&lt;R&gt;61&lt;/R&gt;&lt;C&gt;1&lt;/C&gt;&lt;D xsi:type="xsd:double"&gt;3.9672494&lt;/D&gt;&lt;D xsi:type="xsd:double"&gt;-1.7261922&lt;/D&gt;&lt;D xsi:type="xsd:double"&gt;1.9940019&lt;/D&gt;&lt;D xsi:type="xsd:double"&gt;4.1168094&lt;/D&gt;&lt;D xsi:type="xsd:double"&gt;-5.2989244&lt;/D&gt;&lt;D xsi:type="xsd:double"&gt;-1.1052728&lt;/D&gt;&lt;D xsi:type="xsd:double"&gt;6.6966414&lt;/D&gt;&lt;D xsi:type="xsd:double"&gt;0.5069256&lt;/D&gt;&lt;D xsi:type="xsd:double"&gt;-0.5901575&lt;/D&gt;&lt;D xsi:type="xsd:double"&gt;-0.96147656&lt;/D&gt;&lt;D xsi:type="xsd:double"&gt;3.724444&lt;/D&gt;&lt;D xsi:type="xsd:double"&gt;1.233244&lt;/D&gt;&lt;D xsi:type="xsd:double"&gt;-2.4240792&lt;/D&gt;&lt;D xsi:type="xsd:double"&gt;0.98490715&lt;/D&gt;&lt;D xsi:type="xsd:double"&gt;-5.3645015&lt;/D&gt;&lt;D xsi:type="xsd:double"&gt;3.0356169&lt;/D&gt;&lt;D xsi:type="xsd:double"&gt;-5.2565756&lt;/D&gt;&lt;D xsi:type="xsd:double"&gt;4.8784614&lt;/D&gt;&lt;D xsi:type="xsd:double"&gt;2.6802063&lt;/D&gt;&lt;D xsi:type="xsd:double"&gt;-6.301099&lt;/D&gt;&lt;D xsi:type="xsd:double"&gt;4.902041&lt;/D&gt;&lt;D xsi:type="xsd:double"&gt;-0.8648455&lt;/D&gt;&lt;D xsi:type="xsd:double"&gt;3.9627075&lt;/D&gt;&lt;D xsi:type="xsd:double"&gt;-1.3558924&lt;/D&gt;&lt;D xsi:type="xsd:double"&gt;-3.9000988&lt;/D&gt;&lt;D xsi:type="xsd:double"&gt;-0.43634176&lt;/D&gt;&lt;D xsi:type="xsd:double"&gt;-1.9665122&lt;/D&gt;&lt;D xsi:type="xsd:double"&gt;-0.6366253&lt;/D&gt;&lt;D xsi:type="xsd:double"&gt;-3.884852&lt;/D&gt;&lt;D xsi:type="xsd:double"&gt;2.9521108&lt;/D&gt;&lt;D xsi:type="xsd:double"&gt;0.6735444&lt;/D&gt;&lt;D xsi:type="xsd:double"&gt;-6.130701&lt;/D&gt;&lt;D xsi:type="xsd:double"&gt;-4.2171297&lt;/D&gt;&lt;D xsi:type="xsd:double"&gt;-1.1262417&lt;/D&gt;&lt;D xsi:type="xsd:double"&gt;2.8829932&lt;/D&gt;&lt;D xsi:type="xsd:double"&gt;-1.7141461&lt;/D&gt;&lt;D xsi:type="xsd:double"&gt;-0.6960392&lt;/D&gt;&lt;D xsi:type="xsd:double"&gt;1.2140989&lt;/D&gt;&lt;D xsi:type="xsd:double"&gt;-1.7531037&lt;/D&gt;&lt;D xsi:type="xsd:double"&gt;-4.0243506&lt;/D&gt;&lt;D xsi:type="xsd:double"&gt;1.1658072&lt;/D&gt;&lt;D xsi:type="xsd:double"&gt;-2.6253045&lt;/D&gt;&lt;D xsi:type="xsd:double"&gt;9.599328&lt;/D&gt;&lt;D xsi:type="xsd:double"&gt;3.413105&lt;/D&gt;&lt;D xsi:type="xsd:double"&gt;-1.7026067&lt;/D&gt;&lt;D xsi:type="xsd:double"&gt;-0.35845637&lt;/D&gt;&lt;D xsi:type="xsd:double"&gt;-4.9934387&lt;/D&gt;&lt;D xsi:type="xsd:double"&gt;-6.141859&lt;/D&gt;&lt;D xsi:type="xsd:double"&gt;-9.650528&lt;/D&gt;&lt;D xsi:type="xsd:double"&gt;-2.7067602&lt;/D&gt;&lt;D xsi:type="xsd:double"&gt;7.2900534&lt;/D&gt;&lt;D xsi:type="xsd:double"&gt;-6.798023&lt;/D&gt;&lt;D xsi:type="xsd:double"&gt;-0.6636441&lt;/D&gt;&lt;D xsi:type="xsd:double"&gt;12.30365&lt;/D&gt;&lt;D xsi:type="xsd:double"&gt;2.7440906&lt;/D&gt;&lt;D xsi:type="xsd:double"&gt;-0.51329136&lt;/D&gt;&lt;D xsi:type="xsd:double"&gt;-0.16860366&lt;/D&gt;&lt;D xsi:type="xsd:double"&gt;-2.3902416&lt;/D&gt;&lt;D xsi:type="xsd:double"&gt;-0.94888806&lt;/D&gt;&lt;D xsi:type="xsd:double"&gt;16.046535&lt;/D&gt;&lt;D xsi:type="xsd:double"&gt;-0.81371665&lt;/D&gt;&lt;/FQL&gt;&lt;FQL&gt;&lt;Q&gt;EWW^FG_TOTAL_RETURNC(-5AY,0,AM)&lt;/Q&gt;&lt;R&gt;61&lt;/R&gt;&lt;C&gt;1&lt;/C&gt;&lt;D xsi:type="xsd:double"&gt;3.1051636&lt;/D&gt;&lt;D xsi:type="xsd:double"&gt;2.5781393&lt;/D&gt;&lt;D xsi:type="xsd:double"&gt;2.3354053&lt;/D&gt;&lt;D xsi:type="xsd:double"&gt;8.077836&lt;/D&gt;&lt;D xsi:type="xsd:double"&gt;-3.0198634&lt;/D&gt;&lt;D xsi:type="xsd:double"&gt;2.5705457&lt;/D&gt;&lt;D xsi:type="xsd:double"&gt;1.8948555&lt;/D&gt;&lt;D xsi:type="xsd:double"&gt;-3.379321&lt;/D&gt;&lt;D xsi:type="xsd:double"&gt;0.95198154&lt;/D&gt;&lt;D xsi:type="xsd:double"&gt;-1.4350057&lt;/D&gt;&lt;D xsi:type="xsd:double"&gt;8.39839&lt;/D&gt;&lt;D xsi:type="xsd:double"&gt;-2.0821154&lt;/D&gt;&lt;D xsi:type="xsd:double"&gt;-2.3251176&lt;/D&gt;&lt;D xsi:type="xsd:double"&gt;8.0773115&lt;/D&gt;&lt;D xsi:type="xsd:double"&gt;-9.356171&lt;/D&gt;&lt;D xsi:type="xsd:double"&gt;-0.026535988&lt;/D&gt;&lt;D xsi:type="xsd:double"&gt;-4.788023&lt;/D&gt;&lt;D xsi:type="xsd:double"&gt;7.7979684&lt;/D&gt;&lt;D xsi:type="xsd:double"&gt;-1.8701196&lt;/D&gt;&lt;D xsi:type="xsd:double"&gt;-4.41885&lt;/D&gt;&lt;D xsi:type="xsd:double"&gt;17.462753&lt;/D&gt;&lt;D xsi:type="xsd:double"&gt;-2.9099047&lt;/D&gt;&lt;D xsi:type="xsd:double"&gt;10.753071&lt;/D&gt;&lt;D xsi:type="xsd:double"&gt;-0.31864047&lt;/D&gt;&lt;D xsi:type="xsd:double"&gt;1.1898398&lt;/D&gt;&lt;D xsi:type="xsd:double"&gt;4.6156526&lt;/D&gt;&lt;D xsi:type="xsd:double"&gt;4.2106986&lt;/D&gt;&lt;D xsi:type="xsd:double"&gt;1.551044&lt;/D&gt;&lt;D xsi:type="xsd:double"&gt;1.4851451&lt;/D&gt;&lt;D xsi:type="xsd:double"&gt;-2.360344&lt;/D&gt;&lt;D xsi:type="xsd:double"&gt;-3.3843637&lt;/D&gt;&lt;D xsi:type="xsd:double"&gt;-7.589656&lt;/D&gt;&lt;D xsi:type="xsd:double"&gt;6.516242&lt;/D&gt;&lt;D xsi:type="xsd:double"&gt;9.320461&lt;/D&gt;&lt;D xsi:type="xsd:double"&gt;4.439628&lt;/D&gt;&lt;D xsi:type="xsd:double"&gt;1.7935276&lt;/D&gt;&lt;D xsi:type="xsd:double"&gt;-2.9760182&lt;/D&gt;&lt;D xsi:type="xsd:double"&gt;2.8841734&lt;/D&gt;&lt;D xsi:type="xsd:double"&gt;1.5574098&lt;/D&gt;&lt;D xsi:type="xsd:double"&gt;-18.247055&lt;/D&gt;&lt;D xsi:type="xsd:double"&gt;11.241221&lt;/D&gt;&lt;D xsi:type="xsd:double"&gt;-11.206472&lt;/D&gt;&lt;D xsi:type="xsd:double"&gt;-1.9332528&lt;/D&gt;&lt;D xsi:type="xsd:double"&gt;2.4177074&lt;/D&gt;&lt;D xsi:type="xsd:double"&gt;-8.153254&lt;/D&gt;&lt;D xsi:type="xsd:double"&gt;1.7595887&lt;/D&gt;&lt;D xsi:type="xsd:double"&gt;-5.495751&lt;/D&gt;&lt;D xsi:type="xsd:double"&gt;10.118794&lt;/D&gt;&lt;D xsi:type="xsd:double"&gt;-1.7915606&lt;/D&gt;&lt;D xsi:type="xsd:double"&gt;-0.58846474&lt;/D&gt;&lt;D xsi:type="xsd:double"&gt;14.127863&lt;/D&gt;&lt;D xsi:type="xsd:double"&gt;6.448829&lt;/D&gt;&lt;D xsi:type="xsd:double"&gt;-0.57024956&lt;/D&gt;&lt;D xsi:type="xsd:double"&gt;3.6587358&lt;/D&gt;&lt;D xsi:type="xsd:double"&gt;6.080544&lt;/D&gt;&lt;D xsi:type="xsd:double"&gt;-2.6164591&lt;/D&gt;&lt;D xsi:type="xsd:double"&gt;5.8549523&lt;/D&gt;&lt;D xsi:type="xsd:double"&gt;3.7118554&lt;/D&gt;&lt;D xsi:type="xsd:double"&gt;3.919363&lt;/D&gt;&lt;D xsi:type="xsd:double"&gt;10.907578&lt;/D&gt;&lt;D xsi:type="xsd:double"&gt;-9.697199&lt;/D&gt;&lt;/FQL&gt;&lt;FQL&gt;&lt;Q&gt;CNYA^FG_TOTAL_RETURNC(-5AY,0,AM)&lt;/Q&gt;&lt;R&gt;61&lt;/R&gt;&lt;C&gt;1&lt;/C&gt;&lt;D xsi:type="xsd:double"&gt;-14.531827&lt;/D&gt;&lt;D xsi:type="xsd:double"&gt;-3.034383&lt;/D&gt;&lt;D xsi:type="xsd:double"&gt;2.8245807&lt;/D&gt;&lt;D xsi:type="xsd:double"&gt;6.63203&lt;/D&gt;&lt;D xsi:type="xsd:double"&gt;-0.36215186&lt;/D&gt;&lt;D xsi:type="xsd:double"&gt;-2.271694&lt;/D&gt;&lt;D xsi:type="xsd:double"&gt;1.7433763&lt;/D&gt;&lt;D xsi:type="xsd:double"&gt;-3.381312&lt;/D&gt;&lt;D xsi:type="xsd:double"&gt;2.74297&lt;/D&gt;&lt;D xsi:type="xsd:double"&gt;3.4522414&lt;/D&gt;&lt;D xsi:type="xsd:double"&gt;-3.861177&lt;/D&gt;&lt;D xsi:type="xsd:double"&gt;-7.3563814&lt;/D&gt;&lt;D xsi:type="xsd:double"&gt;-5.2684546&lt;/D&gt;&lt;D xsi:type="xsd:double"&gt;-3.5125136&lt;/D&gt;&lt;D xsi:type="xsd:double"&gt;-10.479868&lt;/D&gt;&lt;D xsi:type="xsd:double"&gt;8.7986355&lt;/D&gt;&lt;D xsi:type="xsd:double"&gt;2.7233958&lt;/D&gt;&lt;D xsi:type="xsd:double"&gt;-1.1322856&lt;/D&gt;&lt;D xsi:type="xsd:double"&gt;-4.776531&lt;/D&gt;&lt;D xsi:type="xsd:double"&gt;-11.704313&lt;/D&gt;&lt;D xsi:type="xsd:double"&gt;3.7541509&lt;/D&gt;&lt;D xsi:type="xsd:double"&gt;3.9705515&lt;/D&gt;&lt;D xsi:type="xsd:double"&gt;5.7517886&lt;/D&gt;&lt;D xsi:type="xsd:double"&gt;0&lt;/D&gt;&lt;D xsi:type="xsd:double"&gt;-4.6539426&lt;/D&gt;&lt;D xsi:type="xsd:double"&gt;2.659583&lt;/D&gt;&lt;D xsi:type="xsd:double"&gt;-5.1813483&lt;/D&gt;&lt;D xsi:type="xsd:double"&gt;-4.560107&lt;/D&gt;&lt;D xsi:type="xsd:double"&gt;0.67499876&lt;/D&gt;&lt;D xsi:type="xsd:double"&gt;-1.3037264&lt;/D&gt;&lt;D xsi:type="xsd:double"&gt;-3.0267239&lt;/D&gt;&lt;D xsi:type="xsd:double"&gt;-2.6269674&lt;/D&gt;&lt;D xsi:type="xsd:double"&gt;-1.9424438&lt;/D&gt;&lt;D xsi:type="xsd:double"&gt;-1.8341899&lt;/D&gt;&lt;D xsi:type="xsd:double"&gt;-4.610592&lt;/D&gt;&lt;D xsi:type="xsd:double"&gt;1.9587874&lt;/D&gt;&lt;D xsi:type="xsd:double"&gt;6.984186&lt;/D&gt;&lt;D xsi:type="xsd:double"&gt;-4.335952&lt;/D&gt;&lt;D xsi:type="xsd:double"&gt;6.253183&lt;/D&gt;&lt;D xsi:type="xsd:double"&gt;-3.5418332&lt;/D&gt;&lt;D xsi:type="xsd:double"&gt;-1.8369675&lt;/D&gt;&lt;D xsi:type="xsd:double"&gt;-2.9239774&lt;/D&gt;&lt;D xsi:type="xsd:double"&gt;-4.0160656&lt;/D&gt;&lt;D xsi:type="xsd:double"&gt;26.15063&lt;/D&gt;&lt;D xsi:type="xsd:double"&gt;-0.895524&lt;/D&gt;&lt;D xsi:type="xsd:double"&gt;-1.4056206&lt;/D&gt;&lt;D xsi:type="xsd:double"&gt;-8.832979&lt;/D&gt;&lt;D xsi:type="xsd:double"&gt;6.9939137&lt;/D&gt;&lt;D xsi:type="xsd:double"&gt;1.1273861&lt;/D&gt;&lt;D xsi:type="xsd:double"&gt;-4.7300816&lt;/D&gt;&lt;D xsi:type="xsd:double"&gt;5.0203085&lt;/D&gt;&lt;D xsi:type="xsd:double"&gt;-0.10545254&lt;/D&gt;&lt;D xsi:type="xsd:double"&gt;3.1540751&lt;/D&gt;&lt;D xsi:type="xsd:double"&gt;5.239725&lt;/D&gt;&lt;D xsi:type="xsd:double"&gt;9.339404&lt;/D&gt;&lt;D xsi:type="xsd:double"&gt;-2.0238101&lt;/D&gt;&lt;D xsi:type="xsd:double"&gt;4.5868874&lt;/D&gt;&lt;D xsi:type="xsd:double"&gt;-1.0165513&lt;/D&gt;&lt;D xsi:type="xsd:double"&gt;8.071339&lt;/D&gt;&lt;D xsi:type="xsd:double"&gt;-1.8492937&lt;/D&gt;&lt;D xsi:type="xsd:double"&gt;-0.112485886&lt;/D&gt;&lt;/FQL&gt;&lt;FQL&gt;&lt;Q&gt;QQQ^FG_PRICE(0,-200D)&lt;/Q&gt;&lt;R&gt;201&lt;/R&gt;&lt;C&gt;1&lt;/C&gt;&lt;D xsi:type="xsd:double"&gt;597.26&lt;/D&gt;&lt;D xsi:type="xsd:double"&gt;607.69&lt;/D&gt;&lt;D xsi:type="xsd:double"&gt;607.77&lt;/D&gt;&lt;D xsi:type="xsd:double"&gt;607.76&lt;/D&gt;&lt;D xsi:type="xsd:double"&gt;599.75&lt;/D&gt;&lt;D xsi:type="xsd:double"&gt;608.91&lt;/D&gt;&lt;D xsi:type="xsd:double"&gt;610.75&lt;/D&gt;&lt;D xsi:type="xsd:double"&gt;601.58&lt;/D&gt;&lt;D xsi:type="xsd:double"&gt;608.09&lt;/D&gt;&lt;D xsi:type="xsd:double"&gt;607.29&lt;/D&gt;&lt;D xsi:type="xsd:double"&gt;609.24&lt;/D&gt;&lt;D xsi:type="xsd:double"&gt;616.68&lt;/D&gt;&lt;D xsi:type="xsd:double"&gt;607.87&lt;/D&gt;&lt;D xsi:type="xsd:double"&gt;601.41&lt;/D&gt;&lt;D xsi:type="xsd:double"&gt;608.81&lt;/D&gt;&lt;D xsi:type="xsd:double"&gt;603.47&lt;/D&gt;&lt;D xsi:type="xsd:double"&gt;605.79&lt;/D&gt;&lt;D xsi:type="xsd:double"&gt;601.3&lt;/D&gt;&lt;D xsi:type="xsd:double"&gt;601.92&lt;/D&gt;&lt;D xsi:type="xsd:double"&gt;601.92&lt;/D&gt;&lt;D xsi:type="xsd:double"&gt;600.64&lt;/D&gt;&lt;D xsi:type="xsd:double"&gt;613.11&lt;/D&gt;&lt;D xsi:type="xsd:double"&gt;611.47&lt;/D&gt;&lt;D xsi:type="xsd:double"&gt;614.32&lt;/D&gt;&lt;D xsi:type="xsd:double"&gt;609.65&lt;/D&gt;&lt;D xsi:type="xsd:double"&gt;597.03&lt;/D&gt;&lt;D xsi:type="xsd:double"&gt;605.75&lt;/D&gt;&lt;D xsi:type="xsd:double"&gt;616.52&lt;/D&gt;&lt;D xsi:type="xsd:double"&gt;626.14&lt;/D&gt;&lt;D xsi:type="xsd:double"&gt;621.87&lt;/D&gt;&lt;D xsi:type="xsd:double"&gt;629.43&lt;/D&gt;&lt;D xsi:type="xsd:double"&gt;633.22&lt;/D&gt;&lt;D xsi:type="xsd:double"&gt;631.13&lt;/D&gt;&lt;D xsi:type="xsd:double"&gt;625.46&lt;/D&gt;&lt;D xsi:type="xsd:double"&gt;622.72&lt;/D&gt;&lt;D xsi:type="xsd:double"&gt;620.76&lt;/D&gt;&lt;D xsi:type="xsd:double"&gt;616.28&lt;/D&gt;&lt;D xsi:type="xsd:double"&gt;608.06&lt;/D&gt;&lt;D xsi:type="xsd:double"&gt;621.26&lt;/D&gt;&lt;D xsi:type="xsd:double"&gt;621.26&lt;/D&gt;&lt;D xsi:type="xsd:double"&gt;621.78&lt;/D&gt;&lt;D xsi:type="xsd:double"&gt;619.55&lt;/D&gt;&lt;D xsi:type="xsd:double"&gt;626.24&lt;/D&gt;&lt;D xsi:type="xsd:double"&gt;627.17&lt;/D&gt;&lt;D xsi:type="xsd:double"&gt;626.65&lt;/D&gt;&lt;D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xsi:type="xsd:double"&gt;614.31&lt;/D&gt;&lt;D xsi:type="xsd:double"&gt;619.43&lt;/D&gt;&lt;D xsi:type="xsd:double"&gt;620.87&lt;/D&gt;&lt;D xsi:type="xsd:double"&gt;623.89&lt;/D&gt;&lt;D xsi:type="xsd:double"&gt;623.93&lt;/D&gt;&lt;D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xsi:type="xsd:double"&gt;524.79&lt;/D&gt;&lt;/FQL&gt;&lt;FQL&gt;&lt;Q&gt;KSA^FG_PRICE(0,-200D)&lt;/Q&gt;&lt;R&gt;201&lt;/R&gt;&lt;C&gt;1&lt;/C&gt;&lt;D xsi:type="xsd:double"&gt;37.9&lt;/D&gt;&lt;D xsi:type="xsd:double"&gt;38.11&lt;/D&gt;&lt;D xsi:type="xsd:double"&gt;38.28&lt;/D&gt;&lt;D xsi:type="xsd:double"&gt;38.25&lt;/D&gt;&lt;D xsi:type="xsd:double"&gt;37.09&lt;/D&gt;&lt;D xsi:type="xsd:double"&gt;37.25&lt;/D&gt;&lt;D xsi:type="xsd:double"&gt;37.46&lt;/D&gt;&lt;D xsi:type="xsd:double"&gt;36.68&lt;/D&gt;&lt;D xsi:type="xsd:double"&gt;36.58&lt;/D&gt;&lt;D xsi:type="xsd:double"&gt;37.17&lt;/D&gt;&lt;D xsi:type="xsd:double"&gt;37.13&lt;/D&gt;&lt;D xsi:type="xsd:double"&gt;37.92&lt;/D&gt;&lt;D xsi:type="xsd:double"&gt;38.18&lt;/D&gt;&lt;D xsi:type="xsd:double"&gt;38.3&lt;/D&gt;&lt;D xsi:type="xsd:double"&gt;38.63&lt;/D&gt;&lt;D xsi:type="xsd:double"&gt;38.13&lt;/D&gt;&lt;D xsi:type="xsd:double"&gt;39.12&lt;/D&gt;&lt;D xsi:type="xsd:double"&gt;38.94&lt;/D&gt;&lt;D xsi:type="xsd:double"&gt;39.16&lt;/D&gt;&lt;D xsi:type="xsd:double"&gt;39.16&lt;/D&gt;&lt;D xsi:type="xsd:double"&gt;38.94&lt;/D&gt;&lt;D xsi:type="xsd:double"&gt;39.19&lt;/D&gt;&lt;D xsi:type="xsd:double"&gt;39.23&lt;/D&gt;&lt;D xsi:type="xsd:double"&gt;39.46&lt;/D&gt;&lt;D xsi:type="xsd:double"&gt;39.75&lt;/D&gt;&lt;D xsi:type="xsd:double"&gt;39.22&lt;/D&gt;&lt;D xsi:type="xsd:double"&gt;39.63&lt;/D&gt;&lt;D xsi:type="xsd:double"&gt;39.57&lt;/D&gt;&lt;D xsi:type="xsd:double"&gt;39.79&lt;/D&gt;&lt;D xsi:type="xsd:double"&gt;39.86&lt;/D&gt;&lt;D xsi:type="xsd:double"&gt;39.87&lt;/D&gt;&lt;D xsi:type="xsd:double"&gt;40.14&lt;/D&gt;&lt;D xsi:type="xsd:double"&gt;40.12&lt;/D&gt;&lt;D xsi:type="xsd:double"&gt;39.61&lt;/D&gt;&lt;D xsi:type="xsd:double"&gt;39.01&lt;/D&gt;&lt;D xsi:type="xsd:double"&gt;38.93&lt;/D&gt;&lt;D xsi:type="xsd:double"&gt;38.3&lt;/D&gt;&lt;D xsi:type="xsd:double"&gt;37.94&lt;/D&gt;&lt;D xsi:type="xsd:double"&gt;37.83&lt;/D&gt;&lt;D xsi:type="xsd:double"&gt;37.83&lt;/D&gt;&lt;D xsi:type="xsd:double"&gt;37.99&lt;/D&gt;&lt;D xsi:type="xsd:double"&gt;38.21&lt;/D&gt;&lt;D xsi:type="xsd:double"&gt;38.21&lt;/D&gt;&lt;D xsi:type="xsd:double"&gt;37.82&lt;/D&gt;&lt;D xsi:type="xsd:double"&gt;36.87&lt;/D&gt;&lt;D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xsi:type="xsd:double"&gt;36.41&lt;/D&gt;&lt;D xsi:type="xsd:double"&gt;36.05&lt;/D&gt;&lt;D xsi:type="xsd:double"&gt;36.39&lt;/D&gt;&lt;D xsi:type="xsd:double"&gt;36.57&lt;/D&gt;&lt;D xsi:type="xsd:double"&gt;36.6&lt;/D&gt;&lt;D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xsi:type="xsd:double"&gt;38.48&lt;/D&gt;&lt;/FQL&gt;&lt;FQL&gt;&lt;Q&gt;GREK^FG_PRICE(0,-200D)&lt;/Q&gt;&lt;R&gt;201&lt;/R&gt;&lt;C&gt;1&lt;/C&gt;&lt;D xsi:type="xsd:double"&gt;64.81&lt;/D&gt;&lt;D xsi:type="xsd:double"&gt;66.58&lt;/D&gt;&lt;D xsi:type="xsd:double"&gt;66.37&lt;/D&gt;&lt;D xsi:type="xsd:double"&gt;65.08&lt;/D&gt;&lt;D xsi:type="xsd:double"&gt;65.15&lt;/D&gt;&lt;D xsi:type="xsd:double"&gt;65.87&lt;/D&gt;&lt;D xsi:type="xsd:double"&gt;66.74&lt;/D&gt;&lt;D xsi:type="xsd:double"&gt;63.86&lt;/D&gt;&lt;D xsi:type="xsd:double"&gt;67.67&lt;/D&gt;&lt;D xsi:type="xsd:double"&gt;70.68&lt;/D&gt;&lt;D xsi:type="xsd:double"&gt;72.03&lt;/D&gt;&lt;D xsi:type="xsd:double"&gt;71.51&lt;/D&gt;&lt;D xsi:type="xsd:double"&gt;70.34&lt;/D&gt;&lt;D xsi:type="xsd:double"&gt;71.04&lt;/D&gt;&lt;D xsi:type="xsd:double"&gt;70.9&lt;/D&gt;&lt;D xsi:type="xsd:double"&gt;71.04&lt;/D&gt;&lt;D xsi:type="xsd:double"&gt;72.89&lt;/D&gt;&lt;D xsi:type="xsd:double"&gt;70.66&lt;/D&gt;&lt;D xsi:type="xsd:double"&gt;71.9&lt;/D&gt;&lt;D xsi:type="xsd:double"&gt;71.9&lt;/D&gt;&lt;D xsi:type="xsd:double"&gt;73.56&lt;/D&gt;&lt;D xsi:type="xsd:double"&gt;73.84&lt;/D&gt;&lt;D xsi:type="xsd:double"&gt;74.54&lt;/D&gt;&lt;D xsi:type="xsd:double"&gt;74.77&lt;/D&gt;&lt;D xsi:type="xsd:double"&gt;75.17&lt;/D&gt;&lt;D xsi:type="xsd:double"&gt;74.65&lt;/D&gt;&lt;D xsi:type="xsd:double"&gt;76.09&lt;/D&gt;&lt;D xsi:type="xsd:double"&gt;76.02&lt;/D&gt;&lt;D xsi:type="xsd:double"&gt;74.66&lt;/D&gt;&lt;D xsi:type="xsd:double"&gt;73.75&lt;/D&gt;&lt;D xsi:type="xsd:double"&gt;75.62&lt;/D&gt;&lt;D xsi:type="xsd:double"&gt;77.2&lt;/D&gt;&lt;D xsi:type="xsd:double"&gt;75.35&lt;/D&gt;&lt;D xsi:type="xsd:double"&gt;73.06&lt;/D&gt;&lt;D xsi:type="xsd:double"&gt;72.25&lt;/D&gt;&lt;D xsi:type="xsd:double"&gt;72.2&lt;/D&gt;&lt;D xsi:type="xsd:double"&gt;70.74&lt;/D&gt;&lt;D xsi:type="xsd:double"&gt;69.88&lt;/D&gt;&lt;D xsi:type="xsd:double"&gt;70.03&lt;/D&gt;&lt;D xsi:type="xsd:double"&gt;70.03&lt;/D&gt;&lt;D xsi:type="xsd:double"&gt;69.84&lt;/D&gt;&lt;D xsi:type="xsd:double"&gt;69.15&lt;/D&gt;&lt;D xsi:type="xsd:double"&gt;69&lt;/D&gt;&lt;D xsi:type="xsd:double"&gt;69.49&lt;/D&gt;&lt;D xsi:type="xsd:double"&gt;68.98&lt;/D&gt;&lt;D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xsi:type="xsd:double"&gt;65.91&lt;/D&gt;&lt;D xsi:type="xsd:double"&gt;66.5&lt;/D&gt;&lt;D xsi:type="xsd:double"&gt;68&lt;/D&gt;&lt;D xsi:type="xsd:double"&gt;68.6</t>
        </r>
      </text>
    </comment>
    <comment ref="A9" authorId="0" shapeId="0" xr:uid="{394C1307-56CD-4E30-B72C-3CDDF46111CF}">
      <text>
        <r>
          <rPr>
            <b/>
            <sz val="9"/>
            <color indexed="81"/>
            <rFont val="Tahoma"/>
            <charset val="1"/>
          </rPr>
          <t>1&lt;/D&gt;&lt;D xsi:type="xsd:double"&gt;68.16&lt;/D&gt;&lt;D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xsi:type="xsd:double"&gt;55.77&lt;/D&gt;&lt;/FQL&gt;&lt;FQL&gt;&lt;Q&gt;EPOL^FG_PRICE(0,-200D)&lt;/Q&gt;&lt;R&gt;201&lt;/R&gt;&lt;C&gt;1&lt;/C&gt;&lt;D xsi:type="xsd:double"&gt;34.87&lt;/D&gt;&lt;D xsi:type="xsd:double"&gt;35.73&lt;/D&gt;&lt;D xsi:type="xsd:double"&gt;35.68&lt;/D&gt;&lt;D xsi:type="xsd:double"&gt;35.66&lt;/D&gt;&lt;D xsi:type="xsd:double"&gt;35.37&lt;/D&gt;&lt;D xsi:type="xsd:double"&gt;35.8&lt;/D&gt;&lt;D xsi:type="xsd:double"&gt;36.21&lt;/D&gt;&lt;D xsi:type="xsd:double"&gt;35.53&lt;/D&gt;&lt;D xsi:type="xsd:double"&gt;37.31&lt;/D&gt;&lt;D xsi:type="xsd:double"&gt;38.13&lt;/D&gt;&lt;D xsi:type="xsd:double"&gt;38.19&lt;/D&gt;&lt;D xsi:type="xsd:double"&gt;38.71&lt;/D&gt;&lt;D xsi:type="xsd:double"&gt;37.95&lt;/D&gt;&lt;D xsi:type="xsd:double"&gt;38.1&lt;/D&gt;&lt;D xsi:type="xsd:double"&gt;37.81&lt;/D&gt;&lt;D xsi:type="xsd:double"&gt;37.65&lt;/D&gt;&lt;D xsi:type="xsd:double"&gt;37.73&lt;/D&gt;&lt;D xsi:type="xsd:double"&gt;37.5&lt;/D&gt;&lt;D xsi:type="xsd:double"&gt;37.67&lt;/D&gt;&lt;D xsi:type="xsd:double"&gt;37.67&lt;/D&gt;&lt;D xsi:type="xsd:double"&gt;37.91&lt;/D&gt;&lt;D xsi:type="xsd:double"&gt;38.39&lt;/D&gt;&lt;D xsi:type="xsd:double"&gt;38.11&lt;/D&gt;&lt;D xsi:type="xsd:double"&gt;38.76&lt;/D&gt;&lt;D xsi:type="xsd:double"&gt;37.92&lt;/D&gt;&lt;D xsi:type="xsd:double"&gt;37.37&lt;/D&gt;&lt;D xsi:type="xsd:double"&gt;38.28&lt;/D&gt;&lt;D xsi:type="xsd:double"&gt;38.35&lt;/D&gt;&lt;D xsi:type="xsd:double"&gt;37.66&lt;/D&gt;&lt;D xsi:type="xsd:double"&gt;37.59&lt;/D&gt;&lt;D xsi:type="xsd:double"&gt;38.38&lt;/D&gt;&lt;D xsi:type="xsd:double"&gt;38.25&lt;/D&gt;&lt;D xsi:type="xsd:double"&gt;38.44&lt;/D&gt;&lt;D xsi:type="xsd:double"&gt;37.74&lt;/D&gt;&lt;D xsi:type="xsd:double"&gt;36.89&lt;/D&gt;&lt;D xsi:type="xsd:double"&gt;37.26&lt;/D&gt;&lt;D xsi:type="xsd:double"&gt;36.15&lt;/D&gt;&lt;D xsi:type="xsd:double"&gt;35.84&lt;/D&gt;&lt;D xsi:type="xsd:double"&gt;35.92&lt;/D&gt;&lt;D xsi:type="xsd:double"&gt;35.92&lt;/D&gt;&lt;D xsi:type="xsd:double"&gt;36.15&lt;/D&gt;&lt;D xsi:type="xsd:double"&gt;36.03&lt;/D&gt;&lt;D xsi:type="xsd:double"&gt;36.09&lt;/D&gt;&lt;D xsi:type="xsd:double"&gt;36.38&lt;/D&gt;&lt;D xsi:type="xsd:double"&gt;36.2&lt;/D&gt;&lt;D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xsi:type="xsd:double"&gt;35.19&lt;/D&gt;&lt;D xsi:type="xsd:double"&gt;35.16&lt;/D&gt;&lt;D xsi:type="xsd:double"&gt;34.96&lt;/D&gt;&lt;D xsi:type="xsd:double"&gt;35.2&lt;/D&gt;&lt;D xsi:type="xsd:double"&gt;35.15&lt;/D&gt;&lt;D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xsi:type="xsd:double"&gt;29.75&lt;/D&gt;&lt;/FQL&gt;&lt;FQL&gt;&lt;Q&gt;EWN^FG_TOTAL_RETURNC(-5AY,0,AM)&lt;/Q&gt;&lt;R&gt;61&lt;/R&gt;&lt;C&gt;1&lt;/C&gt;&lt;D xsi:type="xsd:double"&gt;-2.4363756&lt;/D&gt;&lt;D xsi:type="xsd:double"&gt;5.997777&lt;/D&gt;&lt;D xsi:type="xsd:double"&gt;-1.9562483&lt;/D&gt;&lt;D xsi:type="xsd:double"&gt;7.422006&lt;/D&gt;&lt;D xsi:type="xsd:double"&gt;-2.2316039&lt;/D&gt;&lt;D xsi:type="xsd:double"&gt;4.5856476&lt;/D&gt;&lt;D xsi:type="xsd:double"&gt;3.8537145&lt;/D&gt;&lt;D xsi:type="xsd:double"&gt;-7.099581&lt;/D&gt;&lt;D xsi:type="xsd:double"&gt;8.029342&lt;/D&gt;&lt;D xsi:type="xsd:double"&gt;-6.979811&lt;/D&gt;&lt;D xsi:type="xsd:double"&gt;0.9422302&lt;/D&gt;&lt;D xsi:type="xsd:double"&gt;-9.235734&lt;/D&gt;&lt;D xsi:type="xsd:double"&gt;-14.419013&lt;/D&gt;&lt;D xsi:type="xsd:double"&gt;3.997922&lt;/D&gt;&lt;D xsi:type="xsd:double"&gt;-10.496759&lt;/D&gt;&lt;D xsi:type="xsd:double"&gt;3.1881213&lt;/D&gt;&lt;D xsi:type="xsd:double"&gt;-7.4753523&lt;/D&gt;&lt;D xsi:type="xsd:double"&gt;13.820648&lt;/D&gt;&lt;D xsi:type="xsd:double"&gt;-7.5402975&lt;/D&gt;&lt;D xsi:type="xsd:double"&gt;-15.860521&lt;/D&gt;&lt;D xsi:type="xsd:double"&gt;26.169788&lt;/D&gt;&lt;D xsi:type="xsd:double"&gt;3.8145661&lt;/D&gt;&lt;D xsi:type="xsd:double"&gt;6.9114327&lt;/D&gt;&lt;D xsi:type="xsd:double"&gt;-0.12007356&lt;/D&gt;&lt;D xsi:type="xsd:double"&gt;-4.376054&lt;/D&gt;&lt;D xsi:type="xsd:double"&gt;5.783248&lt;/D&gt;&lt;D xsi:type="xsd:double"&gt;-0.8081794&lt;/D&gt;&lt;D xsi:type="xsd:double"&gt;2.6227474&lt;/D&gt;&lt;D xsi:type="xsd:double"&gt;4.132235&lt;/D&gt;&lt;D xsi:type="xsd:double"&gt;-2.8798103&lt;/D&gt;&lt;D xsi:type="xsd:double"&gt;-7.681531&lt;/D&gt;&lt;D xsi:type="xsd:double"&gt;-3.1360686&lt;/D&gt;&lt;D xsi:type="xsd:double"&gt;4.7258496&lt;/D&gt;&lt;D xsi:type="xsd:double"&gt;8.451759&lt;/D&gt;&lt;D xsi:type="xsd:double"&gt;0.9397626&lt;/D&gt;&lt;D xsi:type="xsd:double"&gt;8.214771&lt;/D&gt;&lt;D xsi:type="xsd:double"&gt;4.092455&lt;/D&gt;&lt;D xsi:type="xsd:double"&gt;-1.7926276&lt;/D&gt;&lt;D xsi:type="xsd:double"&gt;5.0611973&lt;/D&gt;&lt;D xsi:type="xsd:double"&gt;3.9632916&lt;/D&gt;&lt;D xsi:type="xsd:double"&gt;1.1138916&lt;/D&gt;&lt;D xsi:type="xsd:double"&gt;-9.401709&lt;/D&gt;&lt;D xsi:type="xsd:double"&gt;2.9140472&lt;/D&gt;&lt;D xsi:type="xsd:double"&gt;1.9759655&lt;/D&gt;&lt;D xsi:type="xsd:double"&gt;-9.848184&lt;/D&gt;&lt;D xsi:type="xsd:double"&gt;1.9720793&lt;/D&gt;&lt;D xsi:type="xsd:double"&gt;-2.1133602&lt;/D&gt;&lt;D xsi:type="xsd:double"&gt;7.262647&lt;/D&gt;&lt;D xsi:type="xsd:double"&gt;0.45194626&lt;/D&gt;&lt;D xsi:type="xsd:double"&gt;-4.8004923&lt;/D&gt;&lt;D xsi:type="xsd:double"&gt;12.639153&lt;/D&gt;&lt;D xsi:type="xsd:double"&gt;6.065893&lt;/D&gt;&lt;D xsi:type="xsd:double"&gt;0.7424474&lt;/D&gt;&lt;D xsi:type="xsd:double"&gt;-2.6513517&lt;/D&gt;&lt;D xsi:type="xsd:double"&gt;3.195548&lt;/D&gt;&lt;D xsi:type="xsd:double"&gt;3.6223888&lt;/D&gt;&lt;D xsi:type="xsd:double"&gt;4.2196274&lt;/D&gt;&lt;D xsi:type="xsd:double"&gt;-0.72844625&lt;/D&gt;&lt;D xsi:type="xsd:double"&gt;8.154022&lt;/D&gt;&lt;D xsi:type="xsd:double"&gt;0.80274343&lt;/D&gt;&lt;D xsi:type="xsd:double"&gt;-4.1768255&lt;/D&gt;&lt;/FQL&gt;&lt;FQL&gt;&lt;Q&gt;EWC^FG_TOTAL_RETURNC(-5AY,0,AM)&lt;/Q&gt;&lt;R&gt;61&lt;/R&gt;&lt;C&gt;1&lt;/C&gt;&lt;D xsi:type="xsd:double"&gt;4.866171&lt;/D&gt;&lt;D xsi:type="xsd:double"&gt;1.3631105&lt;/D&gt;&lt;D xsi:type="xsd:double"&gt;3.6337614&lt;/D&gt;&lt;D xsi:type="xsd:double"&gt;5.06016&lt;/D&gt;&lt;D xsi:type="xsd:double"&gt;-1.5071392&lt;/D&gt;&lt;D xsi:type="xsd:double"&gt;1.2885928&lt;/D&gt;&lt;D xsi:type="xsd:double"&gt;-1.2986958&lt;/D&gt;&lt;D xsi:type="xsd:double"&gt;1.3694882&lt;/D&gt;&lt;D xsi:type="xsd:double"&gt;5.960262&lt;/D&gt;&lt;D xsi:type="xsd:double"&gt;-4.9250007&lt;/D&gt;&lt;D xsi:type="xsd:double"&gt;4.836917&lt;/D&gt;&lt;D xsi:type="xsd:double"&gt;-1.321137&lt;/D&gt;&lt;D xsi:type="xsd:double"&gt;-0.82389116&lt;/D&gt;&lt;D xsi:type="xsd:double"&gt;2.2845268&lt;/D&gt;&lt;D xsi:type="xsd:double"&gt;-11.472082&lt;/D&gt;&lt;D xsi:type="xsd:double"&gt;4.644692&lt;/D&gt;&lt;D xsi:type="xsd:double"&gt;-8.915263&lt;/D&gt;&lt;D xsi:type="xsd:double"&gt;9.818184&lt;/D&gt;&lt;D xsi:type="xsd:double"&gt;-2.3730695&lt;/D&gt;&lt;D xsi:type="xsd:double"&gt;-14.2170725&lt;/D&gt;&lt;D xsi:type="xsd:double"&gt;15.4530525&lt;/D&gt;&lt;D xsi:type="xsd:double"&gt;-2.9395044&lt;/D&gt;&lt;D xsi:type="xsd:double"&gt;3.5155177&lt;/D&gt;&lt;D xsi:type="xsd:double"&gt;2.276659&lt;/D&gt;&lt;D xsi:type="xsd:double"&gt;-7.382369&lt;/D&gt;&lt;D xsi:type="xsd:double"&gt;6.5713406&lt;/D&gt;&lt;D xsi:type="xsd:double"&gt;-0.6565809&lt;/D&gt;&lt;D xsi:type="xsd:double"&gt;-0.9606242&lt;/D&gt;&lt;D xsi:type="xsd:double"&gt;2.403283&lt;/D&gt;&lt;D xsi:type="xsd:double"&gt;0.0572443&lt;/D&gt;&lt;D xsi:type="xsd:double"&gt;-1.372999&lt;/D&gt;&lt;D xsi:type="xsd:double"&gt;-3.6832988&lt;/D&gt;&lt;D xsi:type="xsd:double"&gt;0.24089813&lt;/D&gt;&lt;D xsi:type="xsd:double"&gt;4.8963547&lt;/D&gt;&lt;D xsi:type="xsd:double"&gt;5.397284&lt;/D&gt;&lt;D xsi:type="xsd:double"&gt;0.38557053&lt;/D&gt;&lt;D xsi:type="xsd:double"&gt;3.7585735&lt;/D&gt;&lt;D xsi:type="xsd:double"&gt;-1.7715454&lt;/D&gt;&lt;D xsi:type="xsd:double"&gt;2.7994514&lt;/D&gt;&lt;D xsi:type="xsd:double"&gt;-1.9079089&lt;/D&gt;&lt;D xsi:type="xsd:double"&gt;4.0420413&lt;/D&gt;&lt;D xsi:type="xsd:double"&gt;-1.8388987&lt;/D&gt;&lt;D xsi:type="xsd:double"&gt;6.596303&lt;/D&gt;&lt;D xsi:type="xsd:double"&gt;2.9702902&lt;/D&gt;&lt;D xsi:type="xsd:double"&gt;1.5625&lt;/D&gt;&lt;D xsi:type="xsd:double"&gt;-0.23668408&lt;/D&gt;&lt;D xsi:type="xsd:double"&gt;-3.7790716&lt;/D&gt;&lt;D xsi:type="xsd:double"&gt;4.847574&lt;/D&gt;&lt;D xsi:type="xsd:double"&gt;-5.052429&lt;/D&gt;&lt;D xsi:type="xsd:double"&gt;0.07529259&lt;/D&gt;&lt;D xsi:type="xsd:double"&gt;8.051168&lt;/D&gt;&lt;D xsi:type="xsd:double"&gt;6.778085&lt;/D&gt;&lt;D xsi:type="xsd:double"&gt;0.9530544&lt;/D&gt;&lt;D xsi:type="xsd:double"&gt;2.9915452&lt;/D&gt;&lt;D xsi:type="xsd:double"&gt;4.399073&lt;/D&gt;&lt;D xsi:type="xsd:double"&gt;0.524199&lt;/D&gt;&lt;D xsi:type="xsd:double"&gt;3.790617&lt;/D&gt;&lt;D xsi:type="xsd:double"&gt;4.135263&lt;/D&gt;&lt;D xsi:type="xsd:double"&gt;3.1431317&lt;/D&gt;&lt;D xsi:type="xsd:double"&gt;0.30858517&lt;/D&gt;&lt;D xsi:type="xsd:double"&gt;1.0676861&lt;/D&gt;&lt;/FQL&gt;&lt;FQL&gt;&lt;Q&gt;QAT^FG_TOTAL_RETURNC(-5AY,0,AM)&lt;/Q&gt;&lt;R&gt;61&lt;/R&gt;&lt;C&gt;1&lt;/C&gt;&lt;D xsi:type="xsd:double"&gt;-1.2714624&lt;/D&gt;&lt;D xsi:type="xsd:double"&gt;2.8544307&lt;/D&gt;&lt;D xsi:type="xsd:double"&gt;2.7673244&lt;/D&gt;&lt;D xsi:type="xsd:double"&gt;-0.54244995&lt;/D&gt;&lt;D xsi:type="xsd:double"&gt;0.5956888&lt;/D&gt;&lt;D xsi:type="xsd:double"&gt;1.6710162&lt;/D&gt;&lt;D xsi:type="xsd:double"&gt;1.1813164&lt;/D&gt;&lt;D xsi:type="xsd:double"&gt;4.6527863&lt;/D&gt;&lt;D xsi:type="xsd:double"&gt;3.1692982&lt;/D&gt;&lt;D xsi:type="xsd:double"&gt;-3.8081884&lt;/D&gt;&lt;D xsi:type="xsd:double"&gt;4.6851516&lt;/D&gt;&lt;D xsi:type="xsd:double"&gt;8.911443&lt;/D&gt;&lt;D xsi:type="xsd:double"&gt;2.1496177&lt;/D&gt;&lt;D xsi:type="xsd:double"&gt;4.882157&lt;/D&gt;&lt;D xsi:type="xsd:double"&gt;-5.939001&lt;/D&gt;&lt;D xsi:type="xsd:double"&gt;-3.9583564&lt;/D&gt;&lt;D xsi:type="xsd:double"&gt;-6.25&lt;/D&gt;&lt;D xsi:type="xsd:double"&gt;14.0196085&lt;/D&gt;&lt;D xsi:type="xsd:double"&gt;-4.408002&lt;/D&gt;&lt;D xsi:type="xsd:double"&gt;-3.124386&lt;/D&gt;&lt;D xsi:type="xsd:double"&gt;3.047347&lt;/D&gt;&lt;D xsi:type="xsd:double"&gt;-11.967701&lt;/D&gt;&lt;D xsi:type="xsd:double"&gt;-2.35039&lt;/D&gt;&lt;D xsi:type="xsd:double"&gt;-6.0174046&lt;/D&gt;&lt;D xsi:type="xsd:double"&gt;3.7650585&lt;/D&gt;&lt;D xsi:type="xsd:double"&gt;-1.1898279&lt;/D&gt;&lt;D xsi:type="xsd:double"&gt;5.309248&lt;/D&gt;&lt;D xsi:type="xsd:double"&gt;-3.3654153&lt;/D&gt;&lt;D xsi:type="xsd:double"&gt;-0.39128065&lt;/D&gt;&lt;D xsi:type="xsd:double"&gt;3.5353541&lt;/D&gt;&lt;D xsi:type="xsd:double"&gt;-2.7100265&lt;/D&gt;&lt;D xsi:type="xsd:double"&gt;-5.2367687&lt;/D&gt;&lt;D xsi:type="xsd:double"&gt;1.116991&lt;/D&gt;&lt;D xsi:type="xsd:double"&gt;-3.372091&lt;/D&gt;&lt;D xsi:type="xsd:double"&gt;8.303249&lt;/D&gt;&lt;D xsi:type="xsd:double"&gt;-3.6111116&lt;/D&gt;&lt;D xsi:type="xsd:double"&gt;3.1700253&lt;/D&gt;&lt;D xsi:type="xsd:double"&gt;-3.2960892&lt;/D&gt;&lt;D xsi:type="xsd:double"&gt;-0.635463&lt;/D&gt;&lt;D xsi:type="xsd:double"&gt;0.560081&lt;/D&gt;&lt;D xsi:type="xsd:double"&gt;5.1452756&lt;/D&gt;&lt;D xsi:type="xsd:double"&gt;-0.34543276&lt;/D&gt;&lt;D xsi:type="xsd:double"&gt;4.563844&lt;/D&gt;&lt;D xsi:type="xsd:double"&gt;1.43646&lt;/D&gt;&lt;D xsi:type="xsd:double"&gt;0.21785498&lt;/D&gt;&lt;D xsi:type="xsd:double"&gt;-0.8152127&lt;/D&gt;&lt;D xsi:type="xsd:double"&gt;-2.0794272&lt;/D&gt;&lt;D xsi:type="xsd:double"&gt;1.7055154&lt;/D&gt;&lt;D xsi:type="xsd:double"&gt;1.0620475&lt;/D&gt;&lt;D xsi:type="xsd:double"&gt;-2.5995553&lt;/D&gt;&lt;D xsi:type="xsd:double"&gt;6.189668&lt;/D&gt;&lt;D xsi:type="xsd:double"&gt;1.06951&lt;/D&gt;&lt;D xsi:type="xsd:double"&gt;1.483357&lt;/D&gt;&lt;D xsi:type="xsd:double"&gt;8.222103&lt;/D&gt;&lt;D xsi:type="xsd:double"&gt;-3.6013782&lt;/D&gt;&lt;D xsi:type="xsd:double"&gt;-1.5864968&lt;/D&gt;&lt;D xsi:type="xsd:double"&gt;1.6900659&lt;/D&gt;&lt;D xsi:type="xsd:double"&gt;-1.2017429&lt;/D&gt;&lt;D xsi:type="xsd:double"&gt;2.7309537&lt;/D&gt;&lt;D xsi:type="xsd:double"&gt;2.3717642&lt;/D&gt;&lt;D xsi:type="xsd:double"&gt;-6.849313&lt;/D&gt;&lt;/FQL&gt;&lt;FQL&gt;&lt;Q&gt;EWT^FG_TOTAL_RETURNC(-5AY,0,AM)&lt;/Q&gt;&lt;R&gt;61&lt;/R&gt;&lt;C&gt;1&lt;/C&gt;&lt;D xsi:type="xsd:double"&gt;-1.6846359&lt;/D&gt;&lt;D xsi:type="xsd:double"&gt;4.2666197&lt;/D&gt;&lt;D xsi:type="xsd:double"&gt;-6.557107&lt;/D&gt;&lt;D xsi:type="xsd:double"&gt;11.71298&lt;/D&gt;&lt;D xsi:type="xsd:double"&gt;1.826191&lt;/D&gt;&lt;D xsi:type="xsd:double"&gt;-1.7161429&lt;/D&gt;&lt;D xsi:type="xsd:double"&gt;2.5011897&lt;/D&gt;&lt;D xsi:type="xsd:double"&gt;-7.489264&lt;/D&gt;&lt;D xsi:type="xsd:double"&gt;8.29463&lt;/D&gt;&lt;D xsi:type="xsd:double"&gt;2.4356723&lt;/D&gt;&lt;D xsi:type="xsd:double"&gt;3.6442041&lt;/D&gt;&lt;D xsi:type="xsd:double"&gt;-3.2468438&lt;/D&gt;&lt;D xsi:type="xsd:double"&gt;-7.4471354&lt;/D&gt;&lt;D xsi:type="xsd:double"&gt;-2.996689&lt;/D&gt;&lt;D xsi:type="xsd:double"&gt;-10.001707&lt;/D&gt;&lt;D xsi:type="xsd:double"&gt;4.0584087&lt;/D&gt;&lt;D xsi:type="xsd:double"&gt;-11.518133&lt;/D&gt;&lt;D xsi:type="xsd:double"&gt;9.186399&lt;/D&gt;&lt;D xsi:type="xsd:double"&gt;-6.22524&lt;/D&gt;&lt;D xsi:type="xsd:double"&gt;-14.805878&lt;/D&gt;&lt;D xsi:type="xsd:double"&gt;13.553726&lt;/D&gt;&lt;D xsi:type="xsd:double"&gt;3.3686757&lt;/D&gt;&lt;D xsi:type="xsd:double"&gt;2.8966308&lt;/D&gt;&lt;D xsi:type="xsd:double"&gt;3.599453&lt;/D&gt;&lt;D xsi:type="xsd:double"&gt;-3.1403124&lt;/D&gt;&lt;D xsi:type="xsd:double"&gt;3.4950495&lt;/D&gt;&lt;D xsi:type="xsd:double"&gt;-3.7769318&lt;/D&gt;&lt;D xsi:type="xsd:double"&gt;10.898172&lt;/D&gt;&lt;D xsi:type="xsd:double"&gt;0.08327961&lt;/D&gt;&lt;D xsi:type="xsd:double"&gt;-4.743081&lt;/D&gt;&lt;D xsi:type="xsd:double"&gt;-0.8080423&lt;/D&gt;&lt;D xsi:type="xsd:double"&gt;0.55041313&lt;/D&gt;&lt;D xsi:type="xsd:double"&gt;1.2480974&lt;/D&gt;&lt;D xsi:type="xsd:double"&gt;5.514705&lt;/D&gt;&lt;D xsi:type="xsd:double"&gt;1.8902183&lt;/D&gt;&lt;D xsi:type="xsd:double"&gt;6.2585115&lt;/D&gt;&lt;D xsi:type="xsd:double"&gt;4.8015356&lt;/D&gt;&lt;D xsi:type="xsd:double"&gt;-1.5068233&lt;/D&gt;&lt;D xsi:type="xsd:double"&gt;2.253461&lt;/D&gt;&lt;D xsi:type="xsd:double"&gt;6.429434&lt;/D&gt;&lt;D xsi:type="xsd:double"&gt;7.9217315&lt;/D&gt;&lt;D xsi:type="xsd:double"&gt;-8.713257&lt;/D&gt;&lt;D xsi:type="xsd:double"&gt;1.2340903&lt;/D&gt;&lt;D xsi:type="xsd:double"&gt;4.9333334&lt;/D&gt;&lt;D xsi:type="xsd:double"&gt;-1.9241273&lt;/D&gt;&lt;D xsi:type="xsd:double"&gt;0.055527687&lt;/D&gt;&lt;D xsi:type="xsd:double"&gt;-2.3096442&lt;/D&gt;&lt;D xsi:type="xsd:double"&gt;2.366054&lt;/D&gt;&lt;D xsi:type="xsd:double"&gt;-3.2091677&lt;/D&gt;&lt;D xsi:type="xsd:double"&gt;-9.966451&lt;/D&gt;&lt;D xsi:type="xsd:double"&gt;16.067516&lt;/D&gt;&lt;D xsi:type="xsd:double"&gt;7.1576953&lt;/D&gt;&lt;D xsi:type="xsd:double"&gt;2.7493834&lt;/D&gt;&lt;D xsi:type="xsd:double"&gt;4.7855973&lt;/D&gt;&lt;D xsi:type="xsd:double"&gt;2.8482556&lt;/D&gt;&lt;D xsi:type="xsd:double"&gt;-1.925838&lt;/D&gt;&lt;D xsi:type="xsd:double"&gt;6.1506033&lt;/D&gt;&lt;D xsi:type="xsd:double"&gt;-2.0027578&lt;/D&gt;&lt;D xsi:type="xsd:double"&gt;8.720076&lt;/D&gt;&lt;D xsi:type="xsd:double"&gt;8.916235&lt;/D&gt;&lt;D xsi:type="xsd:double"&gt;-3.8588703&lt;/D&gt;&lt;/FQL&gt;&lt;FQL&gt;&lt;Q&gt;ECH^JULIAN(FG_TOTAL_RETURNC(-5AY,0,AM).DATES)&lt;/Q&gt;&lt;R&gt;61&lt;/R&gt;&lt;C&gt;1&lt;/C&gt;&lt;D xsi:type="xsd:long"&gt;44267&lt;/D&gt;&lt;D xsi:type="xsd:long"&gt;44298&lt;/D&gt;&lt;D xsi:type="xsd:long"&gt;44328&lt;/D&gt;&lt;D xsi:type="xsd:long"&gt;44358&lt;/D&gt;&lt;D xsi:type="xsd:long"&gt;44389&lt;/D&gt;&lt;D xsi:type="xsd:long"&gt;44420&lt;/D&gt;&lt;D xsi:type="xsd:long"&gt;44449&lt;/D&gt;&lt;D xsi:type="xsd:long"&gt;44481&lt;/D&gt;&lt;D xsi:type="xsd:long"&gt;44512&lt;/D&gt;&lt;D xsi:type="xsd:long"&gt;44540&lt;/D&gt;&lt;D xsi:type="xsd:long"&gt;44573&lt;/D&gt;&lt;D xsi:type="xsd:long"&gt;44603&lt;/D&gt;&lt;D xsi:type="xsd:long"&gt;44631&lt;/D&gt;&lt;D xsi:type="xsd:long"&gt;44663&lt;/D&gt;&lt;D xsi:type="xsd:long"&gt;44693&lt;/D&gt;&lt;D xsi:type="xsd:long"&gt;44722&lt;/D&gt;&lt;D xsi:type="xsd:long"&gt;44754&lt;/D&gt;&lt;D xsi:type="xsd:long"&gt;44785&lt;/D&gt;&lt;D xsi:type="xsd:long"&gt;44816&lt;/D&gt;&lt;D xsi:type="xsd:long"&gt;44846&lt;/D&gt;&lt;D xsi:type="xsd:long"&gt;44876&lt;/D&gt;&lt;D xsi:type="xsd:long"&gt;44907&lt;/D&gt;&lt;D xsi:type="xsd:long"&gt;44938&lt;/D&gt;&lt;D xsi:type="xsd:long"&gt;44967&lt;/D&gt;&lt;D xsi:type="xsd:long"&gt;44995&lt;/D&gt;&lt;D xsi:type="xsd:long"&gt;45028&lt;/D&gt;&lt;D xsi:type="xsd:long"&gt;45058&lt;/D&gt;&lt;D xsi:type="xsd:long"&gt;45089&lt;/D&gt;&lt;D xsi:type="xsd:long"&gt;45119&lt;/D&gt;&lt;D xsi:type="xsd:long"&gt;45149&lt;/D&gt;&lt;D xsi:type="xsd:long"&gt;45181&lt;/D&gt;&lt;D xsi:type="xsd:long"&gt;45211&lt;/D&gt;&lt;D xsi:type="xsd:long"&gt;45240&lt;/D&gt;&lt;D xsi:type="xsd:long"&gt;45272&lt;/D&gt;&lt;D xsi:type="xsd:long"&gt;45303&lt;/D&gt;&lt;D xsi:type="xsd:long"&gt;45334&lt;/D&gt;&lt;D xsi:type="xsd:long"&gt;45363&lt;/D&gt;&lt;D xsi:type="xsd:long"&gt;45394&lt;/D&gt;&lt;D xsi:type="xsd:long"&gt;45422&lt;/D&gt;&lt;D xsi:type="xsd:long"&gt;45455&lt;/D&gt;&lt;D xsi:type="xsd:long"&gt;45485&lt;/D&gt;&lt;D xsi:type="xsd:long"&gt;45516&lt;/D&gt;&lt;D xsi:type="xsd:long"&gt;45547&lt;/D&gt;&lt;D xsi:type="xsd:long"&gt;45576&lt;/D&gt;&lt;D xsi:type="xsd:long"&gt;45608&lt;/D&gt;&lt;D xsi:type="xsd:long"&gt;45638&lt;/D&gt;&lt;D xsi:type="xsd:long"&gt;45667&lt;/D&gt;&lt;D xsi:type="xsd:long"&gt;45700&lt;/D&gt;&lt;D xsi:type="xsd:long"&gt;45728&lt;/D&gt;&lt;D xsi:type="xsd:long"&gt;45758&lt;/D&gt;&lt;D xsi:type="xsd:long"&gt;45789&lt;/D&gt;&lt;D xsi:type="xsd:long"&gt;45820&lt;/D&gt;&lt;D xsi:type="xsd:long"&gt;45849&lt;/D&gt;&lt;D xsi:type="xsd:long"&gt;45881&lt;/D&gt;&lt;D xsi:type="xsd:long"&gt;45912&lt;/D&gt;&lt;D xsi:type="xsd:long"&gt;45940&lt;/D&gt;&lt;D xsi:type="xsd:long"&gt;45973&lt;/D&gt;&lt;D xsi:type="xsd:long"&gt;46003&lt;/D&gt;&lt;D xsi:type="xsd:long"&gt;46034&lt;/D&gt;&lt;D xsi:type="xsd:long"&gt;46065&lt;/D&gt;&lt;D xsi:type="xsd:long"&gt;46093&lt;/D&gt;&lt;/FQL&gt;&lt;FQL&gt;&lt;Q&gt;EWU^FG_PRICE(0,-200D)&lt;/Q&gt;&lt;R&gt;201&lt;/R&gt;&lt;C&gt;1&lt;/C&gt;&lt;D xsi:type="xsd:double"&gt;45.88&lt;/D&gt;&lt;D xsi:type="xsd:double"&gt;46.31&lt;/D&gt;&lt;D xsi:type="xsd:double"&gt;46.41&lt;/D&gt;&lt;D xsi:type="xsd:double"&gt;46.29&lt;/D&gt;&lt;D xsi:type="xsd:double"&gt;46.02&lt;/D&gt;&lt;D xsi:type="xsd:double"&gt;46.24&lt;/D&gt;&lt;D xsi:type="xsd:double"&gt;47.24&lt;/D&gt;&lt;D xsi:type="xsd:double"&gt;46.76&lt;/D&gt;&lt;D xsi:type="xsd:double"&gt;48.12&lt;/D&gt;&lt;D xsi:type="xsd:double"&gt;48.68&lt;/D&gt;&lt;D xsi:type="xsd:double"&gt;48.61&lt;/D&gt;&lt;D xsi:type="xsd:double"&gt;48.66&lt;/D&gt;&lt;D xsi:type="xsd:double"&gt;47.98&lt;/D&gt;&lt;D xsi:type="xsd:double"&gt;47.89&lt;/D&gt;&lt;D xsi:type="xsd:double"&gt;48.04&lt;/D&gt;&lt;D xsi:type="xsd:double"&gt;47.68&lt;/D&gt;&lt;D xsi:type="xsd:double"&gt;47.88&lt;/D&gt;&lt;D xsi:type="xsd:double"&gt;47.42&lt;/D&gt;&lt;D xsi:type="xsd:double"&gt;47.25&lt;/D&gt;&lt;D xsi:type="xsd:double"&gt;47.25&lt;/D&gt;&lt;D xsi:type="xsd:double"&gt;47.01&lt;/D&gt;&lt;D xsi:type="xsd:double"&gt;47.43&lt;/D&gt;&lt;D xsi:type="xsd:double"&gt;46.74&lt;/D&gt;&lt;D xsi:type="xsd:double"&gt;47.02&lt;/D&gt;&lt;D xsi:type="xsd:double"&gt;46.9&lt;/D&gt;&lt;D xsi:type="xsd:double"&gt;45.94&lt;/D&gt;&lt;D xsi:type="xsd:double"&gt;47.05&lt;/D&gt;&lt;D xsi:type="xsd:double"&gt;46.47&lt;/D&gt;&lt;D xsi:type="xsd:double"&gt;46.54&lt;/D&gt;&lt;D xsi:type="xsd:double"&gt;46.16&lt;/D&gt;&lt;D xsi:type="xsd:double"&gt;46.44&lt;/D&gt;&lt;D xsi:type="xsd:double"&gt;46.24&lt;/D&gt;&lt;D xsi:type="xsd:double"&gt;46.5&lt;/D&gt;&lt;D xsi:type="xsd:double"&gt;45.83&lt;/D&gt;&lt;D xsi:type="xsd:double"&gt;45.57&lt;/D&gt;&lt;D xsi:type="xsd:double"&gt;45.07&lt;/D&gt;&lt;D xsi:type="xsd:double"&gt;45.16&lt;/D&gt;&lt;D xsi:type="xsd:double"&gt;44.7&lt;/D&gt;&lt;D xsi:type="xsd:double"&gt;45.18&lt;/D&gt;&lt;D xsi:type="xsd:double"&gt;45.18&lt;/D&gt;&lt;D xsi:type="xsd:double"&gt;45.09&lt;/D&gt;&lt;D xsi:type="xsd:double"&gt;45.28&lt;/D&gt;&lt;D xsi:type="xsd:double"&gt;44.98&lt;/D&gt;&lt;D xsi:type="xsd:double"&gt;45.09&lt;/D&gt;&lt;D xsi:type="xsd:double"&gt;44.79&lt;/D&gt;&lt;D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xsi:type="xsd:double"&gt;43.98&lt;/D&gt;&lt;D xsi:type="xsd:double"&gt;44.22&lt;/D&gt;&lt;D xsi:type="xsd:double"&gt;44.02&lt;/D&gt;&lt;D xsi:type="xsd:double"&gt;44.24&lt;/D&gt;&lt;D xsi:type="xsd:double"&gt;44.08&lt;/D&gt;&lt;D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xsi:type="xsd:double"&gt;40.22&lt;/D&gt;&lt;/FQL&gt;&lt;FQL&gt;&lt;Q&gt;EZA^FG_PRICE(0,-200D)&lt;/Q&gt;&lt;R&gt;201&lt;/R&gt;&lt;C&gt;1&lt;/C&gt;&lt;D xsi:type="xsd:double"&gt;69.02&lt;/D&gt;&lt;D xsi:type="xsd:double"&gt;71.05&lt;/D&gt;&lt;D xsi:type="xsd:double"&gt;73.04&lt;/D&gt;&lt;D xsi:type="xsd:double"&gt;72&lt;/D&gt;&lt;D xsi:type="xsd:double"&gt;70.52&lt;/D&gt;&lt;D xsi:type="xsd:double"&gt;71.42&lt;/D&gt;&lt;D xsi:type="xsd:double"&gt;74.34&lt;/D&gt;&lt;D xsi:type="xsd:double"&gt;73.56&lt;/D&gt;&lt;D xsi:type="xsd:double"&gt;79.9&lt;/D&gt;&lt;D xsi:type="xsd:double"&gt;81.6&lt;/D&gt;&lt;D xsi:type="xsd:double"&gt;80.76&lt;/D&gt;&lt;D xsi:type="xsd:double"&gt;80.27&lt;/D&gt;&lt;D xsi:type="xsd:double"&gt;79.25&lt;/D&gt;&lt;D xsi:type="xsd:double"&gt;77.89&lt;/D&gt;&lt;D xsi:type="xsd:double"&gt;77.25&lt;/D&gt;&lt;D xsi:type="xsd:double"&gt;75.01&lt;/D&gt;&lt;D xsi:type="xsd:double"&gt;75.57&lt;/D&gt;&lt;D xsi:type="xsd:double"&gt;74.71&lt;/D&gt;&lt;D xsi:type="xsd:double"&gt;75.32&lt;/D&gt;&lt;D xsi:type="xsd:double"&gt;75.32&lt;/D&gt;&lt;D xsi:type="xsd:double"&gt;74.15&lt;/D&gt;&lt;D xsi:type="xsd:double"&gt;76.53&lt;/D&gt;&lt;D xsi:type="xsd:double"&gt;75.41&lt;/D&gt;&lt;D xsi:type="xsd:double"&gt;75.72&lt;/D&gt;&lt;D xsi:type="xsd:double"&gt;74.77&lt;/D&gt;&lt;D xsi:type="xsd:double"&gt;71.6&lt;/D&gt;&lt;D xsi:type="xsd:double"&gt;73.98&lt;/D&gt;&lt;D xsi:type="xsd:double"&gt;74.56&lt;/D&gt;&lt;D xsi:type="xsd:double"&gt;73.25&lt;/D&gt;&lt;D xsi:type="xsd:double"&gt;73.2&lt;/D&gt;&lt;D xsi:type="xsd:double"&gt;79.58&lt;/D&gt;&lt;D xsi:type="xsd:double"&gt;80.14&lt;/D&gt;&lt;D xsi:type="xsd:double"&gt;79.02&lt;/D&gt;&lt;D xsi:type="xsd:double"&gt;77.38&lt;/D&gt;&lt;D xsi:type="xsd:double"&gt;76.34&lt;/D&gt;&lt;D xsi:type="xsd:double"&gt;75.56&lt;/D&gt;&lt;D xsi:type="xsd:double"&gt;73.52&lt;/D&gt;&lt;D xsi:type="xsd:double"&gt;73.44&lt;/D&gt;&lt;D xsi:type="xsd:double"&gt;72.78&lt;/D&gt;&lt;D xsi:type="xsd:double"&gt;72.78&lt;/D&gt;&lt;D xsi:type="xsd:double"&gt;73.74&lt;/D&gt;&lt;D xsi:type="xsd:double"&gt;73.39&lt;/D&gt;&lt;D xsi:type="xsd:double"&gt;73.09&lt;/D&gt;&lt;D xsi:type="xsd:double"&gt;72.78&lt;/D&gt;&lt;D xsi:type="xsd:double"&gt;70.69&lt;/D&gt;&lt;D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xsi:type="xsd:double"&gt;68.8&lt;/D&gt;&lt;D xsi:type="xsd:double"&gt;69.23&lt;/D&gt;&lt;D xsi:type="xsd:double"&gt;68.43&lt;/D&gt;&lt;D xsi:type="xsd:double"&gt;70.31&lt;/D&gt;&lt;D xsi:type="xsd:double"&gt;69.92&lt;/D&gt;&lt;D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</t>
        </r>
      </text>
    </comment>
    <comment ref="A10" authorId="0" shapeId="0" xr:uid="{AC4A926F-F4B4-4B85-B858-4D74B46DE191}">
      <text>
        <r>
          <rPr>
            <b/>
            <sz val="9"/>
            <color indexed="81"/>
            <rFont val="Tahoma"/>
            <charset val="1"/>
          </rPr>
          <t>2&lt;/D&gt;&lt;D xsi:type="xsd:double"&gt;66.5&lt;/D&gt;&lt;D xsi:type="xsd:double"&gt;67.45&lt;/D&gt;&lt;D xsi:type="xsd:double"&gt;66.74&lt;/D&gt;&lt;D xsi:type="xsd:double"&gt;67.83&lt;/D&gt;&lt;D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xsi:type="xsd:double"&gt;54.03&lt;/D&gt;&lt;/FQL&gt;&lt;FQL&gt;&lt;Q&gt;EWQ^FG_TOTAL_RETURNC(-5AY,0,AM)&lt;/Q&gt;&lt;R&gt;61&lt;/R&gt;&lt;C&gt;1&lt;/C&gt;&lt;D xsi:type="xsd:double"&gt;4.0959716&lt;/D&gt;&lt;D xsi:type="xsd:double"&gt;1.2928605&lt;/D&gt;&lt;D xsi:type="xsd:double"&gt;3.107655&lt;/D&gt;&lt;D xsi:type="xsd:double"&gt;6.4504385&lt;/D&gt;&lt;D xsi:type="xsd:double"&gt;-2.7862966&lt;/D&gt;&lt;D xsi:type="xsd:double"&gt;3.3394694&lt;/D&gt;&lt;D xsi:type="xsd:double"&gt;-1.7048299&lt;/D&gt;&lt;D xsi:type="xsd:double"&gt;-3.2876015&lt;/D&gt;&lt;D xsi:type="xsd:double"&gt;7.2269797&lt;/D&gt;&lt;D xsi:type="xsd:double"&gt;-2.6210785&lt;/D&gt;&lt;D xsi:type="xsd:double"&gt;4.7421336&lt;/D&gt;&lt;D xsi:type="xsd:double"&gt;-6.03621&lt;/D&gt;&lt;D xsi:type="xsd:double"&gt;-12.981802&lt;/D&gt;&lt;D xsi:type="xsd:double"&gt;4.490936&lt;/D&gt;&lt;D xsi:type="xsd:double"&gt;-7.4183106&lt;/D&gt;&lt;D xsi:type="xsd:double"&gt;2.45862&lt;/D&gt;&lt;D xsi:type="xsd:double"&gt;-6.90096&lt;/D&gt;&lt;D xsi:type="xsd:double"&gt;11.9080305&lt;/D&gt;&lt;D xsi:type="xsd:double"&gt;-5.335784&lt;/D&gt;&lt;D xsi:type="xsd:double"&gt;-12.406868&lt;/D&gt;&lt;D xsi:type="xsd:double"&gt;21.708572&lt;/D&gt;&lt;D xsi:type="xsd:double"&gt;2.765119&lt;/D&gt;&lt;D xsi:type="xsd:double"&gt;7.571709&lt;/D&gt;&lt;D xsi:type="xsd:double"&gt;0.44138432&lt;/D&gt;&lt;D xsi:type="xsd:double"&gt;-0.8239448&lt;/D&gt;&lt;D xsi:type="xsd:double"&gt;7.5879216&lt;/D&gt;&lt;D xsi:type="xsd:double"&gt;-0.33461452&lt;/D&gt;&lt;D xsi:type="xsd:double"&gt;-1.7777443&lt;/D&gt;&lt;D xsi:type="xsd:double"&gt;4.8655868&lt;/D&gt;&lt;D xsi:type="xsd:double"&gt;-1.9994855&lt;/D&gt;&lt;D xsi:type="xsd:double"&gt;-3.6358893&lt;/D&gt;&lt;D xsi:type="xsd:double"&gt;-4.505974&lt;/D&gt;&lt;D xsi:type="xsd:double"&gt;1.620233&lt;/D&gt;&lt;D xsi:type="xsd:double"&gt;7.60839&lt;/D&gt;&lt;D xsi:type="xsd:double"&gt;0.46815872&lt;/D&gt;&lt;D xsi:type="xsd:double"&gt;1.0677099&lt;/D&gt;&lt;D xsi:type="xsd:double"&gt;6.467402&lt;/D&gt;&lt;D xsi:type="xsd:double"&gt;-4.1384277&lt;/D&gt;&lt;D xsi:type="xsd:double"&gt;6.033826&lt;/D&gt;&lt;D xsi:type="xsd:double"&gt;-2.866155&lt;/D&gt;&lt;D xsi:type="xsd:double"&gt;-0.8527696&lt;/D&gt;&lt;D xsi:type="xsd:double"&gt;-5.2112284&lt;/D&gt;&lt;D xsi:type="xsd:double"&gt;4.056585&lt;/D&gt;&lt;D xsi:type="xsd:double"&gt;0.8976579&lt;/D&gt;&lt;D xsi:type="xsd:double"&gt;-7.498729&lt;/D&gt;&lt;D xsi:type="xsd:double"&gt;0.98928213&lt;/D&gt;&lt;D xsi:type="xsd:double"&gt;-1.5821993&lt;/D&gt;&lt;D xsi:type="xsd:double"&gt;10.334253&lt;/D&gt;&lt;D xsi:type="xsd:double"&gt;3.4334779&lt;/D&gt;&lt;D xsi:type="xsd:double"&gt;-4.8816204&lt;/D&gt;&lt;D xsi:type="xsd:double"&gt;7.2876573&lt;/D&gt;&lt;D xsi:type="xsd:double"&gt;4.2095184&lt;/D&gt;&lt;D xsi:type="xsd:double"&gt;1.580286&lt;/D&gt;&lt;D xsi:type="xsd:double"&gt;-0.901109&lt;/D&gt;&lt;D xsi:type="xsd:double"&gt;1.3989329&lt;/D&gt;&lt;D xsi:type="xsd:double"&gt;-0.45987964&lt;/D&gt;&lt;D xsi:type="xsd:double"&gt;4.273498&lt;/D&gt;&lt;D xsi:type="xsd:double"&gt;-0.5759835&lt;/D&gt;&lt;D xsi:type="xsd:double"&gt;3.2396674&lt;/D&gt;&lt;D xsi:type="xsd:double"&gt;1.2581348&lt;/D&gt;&lt;D xsi:type="xsd:double"&gt;-6.640959&lt;/D&gt;&lt;/FQL&gt;&lt;FQL&gt;&lt;Q&gt;EWM^FG_TOTAL_RETURNC(-5AY,0,AM)&lt;/Q&gt;&lt;R&gt;61&lt;/R&gt;&lt;C&gt;1&lt;/C&gt;&lt;D xsi:type="xsd:double"&gt;-1.1075377&lt;/D&gt;&lt;D xsi:type="xsd:double"&gt;-0.36127567&lt;/D&gt;&lt;D xsi:type="xsd:double"&gt;-2.248007&lt;/D&gt;&lt;D xsi:type="xsd:double"&gt;1.3515353&lt;/D&gt;&lt;D xsi:type="xsd:double"&gt;-5.851263&lt;/D&gt;&lt;D xsi:type="xsd:double"&gt;-1.1226952&lt;/D&gt;&lt;D xsi:type="xsd:double"&gt;6.4071417&lt;/D&gt;&lt;D xsi:type="xsd:double"&gt;0.9908557&lt;/D&gt;&lt;D xsi:type="xsd:double"&gt;-3.4339607&lt;/D&gt;&lt;D xsi:type="xsd:double"&gt;-3.7123919&lt;/D&gt;&lt;D xsi:type="xsd:double"&gt;6.5146685&lt;/D&gt;&lt;D xsi:type="xsd:double"&gt;-1.101929&lt;/D&gt;&lt;D xsi:type="xsd:double"&gt;-0.31834245&lt;/D&gt;&lt;D xsi:type="xsd:double"&gt;2.3153663&lt;/D&gt;&lt;D xsi:type="xsd:double"&gt;-7.5302305&lt;/D&gt;&lt;D xsi:type="xsd:double"&gt;-3.1652272&lt;/D&gt;&lt;D xsi:type="xsd:double"&gt;-4.179639&lt;/D&gt;&lt;D xsi:type="xsd:double"&gt;5.7540655&lt;/D&gt;&lt;D xsi:type="xsd:double"&gt;-1.4480114&lt;/D&gt;&lt;D xsi:type="xsd:double"&gt;-11.175418&lt;/D&gt;&lt;D xsi:type="xsd:double"&gt;8.721805&lt;/D&gt;&lt;D xsi:type="xsd:double"&gt;4.8870444&lt;/D&gt;&lt;D xsi:type="xsd:double"&gt;3.2314897&lt;/D&gt;&lt;D xsi:type="xsd:double"&gt;-1.1607945&lt;/D&gt;&lt;D xsi:type="xsd:double"&gt;-7.0465384&lt;/D&gt;&lt;D xsi:type="xsd:double"&gt;4.6794534&lt;/D&gt;&lt;D xsi:type="xsd:double"&gt;-3.1291962&lt;/D&gt;&lt;D xsi:type="xsd:double"&gt;-4.721445&lt;/D&gt;&lt;D xsi:type="xsd:double"&gt;1.7258286&lt;/D&gt;&lt;D xsi:type="xsd:double"&gt;3.4900665&lt;/D&gt;&lt;D xsi:type="xsd:double"&gt;-1.4051557&lt;/D&gt;&lt;D xsi:type="xsd:double"&gt;-1.1401415&lt;/D&gt;&lt;D xsi:type="xsd:double"&gt;1.0571957&lt;/D&gt;&lt;D xsi:type="xsd:double"&gt;0.38040876&lt;/D&gt;&lt;D xsi:type="xsd:double"&gt;3.117323&lt;/D&gt;&lt;D xsi:type="xsd:double"&gt;-0.8882582&lt;/D&gt;&lt;D xsi:type="xsd:double"&gt;4.3867826&lt;/D&gt;&lt;D xsi:type="xsd:double"&gt;-2.2141874&lt;/D&gt;&lt;D xsi:type="xsd:double"&gt;4.9907565&lt;/D&gt;&lt;D xsi:type="xsd:double"&gt;2.3619413&lt;/D&gt;&lt;D xsi:type="xsd:double"&gt;1.8785477&lt;/D&gt;&lt;D xsi:type="xsd:double"&gt;2.9159546&lt;/D&gt;&lt;D xsi:type="xsd:double"&gt;6.04167&lt;/D&gt;&lt;D xsi:type="xsd:double"&gt;1.7681718&lt;/D&gt;&lt;D xsi:type="xsd:double"&gt;-5.5598497&lt;/D&gt;&lt;D xsi:type="xsd:double"&gt;0.73589087&lt;/D&gt;&lt;D xsi:type="xsd:double"&gt;-2.2165835&lt;/D&gt;&lt;D xsi:type="xsd:double"&gt;1.7758965&lt;/D&gt;&lt;D xsi:type="xsd:double"&gt;-6.3980045&lt;/D&gt;&lt;D xsi:type="xsd:double"&gt;-0.31070113&lt;/D&gt;&lt;D xsi:type="xsd:double"&gt;9.082818&lt;/D&gt;&lt;D xsi:type="xsd:double"&gt;0.16326904&lt;/D&gt;&lt;D xsi:type="xsd:double"&gt;0.208354&lt;/D&gt;&lt;D xsi:type="xsd:double"&gt;3.5714269&lt;/D&gt;&lt;D xsi:type="xsd:double"&gt;2.1250963&lt;/D&gt;&lt;D xsi:type="xsd:double"&gt;-0.5496621&lt;/D&gt;&lt;D xsi:type="xsd:double"&gt;4.7374725&lt;/D&gt;&lt;D xsi:type="xsd:double"&gt;1.6961932&lt;/D&gt;&lt;D xsi:type="xsd:double"&gt;5.3156734&lt;/D&gt;&lt;D xsi:type="xsd:double"&gt;6.2209487&lt;/D&gt;&lt;D xsi:type="xsd:double"&gt;-3.9717197&lt;/D&gt;&lt;/FQL&gt;&lt;FQL&gt;&lt;Q&gt;UAE^FG_PRICE(0,-200D)&lt;/Q&gt;&lt;R&gt;201&lt;/R&gt;&lt;C&gt;1&lt;/C&gt;&lt;D xsi:type="xsd:double"&gt;17.89&lt;/D&gt;&lt;D xsi:type="xsd:double"&gt;18.68&lt;/D&gt;&lt;D xsi:type="xsd:double"&gt;19.11&lt;/D&gt;&lt;D xsi:type="xsd:double"&gt;19.17&lt;/D&gt;&lt;D xsi:type="xsd:double"&gt;19.08&lt;/D&gt;&lt;D xsi:type="xsd:double"&gt;19.4&lt;/D&gt;&lt;D xsi:type="xsd:double"&gt;19.835&lt;/D&gt;&lt;D xsi:type="xsd:double"&gt;19.69&lt;/D&gt;&lt;D xsi:type="xsd:double"&gt;20.31&lt;/D&gt;&lt;D xsi:type="xsd:double"&gt;21.35&lt;/D&gt;&lt;D xsi:type="xsd:double"&gt;21.54&lt;/D&gt;&lt;D xsi:type="xsd:double"&gt;22&lt;/D&gt;&lt;D xsi:type="xsd:double"&gt;22&lt;/D&gt;&lt;D xsi:type="xsd:double"&gt;21.96&lt;/D&gt;&lt;D xsi:type="xsd:double"&gt;21.63&lt;/D&gt;&lt;D xsi:type="xsd:double"&gt;21.69&lt;/D&gt;&lt;D xsi:type="xsd:double"&gt;22.23&lt;/D&gt;&lt;D xsi:type="xsd:double"&gt;21.85&lt;/D&gt;&lt;D xsi:type="xsd:double"&gt;21.94&lt;/D&gt;&lt;D xsi:type="xsd:double"&gt;21.94&lt;/D&gt;&lt;D xsi:type="xsd:double"&gt;21.89&lt;/D&gt;&lt;D xsi:type="xsd:double"&gt;21.83&lt;/D&gt;&lt;D xsi:type="xsd:double"&gt;21.9&lt;/D&gt;&lt;D xsi:type="xsd:double"&gt;21.89&lt;/D&gt;&lt;D xsi:type="xsd:double"&gt;21.73&lt;/D&gt;&lt;D xsi:type="xsd:double"&gt;21.39&lt;/D&gt;&lt;D xsi:type="xsd:double"&gt;21.29&lt;/D&gt;&lt;D xsi:type="xsd:double"&gt;21.11&lt;/D&gt;&lt;D xsi:type="xsd:double"&gt;20.94&lt;/D&gt;&lt;D xsi:type="xsd:double"&gt;20.49&lt;/D&gt;&lt;D xsi:type="xsd:double"&gt;20.66&lt;/D&gt;&lt;D xsi:type="xsd:double"&gt;20.75&lt;/D&gt;&lt;D xsi:type="xsd:double"&gt;20.71&lt;/D&gt;&lt;D xsi:type="xsd:double"&gt;20.41&lt;/D&gt;&lt;D xsi:type="xsd:double"&gt;20.46&lt;/D&gt;&lt;D xsi:type="xsd:double"&gt;20.62&lt;/D&gt;&lt;D xsi:type="xsd:double"&gt;20.3&lt;/D&gt;&lt;D xsi:type="xsd:double"&gt;20.09&lt;/D&gt;&lt;D xsi:type="xsd:double"&gt;19.87&lt;/D&gt;&lt;D xsi:type="xsd:double"&gt;19.87&lt;/D&gt;&lt;D xsi:type="xsd:double"&gt;19.73&lt;/D&gt;&lt;D xsi:type="xsd:double"&gt;19.59&lt;/D&gt;&lt;D xsi:type="xsd:double"&gt;19.76&lt;/D&gt;&lt;D xsi:type="xsd:double"&gt;19.55&lt;/D&gt;&lt;D xsi:type="xsd:double"&gt;19.43&lt;/D&gt;&lt;D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xsi:type="xsd:double"&gt;19.12&lt;/D&gt;&lt;D xsi:type="xsd:double"&gt;19.05&lt;/D&gt;&lt;D xsi:type="xsd:double"&gt;19.6&lt;/D&gt;&lt;D xsi:type="xsd:double"&gt;19.54&lt;/D&gt;&lt;D xsi:type="xsd:double"&gt;19.52&lt;/D&gt;&lt;D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xsi:type="xsd:double"&gt;18.61&lt;/D&gt;&lt;/FQL&gt;&lt;FQL&gt;&lt;Q&gt;EIDO^FG_PRICE(0,-200D)&lt;/Q&gt;&lt;R&gt;201&lt;/R&gt;&lt;C&gt;1&lt;/C&gt;&lt;D xsi:type="xsd:double"&gt;15.86&lt;/D&gt;&lt;D xsi:type="xsd:double"&gt;16.17&lt;/D&gt;&lt;D xsi:type="xsd:double"&gt;16.32&lt;/D&gt;&lt;D xsi:type="xsd:double"&gt;16.4&lt;/D&gt;&lt;D xsi:type="xsd:double"&gt;16.21&lt;/D&gt;&lt;D xsi:type="xsd:double"&gt;16.66&lt;/D&gt;&lt;D xsi:type="xsd:double"&gt;16.87&lt;/D&gt;&lt;D xsi:type="xsd:double"&gt;17.15&lt;/D&gt;&lt;D xsi:type="xsd:double"&gt;17.52&lt;/D&gt;&lt;D xsi:type="xsd:double"&gt;17.82&lt;/D&gt;&lt;D xsi:type="xsd:double"&gt;17.89&lt;/D&gt;&lt;D xsi:type="xsd:double"&gt;18.22&lt;/D&gt;&lt;D xsi:type="xsd:double"&gt;17.95&lt;/D&gt;&lt;D xsi:type="xsd:double"&gt;18.11&lt;/D&gt;&lt;D xsi:type="xsd:double"&gt;18.06&lt;/D&gt;&lt;D xsi:type="xsd:double"&gt;17.83&lt;/D&gt;&lt;D xsi:type="xsd:double"&gt;17.87&lt;/D&gt;&lt;D xsi:type="xsd:double"&gt;17.82&lt;/D&gt;&lt;D xsi:type="xsd:double"&gt;17.77&lt;/D&gt;&lt;D xsi:type="xsd:double"&gt;17.77&lt;/D&gt;&lt;D xsi:type="xsd:double"&gt;17.89&lt;/D&gt;&lt;D xsi:type="xsd:double"&gt;18.09&lt;/D&gt;&lt;D xsi:type="xsd:double"&gt;17.75&lt;/D&gt;&lt;D xsi:type="xsd:double"&gt;17.6&lt;/D&gt;&lt;D xsi:type="xsd:double"&gt;17.6&lt;/D&gt;&lt;D xsi:type="xsd:double"&gt;17.51&lt;/D&gt;&lt;D xsi:type="xsd:double"&gt;17.79&lt;/D&gt;&lt;D xsi:type="xsd:double"&gt;17.59&lt;/D&gt;&lt;D xsi:type="xsd:double"&gt;17.41&lt;/D&gt;&lt;D xsi:type="xsd:double"&gt;17.65&lt;/D&gt;&lt;D xsi:type="xsd:double"&gt;17.58&lt;/D&gt;&lt;D xsi:type="xsd:double"&gt;17.26&lt;/D&gt;&lt;D xsi:type="xsd:double"&gt;19.18&lt;/D&gt;&lt;D xsi:type="xsd:double"&gt;19.2&lt;/D&gt;&lt;D xsi:type="xsd:double"&gt;19.01&lt;/D&gt;&lt;D xsi:type="xsd:double"&gt;19.05&lt;/D&gt;&lt;D xsi:type="xsd:double"&gt;18.94&lt;/D&gt;&lt;D xsi:type="xsd:double"&gt;19.13&lt;/D&gt;&lt;D xsi:type="xsd:double"&gt;19.14&lt;/D&gt;&lt;D xsi:type="xsd:double"&gt;19.14&lt;/D&gt;&lt;D xsi:type="xsd:double"&gt;19.22&lt;/D&gt;&lt;D xsi:type="xsd:double"&gt;19.14&lt;/D&gt;&lt;D xsi:type="xsd:double"&gt;19.03&lt;/D&gt;&lt;D xsi:type="xsd:double"&gt;18.99&lt;/D&gt;&lt;D xsi:type="xsd:double"&gt;19.01&lt;/D&gt;&lt;D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xsi:type="xsd:double"&gt;18.7&lt;/D&gt;&lt;D xsi:type="xsd:double"&gt;18.67&lt;/D&gt;&lt;D xsi:type="xsd:double"&gt;18.67&lt;/D&gt;&lt;D xsi:type="xsd:double"&gt;18.47&lt;/D&gt;&lt;D xsi:type="xsd:double"&gt;18.45&lt;/D&gt;&lt;D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xsi:type="xsd:double"&gt;18.56&lt;/D&gt;&lt;/FQL&gt;&lt;FQL&gt;&lt;Q&gt;SPY^FG_TOTAL_RETURNC(-5AY,0,AM)&lt;/Q&gt;&lt;R&gt;61&lt;/R&gt;&lt;C&gt;1&lt;/C&gt;&lt;D xsi:type="xsd:double"&gt;0.36164522&lt;/D&gt;&lt;D xsi:type="xsd:double"&gt;4.8039675&lt;/D&gt;&lt;D xsi:type="xsd:double"&gt;-1.5134633&lt;/D&gt;&lt;D xsi:type="xsd:double"&gt;4.6619415&lt;/D&gt;&lt;D xsi:type="xsd:double"&gt;3.3511639&lt;/D&gt;&lt;D xsi:type="xsd:double"&gt;1.837194&lt;/D&gt;&lt;D xsi:type="xsd:double"&gt;0.07414818&lt;/D&gt;&lt;D xsi:type="xsd:double"&gt;-2.3386002&lt;/D&gt;&lt;D xsi:type="xsd:double"&gt;7.7602506&lt;/D&gt;&lt;D xsi:type="xsd:double"&gt;0.74261427&lt;/D&gt;&lt;D xsi:type="xsd:double"&gt;0.41553974&lt;/D&gt;&lt;D xsi:type="xsd:double"&gt;-6.488049&lt;/D&gt;&lt;D xsi:type="xsd:double"&gt;-4.6292486&lt;/D&gt;&lt;D xsi:type="xsd:double"&gt;4.6579957&lt;/D&gt;&lt;D xsi:type="xsd:double"&gt;-10.483927&lt;/D&gt;&lt;D xsi:type="xsd:double"&gt;-0.6474018&lt;/D&gt;&lt;D xsi:type="xsd:double"&gt;-1.8800914&lt;/D&gt;&lt;D xsi:type="xsd:double"&gt;12.149787&lt;/D&gt;&lt;D xsi:type="xsd:double"&gt;-3.7766337&lt;/D&gt;&lt;D xsi:type="xsd:double"&gt;-12.880182&lt;/D&gt;&lt;D xsi:type="xsd:double"&gt;11.765205&lt;/D&gt;&lt;D xsi:type="xsd:double"&gt;0.110411644&lt;/D&gt;&lt;D xsi:type="xsd:double"&gt;-0.036346912&lt;/D&gt;&lt;D xsi:type="xsd:double"&gt;2.791214&lt;/D&gt;&lt;D xsi:type="xsd:double"&gt;-5.423486&lt;/D&gt;&lt;D xsi:type="xsd:double"&gt;6.1454654&lt;/D&gt;&lt;D xsi:type="xsd:double"&gt;0.8675456&lt;/D&gt;&lt;D xsi:type="xsd:double"&gt;5.3961396&lt;/D&gt;&lt;D xsi:type="xsd:double"&gt;3.2002807&lt;/D&gt;&lt;D xsi:type="xsd:double"&gt;-0.082957745&lt;/D&gt;&lt;D xsi:type="xsd:double"&gt;0.076293945&lt;/D&gt;&lt;D xsi:type="xsd:double"&gt;-2.4174273&lt;/D&gt;&lt;D xsi:type="xsd:double"&gt;1.6026378&lt;/D&gt;&lt;D xsi:type="xsd:double"&gt;5.331254&lt;/D&gt;&lt;D xsi:type="xsd:double"&gt;3.1277537&lt;/D&gt;&lt;D xsi:type="xsd:double"&gt;5.097759&lt;/D&gt;&lt;D xsi:type="xsd:double"&gt;3.1538248&lt;/D&gt;&lt;D xsi:type="xsd:double"&gt;-0.83824396&lt;/D&gt;&lt;D xsi:type="xsd:double"&gt;1.9555688&lt;/D&gt;&lt;D xsi:type="xsd:double"&gt;3.9397836&lt;/D&gt;&lt;D xsi:type="xsd:double"&gt;3.7754893&lt;/D&gt;&lt;D xsi:type="xsd:double"&gt;-4.771507&lt;/D&gt;&lt;D xsi:type="xsd:double"&gt;4.8418283&lt;/D&gt;&lt;D xsi:type="xsd:double"&gt;3.9833188&lt;/D&gt;&lt;D xsi:type="xsd:double"&gt;2.9883742&lt;/D&gt;&lt;D xsi:type="xsd:double"&gt;1.2447596&lt;/D&gt;&lt;D xsi:type="xsd:double"&gt;-3.6254942&lt;/D&gt;&lt;D xsi:type="xsd:double"&gt;3.9397717&lt;/D&gt;&lt;D xsi:type="xsd:double"&gt;-7.3737087&lt;/D&gt;&lt;D xsi:type="xsd:double"&gt;-4.173553&lt;/D&gt;&lt;D xsi:type="xsd:double"&gt;9.186422&lt;/D&gt;&lt;D xsi:type="xsd:double"&gt;3.5609603&lt;/D&gt;&lt;D xsi:type="xsd:double"&gt;3.5972&lt;/D&gt;&lt;D xsi:type="xsd:double"&gt;3.0579567&lt;/D&gt;&lt;D xsi:type="xsd:double"&gt;2.290368&lt;/D&gt;&lt;D xsi:type="xsd:double"&gt;-0.39371848&lt;/D&gt;&lt;D xsi:type="xsd:double"&gt;4.6491623&lt;/D&gt;&lt;D xsi:type="xsd:double"&gt;-0.23705363&lt;/D&gt;&lt;D xsi:type="xsd:double"&gt;2.264142&lt;/D&gt;&lt;D xsi:type="xsd:double"&gt;-1.9980967&lt;/D&gt;&lt;D xsi:type="xsd:double"&gt;-2.2325993&lt;/D&gt;&lt;/FQL&gt;&lt;FQL&gt;&lt;Q&gt;INDA^FG_TOTAL_RETURNC(-5AY,0,AM)&lt;/Q&gt;&lt;R&gt;61&lt;/R&gt;&lt;C&gt;1&lt;/C&gt;&lt;D xsi:type="xsd:double"&gt;-0.32550693&lt;/D&gt;&lt;D xsi:type="xsd:double"&gt;-6.321436&lt;/D&gt;&lt;D xsi:type="xsd:double"&gt;2.8510928&lt;/D&gt;&lt;D xsi:type="xsd:double"&gt;9.55509&lt;/D&gt;&lt;D xsi:type="xsd:double"&gt;-1.9022346&lt;/D&gt;&lt;D xsi:type="xsd:double"&gt;3.3821821&lt;/D&gt;&lt;D xsi:type="xsd:double"&gt;7.5027347&lt;/D&gt;&lt;D xsi:type="xsd:double"&gt;0.081157684&lt;/D&gt;&lt;D xsi:type="xsd:double"&gt;2.9393792&lt;/D&gt;&lt;D xsi:type="xsd:double"&gt;-4.4505653&lt;/D&gt;&lt;D xsi:type="xsd:double"&gt;6.4561605&lt;/D&gt;&lt;D xsi:type="xsd:double"&gt;-8.92784&lt;/D&gt;&lt;D xsi:type="xsd:double"&gt;-4.709077&lt;/D&gt;&lt;D xsi:type="xsd:double"&gt;7.127583&lt;/D&gt;&lt;D xsi:type="xsd:double"&gt;-10.35707&lt;/D&gt;&lt;D xsi:type="xsd:double"&gt;-0.4205823&lt;/D&gt;&lt;D xsi:type="xsd:double"&gt;-0.69565177&lt;/D&gt;&lt;D xsi:type="xsd:double"&gt;9.357012&lt;/D&gt;&lt;D xsi:type="xsd:double"&gt;1.6243458&lt;/D&gt;&lt;D xsi:type="xsd:double"&gt;-8.734798&lt;/D&gt;&lt;D xsi:type="xsd:double"&gt;8.60877&lt;/D&gt;&lt;D xsi:type="xsd:double"&gt;-2.4528682&lt;/D&gt;&lt;D xsi:type="xsd:double"&gt;-1.1408627&lt;/D&gt;&lt;D xsi:type="xsd:double"&gt;-4.9929323&lt;/D&gt;&lt;D xsi:type="xsd:double"&gt;-2.4789274&lt;/D&gt;&lt;D xsi:type="xsd:double"&gt;2.1860719&lt;/D&gt;&lt;D xsi:type="xsd:double"&gt;2.7860641&lt;/D&gt;&lt;D xsi:type="xsd:double"&gt;2.5168777&lt;/D&gt;&lt;D xsi:type="xsd:double"&gt;4.6830654&lt;/D&gt;&lt;D xsi:type="xsd:double"&gt;-1.4459968&lt;/D&gt;&lt;D xsi:type="xsd:double"&gt;3.301239&lt;/D&gt;&lt;D xsi:type="xsd:double"&gt;-1.642257&lt;/D&gt;&lt;D xsi:type="xsd:double"&gt;0.38357973&lt;/D&gt;&lt;D xsi:type="xsd:double"&gt;6.4958453&lt;/D&gt;&lt;D xsi:type="xsd:double"&gt;5.4453254&lt;/D&gt;&lt;D xsi:type="xsd:double"&gt;0.6405115&lt;/D&gt;&lt;D xsi:type="xsd:double"&gt;2.8042912&lt;/D&gt;&lt;D xsi:type="xsd:double"&gt;-0.038695335&lt;/D&gt;&lt;D xsi:type="xsd:double"&gt;-0.58060884&lt;/D&gt;&lt;D xsi:type="xsd:double"&gt;6.423986&lt;/D&gt;&lt;D xsi:type="xsd:double"&gt;4.3899775&lt;/D&gt;&lt;D xsi:type="xsd:double"&gt;-2.4531305&lt;/D&gt;&lt;D xsi:type="xsd:double"&gt;3.75427&lt;/D&gt;&lt;D xsi:type="xsd:double"&gt;-0.9868443&lt;/D&gt;&lt;D xsi:type="xsd:double"&gt;-5.9101224&lt;/D&gt;&lt;D xsi:type="xsd:double"&gt;2.7689934&lt;/D&gt;&lt;D xsi:type="xsd:double"&gt;-6.718296&lt;/D&gt;&lt;D xsi:type="xsd:double"&gt;-2.753371&lt;/D&gt;&lt;D xsi:type="xsd:double"&gt;-2.1485925&lt;/D&gt;&lt;D xsi:type="xsd:double"&gt;4.1658044&lt;/D&gt;&lt;D xsi:type="xsd:double"&gt;7.0134044&lt;/D&gt;&lt;D xsi:type="xsd:double"&gt;0.8836508&lt;/D&gt;&lt;D xsi:type="xsd:double"&gt;0.1459837&lt;/D&gt;&lt;D xsi:type="xsd:double"&gt;-4.40051&lt;/D&gt;&lt;D xsi:type="xsd:double"&gt;1.3056397&lt;/D&gt;&lt;D xsi:type="xsd:double"&gt;-0.7149577&lt;/D&gt;&lt;D xsi:type="xsd:double"&gt;3.3920765&lt;/D&gt;&lt;D xsi:type="xsd:double"&gt;-2.6026428&lt;/D&gt;&lt;D xsi:type="xsd:double"&gt;0.4892826&lt;/D&gt;&lt;D xsi:type="xsd:double"&gt;-0.5430758&lt;/D&gt;&lt;D xsi:type="xsd:double"&gt;-8.642441&lt;/D&gt;&lt;/FQL&gt;&lt;FQL&gt;&lt;Q&gt;EPU^FG_TOTAL_RETURNC(-5AY,0,AM)&lt;/Q&gt;&lt;R&gt;61&lt;/R&gt;&lt;C&gt;1&lt;/C&gt;&lt;D xsi:type="xsd:double"&gt;-2.09772&lt;/D&gt;&lt;D xsi:type="xsd:double"&gt;-3.1272054&lt;/D&gt;&lt;D xsi:type="xsd:double"&gt;-1.4754891&lt;/D&gt;&lt;D xsi:type="xsd:double"&gt;-11.449832&lt;/D&gt;&lt;D xsi:type="xsd:double"&gt;-6.537217&lt;/D&gt;&lt;D xsi:type="xsd:double"&gt;-8.067864&lt;/D&gt;&lt;D xsi:type="xsd:double"&gt;3.1261802&lt;/D&gt;&lt;D xsi:type="xsd:double"&gt;3.9810061&lt;/D&gt;&lt;D xsi:type="xsd:double"&gt;6.4629436&lt;/D&gt;&lt;D xsi:type="xsd:double"&gt;-5.3447666&lt;/D&gt;&lt;D xsi:type="xsd:double"&gt;19.96559&lt;/D&gt;&lt;D xsi:type="xsd:double"&gt;0.7436037&lt;/D&gt;&lt;D xsi:type="xsd:double"&gt;8.709776&lt;/D&gt;&lt;D xsi:type="xsd:double"&gt;-3.4763694&lt;/D&gt;&lt;D xsi:type="xsd:double"&gt;-22.115929&lt;/D&gt;&lt;D xsi:type="xsd:double"&gt;9.571362&lt;/D&gt;&lt;D xsi:type="xsd:double"&gt;-16.95726&lt;/D&gt;&lt;D xsi:type="xsd:double"&gt;12.391925&lt;/D&gt;&lt;D xsi:type="xsd:double"&gt;-2.8571367&lt;/D&gt;&lt;D xsi:type="xsd:double"&gt;-4.411763&lt;/D&gt;&lt;D xsi:type="xsd:double"&gt;16.607487&lt;/D&gt;&lt;D xsi:type="xsd:double"&gt;-0.47361255&lt;/D&gt;&lt;D xsi:type="xsd:double"&gt;10.43998&lt;/D&gt;&lt;D xsi:type="xsd:double"&gt;-6.764799&lt;/D&gt;&lt;D xsi:type="xsd:double"&gt;-2.082634&lt;/D&gt;&lt;D xsi:type="xsd:double"&gt;6.2435627&lt;/D&gt;&lt;D xsi:type="xsd:double"&gt;-2.0665169&lt;/D&gt;&lt;D xsi:type="xsd:double"&gt;3.0252934&lt;/D&gt;&lt;D xsi:type="xsd:double"&gt;4.652691&lt;/D&gt;&lt;D xsi:type="xsd:double"&gt;2.6299238&lt;/D&gt;&lt;D xsi:type="xsd:double"&gt;-3.9048135&lt;/D&gt;&lt;D xsi:type="xsd:double"&gt;-8.222222&lt;/D&gt;&lt;D xsi:type="xsd:double"&gt;1.1760592&lt;/D&gt;&lt;D xsi:type="xsd:double"&gt;4.697776&lt;/D&gt;&lt;D xsi:type="xsd:double"&gt;13.350761&lt;/D&gt;&lt;D xsi:type="xsd:double"&gt;-0.38235784&lt;/D&gt;&lt;D xsi:type="xsd:double"&gt;10.2096195&lt;/D&gt;&lt;D xsi:type="xsd:double"&gt;6.9304585&lt;/D&gt;&lt;D xsi:type="xsd:double"&gt;6.7017436&lt;/D&gt;&lt;D xsi:type="xsd:double"&gt;-1.7520249&lt;/D&gt;&lt;D xsi:type="xsd:double"&gt;3.428018&lt;/D&gt;&lt;D xsi:type="xsd:double"&gt;-6.439394&lt;/D&gt;&lt;D xsi:type="xsd:double"&gt;1.0918498&lt;/D&gt;&lt;D xsi:type="xsd:double"&gt;9.75808&lt;/D&gt;&lt;D xsi:type="xsd:double"&gt;-2.919042&lt;/D&gt;&lt;D xsi:type="xsd:double"&gt;2.2081256&lt;/D&gt;&lt;D xsi:type="xsd:double"&gt;-5.0177574&lt;/D&gt;&lt;D xsi:type="xsd:double"&gt;4.3187737&lt;/D&gt;&lt;D xsi:type="xsd:double"&gt;-0.1028955&lt;/D&gt;&lt;D xsi:type="xsd:double"&gt;0.8093953&lt;/D&gt;&lt;D xsi:type="xsd:double"&gt;6.308663&lt;/D&gt;&lt;D xsi:type="xsd:double"&gt;8.593655&lt;/D&gt;&lt;D xsi:type="xsd:double"&gt;2.3921132&lt;/D&gt;&lt;D xsi:type="xsd:double"&gt;5.9799314&lt;/D&gt;&lt;D xsi:type="xsd:double"&gt;11.628985&lt;/D&gt;&lt;D xsi:type="xsd:double"&gt;5.4389954&lt;/D&gt;&lt;D xsi:type="xsd:double"&gt;5.6969285&lt;/D&gt;&lt;D xsi:type="xsd:double"&gt;7.642138&lt;/D&gt;&lt;D xsi:type="xsd:double"&gt;16.710842&lt;/D&gt;&lt;D xsi:type="xsd:double"&gt;8.044683&lt;/D&gt;&lt;D xsi:type="xsd:double"&gt;-5.837071&lt;/D&gt;&lt;/FQL&gt;&lt;/Schema&gt;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<sst xmlns="http://schemas.openxmlformats.org/spreadsheetml/2006/main" count="167" uniqueCount="82">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</sst>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D10" sqref="D10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5"/>
  <sheetViews>
    <sheetView workbookViewId="0">
      <selection activeCell="C9" sqref="C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5">IFERROR(TRANSPOSE(_xlfn._xlws.FILTER(MONTHLY_RETURNS!B64:AI64, MONTHLY_RETURNS!$B$74:$AI$74=1)),"")</f>
        <v>GREK</v>
      </c>
      <c r="B2" s="4" t="str" cm="1">
        <f t="array" ref="B2:B5">IFERROR(TRANSPOSE(_xlfn._xlws.FILTER(MONTHLY_RETURNS!B65:AI65, MONTHLY_RETURNS!$B$74:$AI$74=1)),"")</f>
        <v>Greece</v>
      </c>
      <c r="C2" s="4" t="str" cm="1">
        <f t="array" ref="C2:C5">IFERROR(TRANSPOSE(_xlfn._xlws.FILTER(MONTHLY_RETURNS!B66:AI66, MONTHLY_RETURNS!$B$74:$AI$74=1)),"")</f>
        <v>EMERGING</v>
      </c>
      <c r="D2" s="4" cm="1">
        <f t="array" ref="D2:D5">IFERROR(TRANSPOSE(_xlfn._xlws.FILTER(MONTHLY_RETURNS!B67:AI67, MONTHLY_RETURNS!$B$74:$AI$74=1)),"")</f>
        <v>-0.11895054999999999</v>
      </c>
      <c r="E2" s="4" cm="1">
        <f t="array" ref="E2:E5">IFERROR(TRANSPOSE(_xlfn._xlws.FILTER(MONTHLY_RETURNS!B68:AI68, MONTHLY_RETURNS!$B$74:$AI$74=1)),"")</f>
        <v>2.1302602306557377E-2</v>
      </c>
      <c r="F2" s="4" cm="1">
        <f t="array" ref="F2:F5">IFERROR(TRANSPOSE(_xlfn._xlws.FILTER(MONTHLY_RETURNS!B69:AI69, MONTHLY_RETURNS!$B$74:$AI$74=1)),"")</f>
        <v>5.8237593482694743E-2</v>
      </c>
      <c r="G2" s="4" cm="1">
        <f t="array" ref="G2:G5">IFERROR(TRANSPOSE(_xlfn._xlws.FILTER(MONTHLY_RETURNS!B70:AI70, MONTHLY_RETURNS!$B$74:$AI$74=1)),"")</f>
        <v>0.11647518696538949</v>
      </c>
      <c r="H2" cm="1">
        <f t="array" ref="H2:H5">IFERROR(TRANSPOSE(_xlfn._xlws.FILTER(MONTHLY_RETURNS!B71:AI71, MONTHLY_RETURNS!$B$74:$AI$74=1)),"")</f>
        <v>64.81</v>
      </c>
      <c r="I2" cm="1">
        <f t="array" ref="I2:I5">IFERROR(TRANSPOSE(_xlfn._xlws.FILTER(MONTHLY_RETURNS!B72:AI72, MONTHLY_RETURNS!$B$74:$AI$74=1)),"")</f>
        <v>65.11098905472636</v>
      </c>
    </row>
    <row r="3" spans="1:9" x14ac:dyDescent="0.45">
      <c r="A3" s="5" t="str">
        <v>INDA</v>
      </c>
      <c r="B3" s="4" t="str">
        <v>India</v>
      </c>
      <c r="C3" s="4" t="str">
        <v>EMERGING</v>
      </c>
      <c r="D3" s="6">
        <v>-8.6424409999999993E-2</v>
      </c>
      <c r="E3" s="6">
        <v>4.2573038588524592E-3</v>
      </c>
      <c r="F3" s="6">
        <v>4.0660505957560163E-2</v>
      </c>
      <c r="G3" s="6">
        <v>8.1321011915120325E-2</v>
      </c>
      <c r="H3">
        <v>48.52</v>
      </c>
      <c r="I3">
        <v>53.452587064676621</v>
      </c>
    </row>
    <row r="4" spans="1:9" x14ac:dyDescent="0.45">
      <c r="A4" s="5" t="str">
        <v>QAT</v>
      </c>
      <c r="B4" s="4" t="str">
        <v>Qatar</v>
      </c>
      <c r="C4" s="4" t="str">
        <v>EMERGING</v>
      </c>
      <c r="D4" s="6">
        <v>-6.8493129999999999E-2</v>
      </c>
      <c r="E4" s="6">
        <v>4.2150225442622929E-3</v>
      </c>
      <c r="F4" s="6">
        <v>3.3016266593301404E-2</v>
      </c>
      <c r="G4" s="6">
        <v>6.6032533186602807E-2</v>
      </c>
      <c r="H4">
        <v>18.7</v>
      </c>
      <c r="I4">
        <v>19.312762189054737</v>
      </c>
    </row>
    <row r="5" spans="1:9" x14ac:dyDescent="0.45">
      <c r="A5" s="5" t="str">
        <v>UAE</v>
      </c>
      <c r="B5" s="4" t="str">
        <v>United Arab Emirates</v>
      </c>
      <c r="C5" s="4" t="str">
        <v>EMERGING</v>
      </c>
      <c r="D5" s="6">
        <v>-0.18273186</v>
      </c>
      <c r="E5" s="6">
        <v>9.8745110363278651E-3</v>
      </c>
      <c r="F5" s="6">
        <v>6.2315675671119203E-2</v>
      </c>
      <c r="G5" s="6">
        <v>0.12463135134223841</v>
      </c>
      <c r="H5">
        <v>17.89</v>
      </c>
      <c r="I5">
        <v>19.56383880597015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44267</v>
      </c>
      <c r="B2" s="3" cm="1">
        <f t="array" ref="B2:B62">_xll.FDS(B1,"FG_TOTAL_RETURNC(-5AY,0,AM)")/100</f>
        <v>-0.14531827</v>
      </c>
      <c r="C2" s="3" cm="1">
        <f t="array" ref="C2:C62">_xll.FDS(C1,"FG_TOTAL_RETURNC(-5AY,0,AM)")/100</f>
        <v>5.0586104E-2</v>
      </c>
      <c r="D2" s="3" cm="1">
        <f t="array" ref="D2:D62">_xll.FDS(D1,"FG_TOTAL_RETURNC(-5AY,0,AM)")/100</f>
        <v>-3.6386429999999997E-2</v>
      </c>
      <c r="E2" s="3" cm="1">
        <f t="array" ref="E2:E62">_xll.FDS(E1,"FG_TOTAL_RETURNC(-5AY,0,AM)")/100</f>
        <v>-5.0949390000000004E-2</v>
      </c>
      <c r="F2" s="3" cm="1">
        <f t="array" ref="F2:F62">_xll.FDS(F1,"FG_TOTAL_RETURNC(-5AY,0,AM)")/100</f>
        <v>3.6553143999999999E-3</v>
      </c>
      <c r="G2" s="3" cm="1">
        <f t="array" ref="G2:G62">_xll.FDS(G1,"FG_TOTAL_RETURNC(-5AY,0,AM)")/100</f>
        <v>-2.0977199999999998E-2</v>
      </c>
      <c r="H2" s="3" cm="1">
        <f t="array" ref="H2:H62">_xll.FDS(H1,"FG_TOTAL_RETURNC(-5AY,0,AM)")/100</f>
        <v>-1.1075376999999999E-2</v>
      </c>
      <c r="I2" s="3" cm="1">
        <f t="array" ref="I2:I62">_xll.FDS(I1,"FG_TOTAL_RETURNC(-5AY,0,AM)")/100</f>
        <v>-1.6846358999999998E-2</v>
      </c>
      <c r="J2" s="3" cm="1">
        <f t="array" ref="J2:J62">_xll.FDS(J1,"FG_TOTAL_RETURNC(-5AY,0,AM)")/100</f>
        <v>3.1051636000000001E-2</v>
      </c>
      <c r="K2" s="3" cm="1">
        <f t="array" ref="K2:K62">_xll.FDS(K1,"FG_TOTAL_RETURNC(-5AY,0,AM)")/100</f>
        <v>-6.4505815999999994E-2</v>
      </c>
      <c r="L2" s="3" cm="1">
        <f t="array" ref="L2:L62">_xll.FDS(L1,"FG_TOTAL_RETURNC(-5AY,0,AM)")/100</f>
        <v>-7.6047660000000003E-2</v>
      </c>
      <c r="M2" s="3" cm="1">
        <f t="array" ref="M2:M62">_xll.FDS(M1,"FG_TOTAL_RETURNC(-5AY,0,AM)")/100</f>
        <v>-9.7185372999999999E-3</v>
      </c>
      <c r="N2" s="3" cm="1">
        <f t="array" ref="N2:N62">_xll.FDS(N1,"FG_TOTAL_RETURNC(-5AY,0,AM)")/100</f>
        <v>0.10028886999999999</v>
      </c>
      <c r="O2" s="3" cm="1">
        <f t="array" ref="O2:O62">_xll.FDS(O1,"FG_TOTAL_RETURNC(-5AY,0,AM)")/100</f>
        <v>-3.2550693000000003E-3</v>
      </c>
      <c r="P2" s="3" cm="1">
        <f t="array" ref="P2:P62">_xll.FDS(P1,"FG_TOTAL_RETURNC(-5AY,0,AM)")/100</f>
        <v>-0.12274324</v>
      </c>
      <c r="Q2" s="3" cm="1">
        <f t="array" ref="Q2:Q62">_xll.FDS(Q1,"FG_TOTAL_RETURNC(-5AY,0,AM)")/100</f>
        <v>-1.2714624000000001E-2</v>
      </c>
      <c r="R2" s="3" cm="1">
        <f t="array" ref="R2:R62">_xll.FDS(R1,"FG_TOTAL_RETURNC(-5AY,0,AM)")/100</f>
        <v>3.9672494000000003E-2</v>
      </c>
      <c r="S2" s="3" cm="1">
        <f t="array" ref="S2:S62">_xll.FDS(S1,"FG_TOTAL_RETURNC(-5AY,0,AM)")/100</f>
        <v>-5.2361370000000004E-2</v>
      </c>
      <c r="T2" s="3" cm="1">
        <f t="array" ref="T2:T62">_xll.FDS(T1,"FG_TOTAL_RETURNC(-5AY,0,AM)")/100</f>
        <v>8.7685585000000007E-3</v>
      </c>
      <c r="U2" s="3" cm="1">
        <f t="array" ref="U2:U62">_xll.FDS(U1,"FG_TOTAL_RETURNC(-5AY,0,AM)")/100</f>
        <v>-1.2770653E-2</v>
      </c>
      <c r="V2" s="3" cm="1">
        <f t="array" ref="V2:V62">_xll.FDS(V1,"FG_TOTAL_RETURNC(-5AY,0,AM)")/100</f>
        <v>7.0268629999999999E-2</v>
      </c>
      <c r="W2" s="3" cm="1">
        <f t="array" ref="W2:W62">_xll.FDS(W1,"FG_TOTAL_RETURNC(-5AY,0,AM)")/100</f>
        <v>-2.7735471999999997E-2</v>
      </c>
      <c r="X2" s="3" cm="1">
        <f t="array" ref="X2:X62">_xll.FDS(X1,"FG_TOTAL_RETURNC(-5AY,0,AM)")/100</f>
        <v>3.9792059999999995E-4</v>
      </c>
      <c r="Y2" s="3" cm="1">
        <f t="array" ref="Y2:Y62">_xll.FDS(Y1,"FG_TOTAL_RETURNC(-5AY,0,AM)")/100</f>
        <v>4.8661709999999997E-2</v>
      </c>
      <c r="Z2" s="3" cm="1">
        <f t="array" ref="Z2:Z62">_xll.FDS(Z1,"FG_TOTAL_RETURNC(-5AY,0,AM)")/100</f>
        <v>7.2836875999999998E-3</v>
      </c>
      <c r="AA2" s="3" cm="1">
        <f t="array" ref="AA2:AA62">_xll.FDS(AA1,"FG_TOTAL_RETURNC(-5AY,0,AM)")/100</f>
        <v>-3.6477982999999999E-2</v>
      </c>
      <c r="AB2" s="3" cm="1">
        <f t="array" ref="AB2:AB62">_xll.FDS(AB1,"FG_TOTAL_RETURNC(-5AY,0,AM)")/100</f>
        <v>-3.1084657000000002E-2</v>
      </c>
      <c r="AC2" s="3" cm="1">
        <f t="array" ref="AC2:AC62">_xll.FDS(AC1,"FG_TOTAL_RETURNC(-5AY,0,AM)")/100</f>
        <v>4.3549420000000005E-2</v>
      </c>
      <c r="AD2" s="3" cm="1">
        <f t="array" ref="AD2:AD62">_xll.FDS(AD1,"FG_TOTAL_RETURNC(-5AY,0,AM)")/100</f>
        <v>-6.2386749999999998E-2</v>
      </c>
      <c r="AE2" s="3" cm="1">
        <f t="array" ref="AE2:AE62">_xll.FDS(AE1,"FG_TOTAL_RETURNC(-5AY,0,AM)")/100</f>
        <v>3.6164522000000001E-3</v>
      </c>
      <c r="AF2" s="3" cm="1">
        <f t="array" ref="AF2:AF62">_xll.FDS(AF1,"FG_TOTAL_RETURNC(-5AY,0,AM)")/100</f>
        <v>4.0959716000000007E-2</v>
      </c>
      <c r="AG2" s="3" cm="1">
        <f t="array" ref="AG2:AG62">_xll.FDS(AG1,"FG_TOTAL_RETURNC(-5AY,0,AM)")/100</f>
        <v>-2.4363756E-2</v>
      </c>
      <c r="AH2" s="3" cm="1">
        <f t="array" ref="AH2:AH62">_xll.FDS(AH1,"FG_TOTAL_RETURNC(-5AY,0,AM)")/100</f>
        <v>5.3442239999999995E-2</v>
      </c>
      <c r="AI2" s="3" cm="1">
        <f t="array" ref="AI2:AI62">_xll.FDS(AI1,"FG_TOTAL_RETURNC(-5AY,0,AM)")/100</f>
        <v>2.1985172999999997E-2</v>
      </c>
      <c r="AJ2" s="3"/>
      <c r="AK2" s="3"/>
      <c r="AL2" s="3"/>
    </row>
    <row r="3" spans="1:38" x14ac:dyDescent="0.45">
      <c r="A3" s="2">
        <v>44298</v>
      </c>
      <c r="B3" s="3">
        <v>-3.0343830000000002E-2</v>
      </c>
      <c r="C3" s="3">
        <v>2.29007E-2</v>
      </c>
      <c r="D3" s="3">
        <v>-8.3767359999999999E-2</v>
      </c>
      <c r="E3" s="3">
        <v>-1.8005967000000001E-2</v>
      </c>
      <c r="F3" s="3">
        <v>3.121853E-3</v>
      </c>
      <c r="G3" s="3">
        <v>-3.1272054000000001E-2</v>
      </c>
      <c r="H3" s="3">
        <v>-3.6127566999999998E-3</v>
      </c>
      <c r="I3" s="3">
        <v>4.2666196999999996E-2</v>
      </c>
      <c r="J3" s="3">
        <v>2.5781393E-2</v>
      </c>
      <c r="K3" s="3">
        <v>3.2034515999999999E-2</v>
      </c>
      <c r="L3" s="3">
        <v>6.9090130000000003E-3</v>
      </c>
      <c r="M3" s="3">
        <v>9.6094609999999997E-3</v>
      </c>
      <c r="N3" s="3">
        <v>4.9137234999999994E-2</v>
      </c>
      <c r="O3" s="3">
        <v>-6.3214359999999997E-2</v>
      </c>
      <c r="P3" s="3">
        <v>-3.6073386999999998E-2</v>
      </c>
      <c r="Q3" s="3">
        <v>2.8544307000000001E-2</v>
      </c>
      <c r="R3" s="3">
        <v>-1.7261921999999999E-2</v>
      </c>
      <c r="S3" s="3">
        <v>-0.16612494000000003</v>
      </c>
      <c r="T3" s="3">
        <v>1.5117168E-2</v>
      </c>
      <c r="U3" s="3">
        <v>6.4116955000000003E-2</v>
      </c>
      <c r="V3" s="3">
        <v>5.3982973000000004E-2</v>
      </c>
      <c r="W3" s="3">
        <v>-2.3824453000000002E-2</v>
      </c>
      <c r="X3" s="3">
        <v>1.1933207999999999E-2</v>
      </c>
      <c r="Y3" s="3">
        <v>1.3631104999999999E-2</v>
      </c>
      <c r="Z3" s="3">
        <v>4.127753E-2</v>
      </c>
      <c r="AA3" s="3">
        <v>4.3514966999999996E-3</v>
      </c>
      <c r="AB3" s="3">
        <v>4.5961379999999996E-2</v>
      </c>
      <c r="AC3" s="3">
        <v>4.7066212000000003E-3</v>
      </c>
      <c r="AD3" s="3">
        <v>6.8557262000000008E-2</v>
      </c>
      <c r="AE3" s="3">
        <v>4.8039674999999997E-2</v>
      </c>
      <c r="AF3" s="3">
        <v>1.2928604999999999E-2</v>
      </c>
      <c r="AG3" s="3">
        <v>5.997777E-2</v>
      </c>
      <c r="AH3" s="3">
        <v>2.6584029999999998E-2</v>
      </c>
      <c r="AI3" s="3">
        <v>1.581788E-3</v>
      </c>
      <c r="AJ3" s="3"/>
      <c r="AK3" s="3"/>
      <c r="AL3" s="3"/>
    </row>
    <row r="4" spans="1:38" x14ac:dyDescent="0.45">
      <c r="A4" s="2">
        <v>44328</v>
      </c>
      <c r="B4" s="3">
        <v>2.8245806999999998E-2</v>
      </c>
      <c r="C4" s="3">
        <v>-9.213549E-2</v>
      </c>
      <c r="D4" s="3">
        <v>7.1055889999999998E-3</v>
      </c>
      <c r="E4" s="3">
        <v>-3.7690996999999997E-2</v>
      </c>
      <c r="F4" s="3">
        <v>5.6016564000000005E-2</v>
      </c>
      <c r="G4" s="3">
        <v>-1.4754891000000001E-2</v>
      </c>
      <c r="H4" s="3">
        <v>-2.2480069999999998E-2</v>
      </c>
      <c r="I4" s="3">
        <v>-6.5571070000000009E-2</v>
      </c>
      <c r="J4" s="3">
        <v>2.3354053E-2</v>
      </c>
      <c r="K4" s="3">
        <v>-2.9389083E-2</v>
      </c>
      <c r="L4" s="3">
        <v>9.4868769999999991E-2</v>
      </c>
      <c r="M4" s="3">
        <v>1.9643544999999998E-2</v>
      </c>
      <c r="N4" s="3">
        <v>1.1440873000000001E-2</v>
      </c>
      <c r="O4" s="3">
        <v>2.8510928000000001E-2</v>
      </c>
      <c r="P4" s="3">
        <v>-4.2944789999999997E-2</v>
      </c>
      <c r="Q4" s="3">
        <v>2.7673244E-2</v>
      </c>
      <c r="R4" s="3">
        <v>1.9940019E-2</v>
      </c>
      <c r="S4" s="3">
        <v>-9.0948939999999992E-3</v>
      </c>
      <c r="T4" s="3">
        <v>2.0848870000000002E-2</v>
      </c>
      <c r="U4" s="3">
        <v>-1.2685001E-2</v>
      </c>
      <c r="V4" s="3">
        <v>1.6334413999999998E-2</v>
      </c>
      <c r="W4" s="3">
        <v>1.8625617000000001E-2</v>
      </c>
      <c r="X4" s="3">
        <v>2.7515649999999999E-2</v>
      </c>
      <c r="Y4" s="3">
        <v>3.6337613999999997E-2</v>
      </c>
      <c r="Z4" s="3">
        <v>-5.2083135000000006E-3</v>
      </c>
      <c r="AA4" s="3">
        <v>-5.5025934999999998E-2</v>
      </c>
      <c r="AB4" s="3">
        <v>3.2629967E-3</v>
      </c>
      <c r="AC4" s="3">
        <v>4.0287375E-2</v>
      </c>
      <c r="AD4" s="3">
        <v>-5.8751879999999999E-2</v>
      </c>
      <c r="AE4" s="3">
        <v>-1.5134633E-2</v>
      </c>
      <c r="AF4" s="3">
        <v>3.1076549999999998E-2</v>
      </c>
      <c r="AG4" s="3">
        <v>-1.9562482999999999E-2</v>
      </c>
      <c r="AH4" s="3">
        <v>3.4527780000000001E-3</v>
      </c>
      <c r="AI4" s="3">
        <v>1.1370778E-2</v>
      </c>
      <c r="AJ4" s="3"/>
      <c r="AK4" s="3"/>
      <c r="AL4" s="3"/>
    </row>
    <row r="5" spans="1:38" x14ac:dyDescent="0.45">
      <c r="A5" s="2">
        <v>44358</v>
      </c>
      <c r="B5" s="3">
        <v>6.6320299999999999E-2</v>
      </c>
      <c r="C5" s="3">
        <v>-5.2777767000000003E-2</v>
      </c>
      <c r="D5" s="3">
        <v>5.3210259999999995E-2</v>
      </c>
      <c r="E5" s="3">
        <v>0.12510085000000001</v>
      </c>
      <c r="F5" s="3">
        <v>8.6919070000000001E-2</v>
      </c>
      <c r="G5" s="3">
        <v>-0.11449832</v>
      </c>
      <c r="H5" s="3">
        <v>1.3515353000000001E-2</v>
      </c>
      <c r="I5" s="3">
        <v>0.11712980000000001</v>
      </c>
      <c r="J5" s="3">
        <v>8.0778359999999994E-2</v>
      </c>
      <c r="K5" s="3">
        <v>5.0578355999999998E-2</v>
      </c>
      <c r="L5" s="3">
        <v>0.11490547</v>
      </c>
      <c r="M5" s="3">
        <v>4.8092246000000005E-2</v>
      </c>
      <c r="N5" s="3">
        <v>6.0445310000000002E-2</v>
      </c>
      <c r="O5" s="3">
        <v>9.5550899999999994E-2</v>
      </c>
      <c r="P5" s="3">
        <v>4.6882032999999997E-2</v>
      </c>
      <c r="Q5" s="3">
        <v>-5.4244994999999999E-3</v>
      </c>
      <c r="R5" s="3">
        <v>4.1168094000000002E-2</v>
      </c>
      <c r="S5" s="3">
        <v>5.7644725000000001E-2</v>
      </c>
      <c r="T5" s="3">
        <v>9.6259479999999994E-2</v>
      </c>
      <c r="U5" s="3">
        <v>7.0663809999999994E-2</v>
      </c>
      <c r="V5" s="3">
        <v>6.5523624000000003E-2</v>
      </c>
      <c r="W5" s="3">
        <v>-1.2899578E-2</v>
      </c>
      <c r="X5" s="3">
        <v>4.690838E-2</v>
      </c>
      <c r="Y5" s="3">
        <v>5.0601599999999997E-2</v>
      </c>
      <c r="Z5" s="3">
        <v>5.3671480000000001E-2</v>
      </c>
      <c r="AA5" s="3">
        <v>6.0455202999999999E-2</v>
      </c>
      <c r="AB5" s="3">
        <v>9.617508000000001E-2</v>
      </c>
      <c r="AC5" s="3">
        <v>3.0023932000000003E-2</v>
      </c>
      <c r="AD5" s="3">
        <v>7.6840520000000009E-2</v>
      </c>
      <c r="AE5" s="3">
        <v>4.6619415000000004E-2</v>
      </c>
      <c r="AF5" s="3">
        <v>6.4504384999999997E-2</v>
      </c>
      <c r="AG5" s="3">
        <v>7.422005999999999E-2</v>
      </c>
      <c r="AH5" s="3">
        <v>6.0257434999999998E-2</v>
      </c>
      <c r="AI5" s="3">
        <v>6.5615653999999995E-2</v>
      </c>
      <c r="AJ5" s="3"/>
      <c r="AK5" s="3"/>
      <c r="AL5" s="3"/>
    </row>
    <row r="6" spans="1:38" x14ac:dyDescent="0.45">
      <c r="A6" s="2">
        <v>44389</v>
      </c>
      <c r="B6" s="3">
        <v>-3.6215186E-3</v>
      </c>
      <c r="C6" s="3">
        <v>-5.4989758E-2</v>
      </c>
      <c r="D6" s="3">
        <v>-8.3146100000000001E-2</v>
      </c>
      <c r="E6" s="3">
        <v>-4.6416162999999996E-2</v>
      </c>
      <c r="F6" s="3">
        <v>-1.1780679E-2</v>
      </c>
      <c r="G6" s="3">
        <v>-6.5372170000000007E-2</v>
      </c>
      <c r="H6" s="3">
        <v>-5.8512630000000003E-2</v>
      </c>
      <c r="I6" s="3">
        <v>1.8261909999999999E-2</v>
      </c>
      <c r="J6" s="3">
        <v>-3.0198634000000002E-2</v>
      </c>
      <c r="K6" s="3">
        <v>-1.8782376999999999E-2</v>
      </c>
      <c r="L6" s="3">
        <v>-2.2580624000000001E-2</v>
      </c>
      <c r="M6" s="3">
        <v>-6.9038095000000008E-2</v>
      </c>
      <c r="N6" s="3">
        <v>-7.5666665999999994E-2</v>
      </c>
      <c r="O6" s="3">
        <v>-1.9022346000000002E-2</v>
      </c>
      <c r="P6" s="3">
        <v>-4.9214543999999999E-2</v>
      </c>
      <c r="Q6" s="3">
        <v>5.9568880000000005E-3</v>
      </c>
      <c r="R6" s="3">
        <v>-5.2989243999999998E-2</v>
      </c>
      <c r="S6" s="3">
        <v>-9.5744670000000004E-2</v>
      </c>
      <c r="T6" s="3">
        <v>-3.030306E-2</v>
      </c>
      <c r="U6" s="3">
        <v>-2.7999996999999999E-2</v>
      </c>
      <c r="V6" s="3">
        <v>1.8064976E-3</v>
      </c>
      <c r="W6" s="3">
        <v>-3.3838750000000002E-3</v>
      </c>
      <c r="X6" s="3">
        <v>-3.3716202000000001E-2</v>
      </c>
      <c r="Y6" s="3">
        <v>-1.5071391999999999E-2</v>
      </c>
      <c r="Z6" s="3">
        <v>-1.3475536999999999E-2</v>
      </c>
      <c r="AA6" s="3">
        <v>-3.6295055999999997E-3</v>
      </c>
      <c r="AB6" s="3">
        <v>-2.0140410000000001E-4</v>
      </c>
      <c r="AC6" s="3">
        <v>-1.6004740999999999E-2</v>
      </c>
      <c r="AD6" s="3">
        <v>6.3291550000000002E-2</v>
      </c>
      <c r="AE6" s="3">
        <v>3.3511639000000003E-2</v>
      </c>
      <c r="AF6" s="3">
        <v>-2.7862965999999999E-2</v>
      </c>
      <c r="AG6" s="3">
        <v>-2.2316038999999999E-2</v>
      </c>
      <c r="AH6" s="3">
        <v>-1.1415481999999999E-2</v>
      </c>
      <c r="AI6" s="3">
        <v>-3.5301029999999997E-2</v>
      </c>
      <c r="AJ6" s="3"/>
      <c r="AK6" s="3"/>
      <c r="AL6" s="3"/>
    </row>
    <row r="7" spans="1:38" x14ac:dyDescent="0.45">
      <c r="A7" s="2">
        <v>44420</v>
      </c>
      <c r="B7" s="3">
        <v>-2.2716940000000001E-2</v>
      </c>
      <c r="C7" s="3">
        <v>-3.5919547000000003E-3</v>
      </c>
      <c r="D7" s="3">
        <v>9.8040104000000003E-3</v>
      </c>
      <c r="E7" s="3">
        <v>-5.5960297999999999E-2</v>
      </c>
      <c r="F7" s="3">
        <v>1.054573E-2</v>
      </c>
      <c r="G7" s="3">
        <v>-8.0678639999999996E-2</v>
      </c>
      <c r="H7" s="3">
        <v>-1.1226951999999998E-2</v>
      </c>
      <c r="I7" s="3">
        <v>-1.7161428999999999E-2</v>
      </c>
      <c r="J7" s="3">
        <v>2.5705456999999998E-2</v>
      </c>
      <c r="K7" s="3">
        <v>-3.9273917999999998E-2</v>
      </c>
      <c r="L7" s="3">
        <v>-6.4737199999999995E-2</v>
      </c>
      <c r="M7" s="3">
        <v>-1.2119949000000001E-2</v>
      </c>
      <c r="N7" s="3">
        <v>2.8849839999999997E-3</v>
      </c>
      <c r="O7" s="3">
        <v>3.3821821000000002E-2</v>
      </c>
      <c r="P7" s="3">
        <v>-7.602942E-2</v>
      </c>
      <c r="Q7" s="3">
        <v>1.6710162000000001E-2</v>
      </c>
      <c r="R7" s="3">
        <v>-1.1052728000000001E-2</v>
      </c>
      <c r="S7" s="3">
        <v>7.0117592999999992E-2</v>
      </c>
      <c r="T7" s="3">
        <v>2.4147750000000003E-2</v>
      </c>
      <c r="U7" s="3">
        <v>1.8518448E-2</v>
      </c>
      <c r="V7" s="3">
        <v>5.9505463000000001E-2</v>
      </c>
      <c r="W7" s="3">
        <v>-1.4227927E-2</v>
      </c>
      <c r="X7" s="3">
        <v>1.3420224000000001E-2</v>
      </c>
      <c r="Y7" s="3">
        <v>1.2885928E-2</v>
      </c>
      <c r="Z7" s="3">
        <v>-1.7073749999999999E-3</v>
      </c>
      <c r="AA7" s="3">
        <v>-2.9141306999999998E-3</v>
      </c>
      <c r="AB7" s="3">
        <v>1.8134117000000002E-2</v>
      </c>
      <c r="AC7" s="3">
        <v>1.0240912E-2</v>
      </c>
      <c r="AD7" s="3">
        <v>1.4099598E-2</v>
      </c>
      <c r="AE7" s="3">
        <v>1.837194E-2</v>
      </c>
      <c r="AF7" s="3">
        <v>3.3394694000000003E-2</v>
      </c>
      <c r="AG7" s="3">
        <v>4.5856476E-2</v>
      </c>
      <c r="AH7" s="3">
        <v>2.1205067999999997E-2</v>
      </c>
      <c r="AI7" s="3">
        <v>3.5977839999999997E-2</v>
      </c>
      <c r="AJ7" s="3"/>
      <c r="AK7" s="3"/>
      <c r="AL7" s="3"/>
    </row>
    <row r="8" spans="1:38" x14ac:dyDescent="0.45">
      <c r="A8" s="2">
        <v>44449</v>
      </c>
      <c r="B8" s="3">
        <v>1.7433763000000001E-2</v>
      </c>
      <c r="C8" s="3">
        <v>-7.2097779999999998E-4</v>
      </c>
      <c r="D8" s="3">
        <v>3.7378669000000003E-2</v>
      </c>
      <c r="E8" s="3">
        <v>7.8568935000000006E-2</v>
      </c>
      <c r="F8" s="3">
        <v>4.3557167000000001E-2</v>
      </c>
      <c r="G8" s="3">
        <v>3.1261801999999998E-2</v>
      </c>
      <c r="H8" s="3">
        <v>6.4071417000000006E-2</v>
      </c>
      <c r="I8" s="3">
        <v>2.5011896999999998E-2</v>
      </c>
      <c r="J8" s="3">
        <v>1.8948554999999999E-2</v>
      </c>
      <c r="K8" s="3">
        <v>-4.2597055000000002E-2</v>
      </c>
      <c r="L8" s="3">
        <v>-6.0803532999999993E-2</v>
      </c>
      <c r="M8" s="3">
        <v>-1.6011655E-2</v>
      </c>
      <c r="N8" s="3">
        <v>2.4092077999999999E-2</v>
      </c>
      <c r="O8" s="3">
        <v>7.5027347000000008E-2</v>
      </c>
      <c r="P8" s="3">
        <v>4.3307542999999997E-3</v>
      </c>
      <c r="Q8" s="3">
        <v>1.1813164000000001E-2</v>
      </c>
      <c r="R8" s="3">
        <v>6.6966414000000002E-2</v>
      </c>
      <c r="S8" s="3">
        <v>3.5179853000000001E-3</v>
      </c>
      <c r="T8" s="3">
        <v>5.4091573000000004E-2</v>
      </c>
      <c r="U8" s="3">
        <v>1.161623E-2</v>
      </c>
      <c r="V8" s="3">
        <v>1.2885928E-2</v>
      </c>
      <c r="W8" s="3">
        <v>3.9363623E-2</v>
      </c>
      <c r="X8" s="3">
        <v>-2.3836613E-2</v>
      </c>
      <c r="Y8" s="3">
        <v>-1.2986958E-2</v>
      </c>
      <c r="Z8" s="3">
        <v>-1.7103851E-2</v>
      </c>
      <c r="AA8" s="3">
        <v>6.4006924999999992E-2</v>
      </c>
      <c r="AB8" s="3">
        <v>-2.2560834999999998E-2</v>
      </c>
      <c r="AC8" s="3">
        <v>-2.3852109999999999E-2</v>
      </c>
      <c r="AD8" s="3">
        <v>2.4651049999999997E-2</v>
      </c>
      <c r="AE8" s="3">
        <v>7.4148179999999995E-4</v>
      </c>
      <c r="AF8" s="3">
        <v>-1.7048298999999999E-2</v>
      </c>
      <c r="AG8" s="3">
        <v>3.8537145000000002E-2</v>
      </c>
      <c r="AH8" s="3">
        <v>-2.0764767999999999E-2</v>
      </c>
      <c r="AI8" s="3">
        <v>-4.1258515999999995E-2</v>
      </c>
      <c r="AJ8" s="3"/>
      <c r="AK8" s="3"/>
      <c r="AL8" s="3"/>
    </row>
    <row r="9" spans="1:38" x14ac:dyDescent="0.45">
      <c r="A9" s="2">
        <v>44481</v>
      </c>
      <c r="B9" s="3">
        <v>-3.3813120000000002E-2</v>
      </c>
      <c r="C9" s="3">
        <v>-0.12193357000000001</v>
      </c>
      <c r="D9" s="3">
        <v>0.10809540999999999</v>
      </c>
      <c r="E9" s="3">
        <v>2.8617859999999998E-2</v>
      </c>
      <c r="F9" s="3">
        <v>2.6956557999999999E-2</v>
      </c>
      <c r="G9" s="3">
        <v>3.9810061000000001E-2</v>
      </c>
      <c r="H9" s="3">
        <v>9.9085570000000001E-3</v>
      </c>
      <c r="I9" s="3">
        <v>-7.489264000000001E-2</v>
      </c>
      <c r="J9" s="3">
        <v>-3.3793209999999997E-2</v>
      </c>
      <c r="K9" s="3">
        <v>-8.5396470000000002E-2</v>
      </c>
      <c r="L9" s="3">
        <v>-7.3699417000000003E-2</v>
      </c>
      <c r="M9" s="3">
        <v>1.9864678E-2</v>
      </c>
      <c r="N9" s="3">
        <v>-2.7036547999999997E-2</v>
      </c>
      <c r="O9" s="3">
        <v>8.1157683999999995E-4</v>
      </c>
      <c r="P9" s="3">
        <v>-4.5764389999999995E-2</v>
      </c>
      <c r="Q9" s="3">
        <v>4.6527862999999996E-2</v>
      </c>
      <c r="R9" s="3">
        <v>5.0692559999999994E-3</v>
      </c>
      <c r="S9" s="3">
        <v>-7.2743177000000006E-2</v>
      </c>
      <c r="T9" s="3">
        <v>-4.0355205999999998E-2</v>
      </c>
      <c r="U9" s="3">
        <v>-2.0968555999999999E-2</v>
      </c>
      <c r="V9" s="3">
        <v>1.8963099000000001E-2</v>
      </c>
      <c r="W9" s="3">
        <v>-2.9351413000000003E-2</v>
      </c>
      <c r="X9" s="3">
        <v>-6.201565E-3</v>
      </c>
      <c r="Y9" s="3">
        <v>1.3694881999999999E-2</v>
      </c>
      <c r="Z9" s="3">
        <v>-5.6844530000000004E-2</v>
      </c>
      <c r="AA9" s="3">
        <v>-6.9907903999999993E-2</v>
      </c>
      <c r="AB9" s="3">
        <v>-4.2316256000000003E-2</v>
      </c>
      <c r="AC9" s="3">
        <v>3.9706229999999995E-3</v>
      </c>
      <c r="AD9" s="3">
        <v>-5.0574303000000001E-2</v>
      </c>
      <c r="AE9" s="3">
        <v>-2.3386002000000003E-2</v>
      </c>
      <c r="AF9" s="3">
        <v>-3.2876015000000001E-2</v>
      </c>
      <c r="AG9" s="3">
        <v>-7.0995809999999993E-2</v>
      </c>
      <c r="AH9" s="3">
        <v>-5.3747654000000006E-2</v>
      </c>
      <c r="AI9" s="3">
        <v>-4.9535632000000003E-3</v>
      </c>
      <c r="AJ9" s="3"/>
      <c r="AK9" s="3"/>
      <c r="AL9" s="3"/>
    </row>
    <row r="10" spans="1:38" x14ac:dyDescent="0.45">
      <c r="A10" s="2">
        <v>44512</v>
      </c>
      <c r="B10" s="3">
        <v>2.7429700000000001E-2</v>
      </c>
      <c r="C10" s="3">
        <v>0.1175021</v>
      </c>
      <c r="D10" s="3">
        <v>1.0979772E-2</v>
      </c>
      <c r="E10" s="3">
        <v>5.7224153999999999E-2</v>
      </c>
      <c r="F10" s="3">
        <v>-4.3607116000000001E-2</v>
      </c>
      <c r="G10" s="3">
        <v>6.4629435999999998E-2</v>
      </c>
      <c r="H10" s="3">
        <v>-3.4339607000000001E-2</v>
      </c>
      <c r="I10" s="3">
        <v>8.2946300000000001E-2</v>
      </c>
      <c r="J10" s="3">
        <v>9.5198153999999993E-3</v>
      </c>
      <c r="K10" s="3">
        <v>4.2500376999999999E-2</v>
      </c>
      <c r="L10" s="3">
        <v>-3.7129462000000002E-2</v>
      </c>
      <c r="M10" s="3">
        <v>-1.0567724999999998E-2</v>
      </c>
      <c r="N10" s="3">
        <v>9.0219975000000001E-3</v>
      </c>
      <c r="O10" s="3">
        <v>2.9393791999999998E-2</v>
      </c>
      <c r="P10" s="3">
        <v>3.0029178E-2</v>
      </c>
      <c r="Q10" s="3">
        <v>3.1692982000000001E-2</v>
      </c>
      <c r="R10" s="3">
        <v>-5.901575E-3</v>
      </c>
      <c r="S10" s="3">
        <v>5.5765630000000004E-2</v>
      </c>
      <c r="T10" s="3">
        <v>0.10512388</v>
      </c>
      <c r="U10" s="3">
        <v>5.6093693E-2</v>
      </c>
      <c r="V10" s="3">
        <v>3.7455796999999999E-2</v>
      </c>
      <c r="W10" s="3">
        <v>3.2520294000000001E-4</v>
      </c>
      <c r="X10" s="3">
        <v>1.6770719999999999E-2</v>
      </c>
      <c r="Y10" s="3">
        <v>5.9602620000000002E-2</v>
      </c>
      <c r="Z10" s="3">
        <v>4.8892974999999998E-2</v>
      </c>
      <c r="AA10" s="3">
        <v>3.4849405E-2</v>
      </c>
      <c r="AB10" s="3">
        <v>7.9704046000000001E-2</v>
      </c>
      <c r="AC10" s="3">
        <v>1.9470571999999998E-2</v>
      </c>
      <c r="AD10" s="3">
        <v>0.10516882000000001</v>
      </c>
      <c r="AE10" s="3">
        <v>7.7602506000000002E-2</v>
      </c>
      <c r="AF10" s="3">
        <v>7.2269796999999997E-2</v>
      </c>
      <c r="AG10" s="3">
        <v>8.0293420000000004E-2</v>
      </c>
      <c r="AH10" s="3">
        <v>7.9875710000000003E-2</v>
      </c>
      <c r="AI10" s="3">
        <v>5.5382610000000006E-2</v>
      </c>
      <c r="AJ10" s="3"/>
      <c r="AK10" s="3"/>
      <c r="AL10" s="3"/>
    </row>
    <row r="11" spans="1:38" x14ac:dyDescent="0.45">
      <c r="A11" s="2">
        <v>44540</v>
      </c>
      <c r="B11" s="3">
        <v>3.4522414000000001E-2</v>
      </c>
      <c r="C11" s="3">
        <v>-6.9853009999999993E-2</v>
      </c>
      <c r="D11" s="3">
        <v>-1.8797040000000001E-2</v>
      </c>
      <c r="E11" s="3">
        <v>-2.9007076999999999E-2</v>
      </c>
      <c r="F11" s="3">
        <v>-7.6139869999999998E-2</v>
      </c>
      <c r="G11" s="3">
        <v>-5.3447665999999998E-2</v>
      </c>
      <c r="H11" s="3">
        <v>-3.7123918999999998E-2</v>
      </c>
      <c r="I11" s="3">
        <v>2.4356722999999997E-2</v>
      </c>
      <c r="J11" s="3">
        <v>-1.4350057000000001E-2</v>
      </c>
      <c r="K11" s="3">
        <v>1.2794733000000001E-2</v>
      </c>
      <c r="L11" s="3">
        <v>-5.8327913E-3</v>
      </c>
      <c r="M11" s="3">
        <v>-4.8167524000000003E-2</v>
      </c>
      <c r="N11" s="3">
        <v>-2.3605167999999999E-2</v>
      </c>
      <c r="O11" s="3">
        <v>-4.4505652999999999E-2</v>
      </c>
      <c r="P11" s="3">
        <v>-6.7364873999999991E-2</v>
      </c>
      <c r="Q11" s="3">
        <v>-3.8081884000000003E-2</v>
      </c>
      <c r="R11" s="3">
        <v>-9.6147656000000001E-3</v>
      </c>
      <c r="S11" s="3">
        <v>-0.10966879</v>
      </c>
      <c r="T11" s="3">
        <v>7.3200940000000006E-2</v>
      </c>
      <c r="U11" s="3">
        <v>-1.4485121000000001E-3</v>
      </c>
      <c r="V11" s="3">
        <v>-9.7184419999999994E-2</v>
      </c>
      <c r="W11" s="3">
        <v>-4.1686953999999998E-2</v>
      </c>
      <c r="X11" s="3">
        <v>-3.1837344000000004E-2</v>
      </c>
      <c r="Y11" s="3">
        <v>-4.9250006999999998E-2</v>
      </c>
      <c r="Z11" s="3">
        <v>-4.1923227E-2</v>
      </c>
      <c r="AA11" s="3">
        <v>-2.3544550000000001E-2</v>
      </c>
      <c r="AB11" s="3">
        <v>3.3288001999999999E-3</v>
      </c>
      <c r="AC11" s="3">
        <v>-1.3428747999999999E-2</v>
      </c>
      <c r="AD11" s="3">
        <v>8.3861349999999994E-3</v>
      </c>
      <c r="AE11" s="3">
        <v>7.4261427E-3</v>
      </c>
      <c r="AF11" s="3">
        <v>-2.6210785E-2</v>
      </c>
      <c r="AG11" s="3">
        <v>-6.9798109999999997E-2</v>
      </c>
      <c r="AH11" s="3">
        <v>-4.8489750000000005E-2</v>
      </c>
      <c r="AI11" s="3">
        <v>-3.9504588E-2</v>
      </c>
      <c r="AJ11" s="3"/>
      <c r="AK11" s="3"/>
      <c r="AL11" s="3"/>
    </row>
    <row r="12" spans="1:38" x14ac:dyDescent="0.45">
      <c r="A12" s="2">
        <v>44573</v>
      </c>
      <c r="B12" s="3">
        <v>-3.8611770000000004E-2</v>
      </c>
      <c r="C12" s="3">
        <v>1.6136765000000001E-2</v>
      </c>
      <c r="D12" s="3">
        <v>8.3522796999999996E-3</v>
      </c>
      <c r="E12" s="3">
        <v>-1.7960250000000001E-2</v>
      </c>
      <c r="F12" s="3">
        <v>0.11922751999999999</v>
      </c>
      <c r="G12" s="3">
        <v>0.1996559</v>
      </c>
      <c r="H12" s="3">
        <v>6.5146684999999996E-2</v>
      </c>
      <c r="I12" s="3">
        <v>3.6442041000000001E-2</v>
      </c>
      <c r="J12" s="3">
        <v>8.3983899999999986E-2</v>
      </c>
      <c r="K12" s="3">
        <v>9.2388390000000004E-3</v>
      </c>
      <c r="L12" s="3">
        <v>1.1823416E-2</v>
      </c>
      <c r="M12" s="3">
        <v>0.13036489500000001</v>
      </c>
      <c r="N12" s="3">
        <v>7.013809700000001E-2</v>
      </c>
      <c r="O12" s="3">
        <v>6.4561605000000008E-2</v>
      </c>
      <c r="P12" s="3">
        <v>-3.5867094999999997E-3</v>
      </c>
      <c r="Q12" s="3">
        <v>4.6851516000000003E-2</v>
      </c>
      <c r="R12" s="3">
        <v>3.7244440000000004E-2</v>
      </c>
      <c r="S12" s="3">
        <v>5.0421476E-2</v>
      </c>
      <c r="T12" s="3">
        <v>-5.0151290000000001E-2</v>
      </c>
      <c r="U12" s="3">
        <v>2.4929999999999997E-2</v>
      </c>
      <c r="V12" s="3">
        <v>0.11627674</v>
      </c>
      <c r="W12" s="3">
        <v>1.4550685999999999E-3</v>
      </c>
      <c r="X12" s="3">
        <v>2.5357484999999999E-2</v>
      </c>
      <c r="Y12" s="3">
        <v>4.8369169999999996E-2</v>
      </c>
      <c r="Z12" s="3">
        <v>3.4269213999999999E-2</v>
      </c>
      <c r="AA12" s="3">
        <v>6.7622660000000003E-3</v>
      </c>
      <c r="AB12" s="3">
        <v>8.3918570000000008E-3</v>
      </c>
      <c r="AC12" s="3">
        <v>7.3217629999999992E-2</v>
      </c>
      <c r="AD12" s="3">
        <v>-2.5527000000000001E-2</v>
      </c>
      <c r="AE12" s="3">
        <v>4.1553974E-3</v>
      </c>
      <c r="AF12" s="3">
        <v>4.7421336000000001E-2</v>
      </c>
      <c r="AG12" s="3">
        <v>9.4223020000000005E-3</v>
      </c>
      <c r="AH12" s="3">
        <v>3.1886696999999999E-2</v>
      </c>
      <c r="AI12" s="3">
        <v>5.1284669999999997E-2</v>
      </c>
      <c r="AJ12" s="3"/>
      <c r="AK12" s="3"/>
      <c r="AL12" s="3"/>
    </row>
    <row r="13" spans="1:38" x14ac:dyDescent="0.45">
      <c r="A13" s="2">
        <v>44603</v>
      </c>
      <c r="B13" s="3">
        <v>-7.3563814000000005E-2</v>
      </c>
      <c r="C13" s="3">
        <v>6.4684629999999993E-2</v>
      </c>
      <c r="D13" s="3">
        <v>1.0204077000000001E-2</v>
      </c>
      <c r="E13" s="3">
        <v>5.9804915999999994E-3</v>
      </c>
      <c r="F13" s="3">
        <v>-0.12115973000000001</v>
      </c>
      <c r="G13" s="3">
        <v>7.4360369999999995E-3</v>
      </c>
      <c r="H13" s="3">
        <v>-1.1019289999999999E-2</v>
      </c>
      <c r="I13" s="3">
        <v>-3.2468438000000002E-2</v>
      </c>
      <c r="J13" s="3">
        <v>-2.0821154000000001E-2</v>
      </c>
      <c r="K13" s="3">
        <v>-8.6122569999999996E-2</v>
      </c>
      <c r="L13" s="3">
        <v>0.12720966</v>
      </c>
      <c r="M13" s="3">
        <v>6.4897539999999995E-3</v>
      </c>
      <c r="N13" s="3">
        <v>2.5883198E-2</v>
      </c>
      <c r="O13" s="3">
        <v>-8.9278399999999994E-2</v>
      </c>
      <c r="P13" s="3">
        <v>-4.5412660000000001E-2</v>
      </c>
      <c r="Q13" s="3">
        <v>8.9114430000000008E-2</v>
      </c>
      <c r="R13" s="3">
        <v>1.233244E-2</v>
      </c>
      <c r="S13" s="3">
        <v>-2.9807627E-2</v>
      </c>
      <c r="T13" s="3">
        <v>5.4090260000000001E-2</v>
      </c>
      <c r="U13" s="3">
        <v>-6.9701250000000006E-2</v>
      </c>
      <c r="V13" s="3">
        <v>1.8833756E-2</v>
      </c>
      <c r="W13" s="3">
        <v>-7.9608020000000002E-2</v>
      </c>
      <c r="X13" s="3">
        <v>-5.2462935000000002E-2</v>
      </c>
      <c r="Y13" s="3">
        <v>-1.321137E-2</v>
      </c>
      <c r="Z13" s="3">
        <v>-5.7893157000000001E-2</v>
      </c>
      <c r="AA13" s="3">
        <v>-5.9273423999999998E-2</v>
      </c>
      <c r="AB13" s="3">
        <v>-5.8447779999999998E-2</v>
      </c>
      <c r="AC13" s="3">
        <v>-2.0272135999999997E-3</v>
      </c>
      <c r="AD13" s="3">
        <v>-0.10401445000000001</v>
      </c>
      <c r="AE13" s="3">
        <v>-6.4880489999999999E-2</v>
      </c>
      <c r="AF13" s="3">
        <v>-6.0362099999999995E-2</v>
      </c>
      <c r="AG13" s="3">
        <v>-9.235734000000001E-2</v>
      </c>
      <c r="AH13" s="3">
        <v>-0.11720269999999999</v>
      </c>
      <c r="AI13" s="3">
        <v>-4.8563776000000003E-2</v>
      </c>
      <c r="AJ13" s="3"/>
      <c r="AK13" s="3"/>
      <c r="AL13" s="3"/>
    </row>
    <row r="14" spans="1:38" x14ac:dyDescent="0.45">
      <c r="A14" s="2">
        <v>44631</v>
      </c>
      <c r="B14" s="3">
        <v>-5.2684545999999999E-2</v>
      </c>
      <c r="C14" s="3">
        <v>-7.9244970000000008E-3</v>
      </c>
      <c r="D14" s="3">
        <v>2.525258E-2</v>
      </c>
      <c r="E14" s="3">
        <v>-5.7884810000000002E-2</v>
      </c>
      <c r="F14" s="3">
        <v>-0.15706545</v>
      </c>
      <c r="G14" s="3">
        <v>8.7097759999999996E-2</v>
      </c>
      <c r="H14" s="3">
        <v>-3.1834245E-3</v>
      </c>
      <c r="I14" s="3">
        <v>-7.447135399999999E-2</v>
      </c>
      <c r="J14" s="3">
        <v>-2.3251175999999998E-2</v>
      </c>
      <c r="K14" s="3">
        <v>-7.9423904000000004E-2</v>
      </c>
      <c r="L14" s="3">
        <v>2.6137709999999998E-2</v>
      </c>
      <c r="M14" s="3">
        <v>2.3642063000000001E-2</v>
      </c>
      <c r="N14" s="3">
        <v>-0.16808731000000002</v>
      </c>
      <c r="O14" s="3">
        <v>-4.7090769999999997E-2</v>
      </c>
      <c r="P14" s="3">
        <v>-0.21086472000000001</v>
      </c>
      <c r="Q14" s="3">
        <v>2.1496176999999998E-2</v>
      </c>
      <c r="R14" s="3">
        <v>-2.4240792000000001E-2</v>
      </c>
      <c r="S14" s="3">
        <v>-9.018826499999999E-2</v>
      </c>
      <c r="T14" s="3">
        <v>6.4553856999999992E-2</v>
      </c>
      <c r="U14" s="3">
        <v>-5.5555580000000007E-2</v>
      </c>
      <c r="V14" s="3">
        <v>3.8307310000000004E-2</v>
      </c>
      <c r="W14" s="3">
        <v>6.5383910000000002E-3</v>
      </c>
      <c r="X14" s="3">
        <v>3.0431032E-2</v>
      </c>
      <c r="Y14" s="3">
        <v>-8.2389115999999991E-3</v>
      </c>
      <c r="Z14" s="3">
        <v>-0.15394365000000002</v>
      </c>
      <c r="AA14" s="3">
        <v>-8.474045999999999E-2</v>
      </c>
      <c r="AB14" s="3">
        <v>-7.1736930000000004E-2</v>
      </c>
      <c r="AC14" s="3">
        <v>-8.5896670000000008E-2</v>
      </c>
      <c r="AD14" s="3">
        <v>-6.5291286000000004E-2</v>
      </c>
      <c r="AE14" s="3">
        <v>-4.6292486000000001E-2</v>
      </c>
      <c r="AF14" s="3">
        <v>-0.12981802000000001</v>
      </c>
      <c r="AG14" s="3">
        <v>-0.14419013</v>
      </c>
      <c r="AH14" s="3">
        <v>-0.12004889000000001</v>
      </c>
      <c r="AI14" s="3">
        <v>-0.16433238999999999</v>
      </c>
      <c r="AJ14" s="3"/>
      <c r="AK14" s="3"/>
      <c r="AL14" s="3"/>
    </row>
    <row r="15" spans="1:38" x14ac:dyDescent="0.45">
      <c r="A15" s="2">
        <v>44663</v>
      </c>
      <c r="B15" s="3">
        <v>-3.5125136000000001E-2</v>
      </c>
      <c r="C15" s="3">
        <v>6.5043690000000001E-2</v>
      </c>
      <c r="D15" s="3">
        <v>7.7996253999999994E-3</v>
      </c>
      <c r="E15" s="3">
        <v>-9.2992779999999994E-3</v>
      </c>
      <c r="F15" s="3">
        <v>6.7172885000000002E-2</v>
      </c>
      <c r="G15" s="3">
        <v>-3.4763693999999998E-2</v>
      </c>
      <c r="H15" s="3">
        <v>2.3153663000000001E-2</v>
      </c>
      <c r="I15" s="3">
        <v>-2.9966889999999999E-2</v>
      </c>
      <c r="J15" s="3">
        <v>8.0773115000000006E-2</v>
      </c>
      <c r="K15" s="3">
        <v>2.1010279999999999E-2</v>
      </c>
      <c r="L15" s="3">
        <v>0.12526225999999999</v>
      </c>
      <c r="M15" s="3">
        <v>3.7984369999999996E-2</v>
      </c>
      <c r="N15" s="3">
        <v>0.11106563</v>
      </c>
      <c r="O15" s="3">
        <v>7.1275829999999998E-2</v>
      </c>
      <c r="P15" s="3">
        <v>5.6619166999999998E-2</v>
      </c>
      <c r="Q15" s="3">
        <v>4.8821570000000002E-2</v>
      </c>
      <c r="R15" s="3">
        <v>9.8490714999999989E-3</v>
      </c>
      <c r="S15" s="3">
        <v>0.25</v>
      </c>
      <c r="T15" s="3">
        <v>5.7960390000000001E-2</v>
      </c>
      <c r="U15" s="3">
        <v>1.6189813999999999E-3</v>
      </c>
      <c r="V15" s="3">
        <v>7.6362132999999999E-2</v>
      </c>
      <c r="W15" s="3">
        <v>-6.8671702999999994E-3</v>
      </c>
      <c r="X15" s="3">
        <v>8.1214189999999992E-2</v>
      </c>
      <c r="Y15" s="3">
        <v>2.2845268000000002E-2</v>
      </c>
      <c r="Z15" s="3">
        <v>1.3103724000000001E-2</v>
      </c>
      <c r="AA15" s="3">
        <v>-1.3836741E-2</v>
      </c>
      <c r="AB15" s="3">
        <v>9.1895469999999993E-2</v>
      </c>
      <c r="AC15" s="3">
        <v>6.8888782999999995E-2</v>
      </c>
      <c r="AD15" s="3">
        <v>4.7689795000000007E-2</v>
      </c>
      <c r="AE15" s="3">
        <v>4.6579956999999998E-2</v>
      </c>
      <c r="AF15" s="3">
        <v>4.4909359999999995E-2</v>
      </c>
      <c r="AG15" s="3">
        <v>3.9979220000000003E-2</v>
      </c>
      <c r="AH15" s="3">
        <v>6.3350916000000007E-2</v>
      </c>
      <c r="AI15" s="3">
        <v>7.1135879999999999E-2</v>
      </c>
      <c r="AJ15" s="3"/>
      <c r="AK15" s="3"/>
      <c r="AL15" s="3"/>
    </row>
    <row r="16" spans="1:38" x14ac:dyDescent="0.45">
      <c r="A16" s="2">
        <v>44693</v>
      </c>
      <c r="B16" s="3">
        <v>-0.10479867999999999</v>
      </c>
      <c r="C16" s="3">
        <v>-0.10071426</v>
      </c>
      <c r="D16" s="3">
        <v>-6.5173030000000007E-2</v>
      </c>
      <c r="E16" s="3">
        <v>-5.6654396000000003E-2</v>
      </c>
      <c r="F16" s="3">
        <v>-0.21893817999999998</v>
      </c>
      <c r="G16" s="3">
        <v>-0.22115929000000001</v>
      </c>
      <c r="H16" s="3">
        <v>-7.5302305E-2</v>
      </c>
      <c r="I16" s="3">
        <v>-0.10001707</v>
      </c>
      <c r="J16" s="3">
        <v>-9.3561709999999992E-2</v>
      </c>
      <c r="K16" s="3">
        <v>-8.5230530000000013E-2</v>
      </c>
      <c r="L16" s="3">
        <v>-0.17203724000000001</v>
      </c>
      <c r="M16" s="3">
        <v>-0.18812060999999999</v>
      </c>
      <c r="N16" s="3">
        <v>-9.4430150000000004E-2</v>
      </c>
      <c r="O16" s="3">
        <v>-0.1035707</v>
      </c>
      <c r="P16" s="3">
        <v>-0.10466462</v>
      </c>
      <c r="Q16" s="3">
        <v>-5.939001E-2</v>
      </c>
      <c r="R16" s="3">
        <v>-5.3645015000000004E-2</v>
      </c>
      <c r="S16" s="3">
        <v>-7.8867140000000002E-2</v>
      </c>
      <c r="T16" s="3">
        <v>-0.13346612999999999</v>
      </c>
      <c r="U16" s="3">
        <v>-0.17672412999999998</v>
      </c>
      <c r="V16" s="3">
        <v>-7.2140274000000004E-2</v>
      </c>
      <c r="W16" s="3">
        <v>-0.14333767</v>
      </c>
      <c r="X16" s="3">
        <v>-0.13505316000000001</v>
      </c>
      <c r="Y16" s="3">
        <v>-0.11472082</v>
      </c>
      <c r="Z16" s="3">
        <v>-7.2431620000000002E-2</v>
      </c>
      <c r="AA16" s="3">
        <v>-4.4171149999999999E-2</v>
      </c>
      <c r="AB16" s="3">
        <v>-0.1281687</v>
      </c>
      <c r="AC16" s="3">
        <v>-9.2367060000000001E-2</v>
      </c>
      <c r="AD16" s="3">
        <v>-0.14228905</v>
      </c>
      <c r="AE16" s="3">
        <v>-0.10483927</v>
      </c>
      <c r="AF16" s="3">
        <v>-7.4183105999999999E-2</v>
      </c>
      <c r="AG16" s="3">
        <v>-0.10496759000000001</v>
      </c>
      <c r="AH16" s="3">
        <v>-0.12568593</v>
      </c>
      <c r="AI16" s="3">
        <v>-8.2058430000000002E-2</v>
      </c>
      <c r="AJ16" s="3"/>
      <c r="AK16" s="3"/>
      <c r="AL16" s="3"/>
    </row>
    <row r="17" spans="1:38" x14ac:dyDescent="0.45">
      <c r="A17" s="2">
        <v>44722</v>
      </c>
      <c r="B17" s="3">
        <v>8.7986355000000002E-2</v>
      </c>
      <c r="C17" s="3">
        <v>0.14421105000000001</v>
      </c>
      <c r="D17" s="3">
        <v>2.7802825000000003E-2</v>
      </c>
      <c r="E17" s="3">
        <v>-1.9862710999999998E-2</v>
      </c>
      <c r="F17" s="3">
        <v>6.4964769999999991E-2</v>
      </c>
      <c r="G17" s="3">
        <v>9.5713619999999999E-2</v>
      </c>
      <c r="H17" s="3">
        <v>-3.1652272000000002E-2</v>
      </c>
      <c r="I17" s="3">
        <v>4.0584087000000005E-2</v>
      </c>
      <c r="J17" s="3">
        <v>-2.6535988000000001E-4</v>
      </c>
      <c r="K17" s="3">
        <v>7.1793795000000002E-3</v>
      </c>
      <c r="L17" s="3">
        <v>2.8751373E-2</v>
      </c>
      <c r="M17" s="3">
        <v>1.1739492000000001E-2</v>
      </c>
      <c r="N17" s="3">
        <v>2.3625254999999998E-2</v>
      </c>
      <c r="O17" s="3">
        <v>-4.205823E-3</v>
      </c>
      <c r="P17" s="3">
        <v>0.15743278999999999</v>
      </c>
      <c r="Q17" s="3">
        <v>-3.9583564000000002E-2</v>
      </c>
      <c r="R17" s="3">
        <v>3.0356168999999999E-2</v>
      </c>
      <c r="S17" s="3">
        <v>-5.7723820000000002E-2</v>
      </c>
      <c r="T17" s="3">
        <v>-1.3102889E-3</v>
      </c>
      <c r="U17" s="3">
        <v>2.4214625E-2</v>
      </c>
      <c r="V17" s="3">
        <v>-3.7194609999999996E-2</v>
      </c>
      <c r="W17" s="3">
        <v>8.4005594000000003E-3</v>
      </c>
      <c r="X17" s="3">
        <v>1.3290763000000001E-2</v>
      </c>
      <c r="Y17" s="3">
        <v>4.6446920000000003E-2</v>
      </c>
      <c r="Z17" s="3">
        <v>1.9830703999999998E-2</v>
      </c>
      <c r="AA17" s="3">
        <v>2.6462078000000001E-3</v>
      </c>
      <c r="AB17" s="3">
        <v>-2.3745835E-2</v>
      </c>
      <c r="AC17" s="3">
        <v>2.9022931999999998E-2</v>
      </c>
      <c r="AD17" s="3">
        <v>-7.9340339999999995E-3</v>
      </c>
      <c r="AE17" s="3">
        <v>-6.4740180000000007E-3</v>
      </c>
      <c r="AF17" s="3">
        <v>2.4586199999999999E-2</v>
      </c>
      <c r="AG17" s="3">
        <v>3.1881212999999999E-2</v>
      </c>
      <c r="AH17" s="3">
        <v>2.5562762999999999E-2</v>
      </c>
      <c r="AI17" s="3">
        <v>-1.3812720999999998E-2</v>
      </c>
      <c r="AJ17" s="3"/>
      <c r="AK17" s="3"/>
      <c r="AL17" s="3"/>
    </row>
    <row r="18" spans="1:38" x14ac:dyDescent="0.45">
      <c r="A18" s="2">
        <v>44754</v>
      </c>
      <c r="B18" s="3">
        <v>2.7233957999999999E-2</v>
      </c>
      <c r="C18" s="3">
        <v>-0.18880875</v>
      </c>
      <c r="D18" s="3">
        <v>-6.4918336999999993E-2</v>
      </c>
      <c r="E18" s="3">
        <v>-6.7498149999999993E-2</v>
      </c>
      <c r="F18" s="3">
        <v>-0.124170065</v>
      </c>
      <c r="G18" s="3">
        <v>-0.16957260000000002</v>
      </c>
      <c r="H18" s="3">
        <v>-4.1796389999999996E-2</v>
      </c>
      <c r="I18" s="3">
        <v>-0.11518133000000001</v>
      </c>
      <c r="J18" s="3">
        <v>-4.7880229999999996E-2</v>
      </c>
      <c r="K18" s="3">
        <v>-0.10375416</v>
      </c>
      <c r="L18" s="3">
        <v>-0.14379305000000001</v>
      </c>
      <c r="M18" s="3">
        <v>-5.699241E-2</v>
      </c>
      <c r="N18" s="3">
        <v>-0.12511044500000001</v>
      </c>
      <c r="O18" s="3">
        <v>-6.9565177000000004E-3</v>
      </c>
      <c r="P18" s="3">
        <v>-1.2535095000000001E-2</v>
      </c>
      <c r="Q18" s="3">
        <v>-6.25E-2</v>
      </c>
      <c r="R18" s="3">
        <v>-5.2565755999999998E-2</v>
      </c>
      <c r="S18" s="3">
        <v>-6.2984047000000001E-2</v>
      </c>
      <c r="T18" s="3">
        <v>-5.6650280000000004E-2</v>
      </c>
      <c r="U18" s="3">
        <v>-8.3706019999999992E-2</v>
      </c>
      <c r="V18" s="3">
        <v>-8.404499E-2</v>
      </c>
      <c r="W18" s="3">
        <v>-2.3178399000000002E-2</v>
      </c>
      <c r="X18" s="3">
        <v>-6.8811417E-2</v>
      </c>
      <c r="Y18" s="3">
        <v>-8.9152629999999997E-2</v>
      </c>
      <c r="Z18" s="3">
        <v>-0.11759966999999999</v>
      </c>
      <c r="AA18" s="3">
        <v>-3.2487750000000003E-2</v>
      </c>
      <c r="AB18" s="3">
        <v>1.9450187999999998E-3</v>
      </c>
      <c r="AC18" s="3">
        <v>-5.5375633000000007E-2</v>
      </c>
      <c r="AD18" s="3">
        <v>-7.1421266000000006E-3</v>
      </c>
      <c r="AE18" s="3">
        <v>-1.8800913999999998E-2</v>
      </c>
      <c r="AF18" s="3">
        <v>-6.9009600000000004E-2</v>
      </c>
      <c r="AG18" s="3">
        <v>-7.4753523000000002E-2</v>
      </c>
      <c r="AH18" s="3">
        <v>-7.7661094999999999E-2</v>
      </c>
      <c r="AI18" s="3">
        <v>-8.9073659999999999E-2</v>
      </c>
      <c r="AJ18" s="3"/>
      <c r="AK18" s="3"/>
      <c r="AL18" s="3"/>
    </row>
    <row r="19" spans="1:38" x14ac:dyDescent="0.45">
      <c r="A19" s="2">
        <v>44785</v>
      </c>
      <c r="B19" s="3">
        <v>-1.1322855999999999E-2</v>
      </c>
      <c r="C19" s="3">
        <v>0.25389408000000002</v>
      </c>
      <c r="D19" s="3">
        <v>0.114482765</v>
      </c>
      <c r="E19" s="3">
        <v>7.8284859999999998E-2</v>
      </c>
      <c r="F19" s="3">
        <v>0.13040184999999999</v>
      </c>
      <c r="G19" s="3">
        <v>0.12391925000000001</v>
      </c>
      <c r="H19" s="3">
        <v>5.7540655000000003E-2</v>
      </c>
      <c r="I19" s="3">
        <v>9.1863989999999993E-2</v>
      </c>
      <c r="J19" s="3">
        <v>7.7979684000000007E-2</v>
      </c>
      <c r="K19" s="3">
        <v>9.9151610000000001E-2</v>
      </c>
      <c r="L19" s="3">
        <v>0.22379494</v>
      </c>
      <c r="M19" s="3">
        <v>0.11529123000000001</v>
      </c>
      <c r="N19" s="3">
        <v>0.14181495</v>
      </c>
      <c r="O19" s="3">
        <v>9.3570119999999993E-2</v>
      </c>
      <c r="P19" s="3">
        <v>-5.3050399999999998E-2</v>
      </c>
      <c r="Q19" s="3">
        <v>0.140196085</v>
      </c>
      <c r="R19" s="3">
        <v>4.8784613999999997E-2</v>
      </c>
      <c r="S19" s="3">
        <v>0.15867768999999998</v>
      </c>
      <c r="T19" s="3">
        <v>0.10966063</v>
      </c>
      <c r="U19" s="3">
        <v>9.2747569999999988E-2</v>
      </c>
      <c r="V19" s="3">
        <v>0.12193335</v>
      </c>
      <c r="W19" s="3">
        <v>0.12502802000000002</v>
      </c>
      <c r="X19" s="3">
        <v>0.11564302</v>
      </c>
      <c r="Y19" s="3">
        <v>9.8181840000000006E-2</v>
      </c>
      <c r="Z19" s="3">
        <v>0.10451853</v>
      </c>
      <c r="AA19" s="3">
        <v>7.5834750000000006E-2</v>
      </c>
      <c r="AB19" s="3">
        <v>6.7702054999999997E-2</v>
      </c>
      <c r="AC19" s="3">
        <v>7.1991799999999995E-2</v>
      </c>
      <c r="AD19" s="3">
        <v>0.15424132000000002</v>
      </c>
      <c r="AE19" s="3">
        <v>0.12149786999999999</v>
      </c>
      <c r="AF19" s="3">
        <v>0.11908030500000001</v>
      </c>
      <c r="AG19" s="3">
        <v>0.13820647999999999</v>
      </c>
      <c r="AH19" s="3">
        <v>9.9804989999999996E-2</v>
      </c>
      <c r="AI19" s="3">
        <v>0.10430241000000001</v>
      </c>
      <c r="AJ19" s="3"/>
      <c r="AK19" s="3"/>
      <c r="AL19" s="3"/>
    </row>
    <row r="20" spans="1:38" x14ac:dyDescent="0.45">
      <c r="A20" s="2">
        <v>44816</v>
      </c>
      <c r="B20" s="3">
        <v>-4.7765310000000005E-2</v>
      </c>
      <c r="C20" s="3">
        <v>1.2244939999999999E-2</v>
      </c>
      <c r="D20" s="3">
        <v>1.4438987E-2</v>
      </c>
      <c r="E20" s="3">
        <v>-2.8456807000000001E-2</v>
      </c>
      <c r="F20" s="3">
        <v>-0.12407773999999999</v>
      </c>
      <c r="G20" s="3">
        <v>-2.8571367E-2</v>
      </c>
      <c r="H20" s="3">
        <v>-1.4480113999999999E-2</v>
      </c>
      <c r="I20" s="3">
        <v>-6.2252400000000006E-2</v>
      </c>
      <c r="J20" s="3">
        <v>-1.8701196E-2</v>
      </c>
      <c r="K20" s="3">
        <v>-9.4227310000000009E-2</v>
      </c>
      <c r="L20" s="3">
        <v>5.3141119999999993E-3</v>
      </c>
      <c r="M20" s="3">
        <v>-8.7704070000000009E-2</v>
      </c>
      <c r="N20" s="3">
        <v>-5.1118255000000001E-2</v>
      </c>
      <c r="O20" s="3">
        <v>1.6243457999999999E-2</v>
      </c>
      <c r="P20" s="3">
        <v>-1.8407344999999999E-2</v>
      </c>
      <c r="Q20" s="3">
        <v>-4.4080019999999998E-2</v>
      </c>
      <c r="R20" s="3">
        <v>2.6802063000000001E-2</v>
      </c>
      <c r="S20" s="3">
        <v>0.25154530999999997</v>
      </c>
      <c r="T20" s="3">
        <v>-7.2352885999999991E-2</v>
      </c>
      <c r="U20" s="3">
        <v>-3.3184469000000001E-2</v>
      </c>
      <c r="V20" s="3">
        <v>-3.6081314000000003E-2</v>
      </c>
      <c r="W20" s="3">
        <v>-4.3019294999999999E-2</v>
      </c>
      <c r="X20" s="3">
        <v>-2.838707E-2</v>
      </c>
      <c r="Y20" s="3">
        <v>-2.3730695000000003E-2</v>
      </c>
      <c r="Z20" s="3">
        <v>-4.7520695000000002E-2</v>
      </c>
      <c r="AA20" s="3">
        <v>-6.9086432000000003E-2</v>
      </c>
      <c r="AB20" s="3">
        <v>-4.3181839999999999E-2</v>
      </c>
      <c r="AC20" s="3">
        <v>-4.7009945000000004E-2</v>
      </c>
      <c r="AD20" s="3">
        <v>-5.9475239999999999E-2</v>
      </c>
      <c r="AE20" s="3">
        <v>-3.7766337000000004E-2</v>
      </c>
      <c r="AF20" s="3">
        <v>-5.3357840000000004E-2</v>
      </c>
      <c r="AG20" s="3">
        <v>-7.5402974999999997E-2</v>
      </c>
      <c r="AH20" s="3">
        <v>-6.1483917000000006E-2</v>
      </c>
      <c r="AI20" s="3">
        <v>-3.7780344E-2</v>
      </c>
      <c r="AJ20" s="3"/>
      <c r="AK20" s="3"/>
      <c r="AL20" s="3"/>
    </row>
    <row r="21" spans="1:38" x14ac:dyDescent="0.45">
      <c r="A21" s="2">
        <v>44846</v>
      </c>
      <c r="B21" s="3">
        <v>-0.11704313000000001</v>
      </c>
      <c r="C21" s="3">
        <v>-0.17566621999999998</v>
      </c>
      <c r="D21" s="3">
        <v>-5.8153750000000004E-2</v>
      </c>
      <c r="E21" s="3">
        <v>-0.16184753000000002</v>
      </c>
      <c r="F21" s="3">
        <v>-0.17917305</v>
      </c>
      <c r="G21" s="3">
        <v>-4.4117629999999998E-2</v>
      </c>
      <c r="H21" s="3">
        <v>-0.11175418000000001</v>
      </c>
      <c r="I21" s="3">
        <v>-0.14805878</v>
      </c>
      <c r="J21" s="3">
        <v>-4.4188499999999999E-2</v>
      </c>
      <c r="K21" s="3">
        <v>-0.12799579</v>
      </c>
      <c r="L21" s="3">
        <v>-2.4564624E-2</v>
      </c>
      <c r="M21" s="3">
        <v>-0.12499993999999999</v>
      </c>
      <c r="N21" s="3">
        <v>-8.0808110000000002E-2</v>
      </c>
      <c r="O21" s="3">
        <v>-8.7347979999999992E-2</v>
      </c>
      <c r="P21" s="3">
        <v>-0.17183039999999999</v>
      </c>
      <c r="Q21" s="3">
        <v>-3.1243859999999998E-2</v>
      </c>
      <c r="R21" s="3">
        <v>-6.3010990000000003E-2</v>
      </c>
      <c r="S21" s="3">
        <v>-7.2948337000000002E-2</v>
      </c>
      <c r="T21" s="3">
        <v>-4.8192797000000002E-2</v>
      </c>
      <c r="U21" s="3">
        <v>-0.18613857</v>
      </c>
      <c r="V21" s="3">
        <v>-4.8548163999999998E-2</v>
      </c>
      <c r="W21" s="3">
        <v>-0.16066593000000001</v>
      </c>
      <c r="X21" s="3">
        <v>-0.13147407999999999</v>
      </c>
      <c r="Y21" s="3">
        <v>-0.142170725</v>
      </c>
      <c r="Z21" s="3">
        <v>-0.14403468</v>
      </c>
      <c r="AA21" s="3">
        <v>-8.1936300000000004E-2</v>
      </c>
      <c r="AB21" s="3">
        <v>-0.1232779</v>
      </c>
      <c r="AC21" s="3">
        <v>-0.12751675000000001</v>
      </c>
      <c r="AD21" s="3">
        <v>-0.15322131</v>
      </c>
      <c r="AE21" s="3">
        <v>-0.12880181999999998</v>
      </c>
      <c r="AF21" s="3">
        <v>-0.12406867999999999</v>
      </c>
      <c r="AG21" s="3">
        <v>-0.15860521</v>
      </c>
      <c r="AH21" s="3">
        <v>-0.15968502000000001</v>
      </c>
      <c r="AI21" s="3">
        <v>-0.12801641</v>
      </c>
      <c r="AJ21" s="3"/>
      <c r="AK21" s="3"/>
      <c r="AL21" s="3"/>
    </row>
    <row r="22" spans="1:38" x14ac:dyDescent="0.45">
      <c r="A22" s="2">
        <v>44876</v>
      </c>
      <c r="B22" s="3">
        <v>3.7541509000000001E-2</v>
      </c>
      <c r="C22" s="3">
        <v>0.16971503999999998</v>
      </c>
      <c r="D22" s="3">
        <v>2.5474906000000002E-2</v>
      </c>
      <c r="E22" s="3">
        <v>0.12410402</v>
      </c>
      <c r="F22" s="3">
        <v>0.36753726999999997</v>
      </c>
      <c r="G22" s="3">
        <v>0.16607486999999999</v>
      </c>
      <c r="H22" s="3">
        <v>8.7218049999999991E-2</v>
      </c>
      <c r="I22" s="3">
        <v>0.13553725999999999</v>
      </c>
      <c r="J22" s="3">
        <v>0.17462753</v>
      </c>
      <c r="K22" s="3">
        <v>0.23635995999999998</v>
      </c>
      <c r="L22" s="3">
        <v>-2.3270667000000002E-2</v>
      </c>
      <c r="M22" s="3">
        <v>0.19547426000000001</v>
      </c>
      <c r="N22" s="3">
        <v>0.18910253999999999</v>
      </c>
      <c r="O22" s="3">
        <v>8.6087700000000003E-2</v>
      </c>
      <c r="P22" s="3">
        <v>5.5131674000000006E-2</v>
      </c>
      <c r="Q22" s="3">
        <v>3.0473469999999999E-2</v>
      </c>
      <c r="R22" s="3">
        <v>4.9020409999999993E-2</v>
      </c>
      <c r="S22" s="3">
        <v>0.23114764999999998</v>
      </c>
      <c r="T22" s="3">
        <v>7.1285844000000001E-2</v>
      </c>
      <c r="U22" s="3">
        <v>-9.0835329999999992E-2</v>
      </c>
      <c r="V22" s="3">
        <v>-1.1921524999999999E-3</v>
      </c>
      <c r="W22" s="3">
        <v>0.13761461</v>
      </c>
      <c r="X22" s="3">
        <v>0.16207944999999999</v>
      </c>
      <c r="Y22" s="3">
        <v>0.154530525</v>
      </c>
      <c r="Z22" s="3">
        <v>0.25848960000000004</v>
      </c>
      <c r="AA22" s="3">
        <v>0.12720549</v>
      </c>
      <c r="AB22" s="3">
        <v>0.17339479999999999</v>
      </c>
      <c r="AC22" s="3">
        <v>0.14884615000000001</v>
      </c>
      <c r="AD22" s="3">
        <v>9.6322170000000013E-2</v>
      </c>
      <c r="AE22" s="3">
        <v>0.11765204999999999</v>
      </c>
      <c r="AF22" s="3">
        <v>0.21708572000000001</v>
      </c>
      <c r="AG22" s="3">
        <v>0.26169787999999999</v>
      </c>
      <c r="AH22" s="3">
        <v>0.27886057000000003</v>
      </c>
      <c r="AI22" s="3">
        <v>0.28330208000000001</v>
      </c>
      <c r="AJ22" s="3"/>
      <c r="AK22" s="3"/>
      <c r="AL22" s="3"/>
    </row>
    <row r="23" spans="1:38" x14ac:dyDescent="0.45">
      <c r="A23" s="2">
        <v>44907</v>
      </c>
      <c r="B23" s="3">
        <v>3.9705514999999997E-2</v>
      </c>
      <c r="C23" s="3">
        <v>-1.8181801000000001E-2</v>
      </c>
      <c r="D23" s="3">
        <v>-4.1684210000000006E-2</v>
      </c>
      <c r="E23" s="3">
        <v>5.5400489999999997E-2</v>
      </c>
      <c r="F23" s="3">
        <v>4.0927770000000002E-2</v>
      </c>
      <c r="G23" s="3">
        <v>-4.7361255000000005E-3</v>
      </c>
      <c r="H23" s="3">
        <v>4.8870443999999999E-2</v>
      </c>
      <c r="I23" s="3">
        <v>3.3686756999999998E-2</v>
      </c>
      <c r="J23" s="3">
        <v>-2.9099046999999999E-2</v>
      </c>
      <c r="K23" s="3">
        <v>-4.1659775000000003E-2</v>
      </c>
      <c r="L23" s="3">
        <v>-4.9608290000000006E-2</v>
      </c>
      <c r="M23" s="3">
        <v>-2.3945272000000004E-2</v>
      </c>
      <c r="N23" s="3">
        <v>2.9649614999999997E-2</v>
      </c>
      <c r="O23" s="3">
        <v>-2.4528682000000003E-2</v>
      </c>
      <c r="P23" s="3">
        <v>0.12712859999999998</v>
      </c>
      <c r="Q23" s="3">
        <v>-0.11967701</v>
      </c>
      <c r="R23" s="3">
        <v>-8.6484550000000011E-3</v>
      </c>
      <c r="S23" s="3">
        <v>0.17809581999999999</v>
      </c>
      <c r="T23" s="3">
        <v>-6.5012399999999998E-2</v>
      </c>
      <c r="U23" s="3">
        <v>0.12132025</v>
      </c>
      <c r="V23" s="3">
        <v>-0.11888277</v>
      </c>
      <c r="W23" s="3">
        <v>7.4324370000000001E-2</v>
      </c>
      <c r="X23" s="3">
        <v>1.8421053999999999E-2</v>
      </c>
      <c r="Y23" s="3">
        <v>-2.9395044000000002E-2</v>
      </c>
      <c r="Z23" s="3">
        <v>1.8525957999999999E-2</v>
      </c>
      <c r="AA23" s="3">
        <v>5.6425332999999996E-3</v>
      </c>
      <c r="AB23" s="3">
        <v>-1.1313796000000001E-2</v>
      </c>
      <c r="AC23" s="3">
        <v>5.5239320000000001E-2</v>
      </c>
      <c r="AD23" s="3">
        <v>-8.2650780000000004E-3</v>
      </c>
      <c r="AE23" s="3">
        <v>1.10411644E-3</v>
      </c>
      <c r="AF23" s="3">
        <v>2.7651189999999999E-2</v>
      </c>
      <c r="AG23" s="3">
        <v>3.8145660999999997E-2</v>
      </c>
      <c r="AH23" s="3">
        <v>-3.5169719999999997E-3</v>
      </c>
      <c r="AI23" s="3">
        <v>1.096487E-2</v>
      </c>
      <c r="AJ23" s="3"/>
      <c r="AK23" s="3"/>
      <c r="AL23" s="3"/>
    </row>
    <row r="24" spans="1:38" x14ac:dyDescent="0.45">
      <c r="A24" s="2">
        <v>44938</v>
      </c>
      <c r="B24" s="3">
        <v>5.7517886000000004E-2</v>
      </c>
      <c r="C24" s="3">
        <v>4.4728874999999994E-2</v>
      </c>
      <c r="D24" s="3">
        <v>-1.0318935E-2</v>
      </c>
      <c r="E24" s="3">
        <v>6.8578960000000008E-2</v>
      </c>
      <c r="F24" s="3">
        <v>0.13156783999999999</v>
      </c>
      <c r="G24" s="3">
        <v>0.1043998</v>
      </c>
      <c r="H24" s="3">
        <v>3.2314897000000002E-2</v>
      </c>
      <c r="I24" s="3">
        <v>2.8966308E-2</v>
      </c>
      <c r="J24" s="3">
        <v>0.10753071</v>
      </c>
      <c r="K24" s="3">
        <v>7.735109300000001E-2</v>
      </c>
      <c r="L24" s="3">
        <v>9.883713999999999E-2</v>
      </c>
      <c r="M24" s="3">
        <v>0.12297428000000001</v>
      </c>
      <c r="N24" s="3">
        <v>9.2743400000000004E-2</v>
      </c>
      <c r="O24" s="3">
        <v>-1.1408626999999999E-2</v>
      </c>
      <c r="P24" s="3">
        <v>0.11352658</v>
      </c>
      <c r="Q24" s="3">
        <v>-2.3503900000000001E-2</v>
      </c>
      <c r="R24" s="3">
        <v>3.9627074999999998E-2</v>
      </c>
      <c r="S24" s="3">
        <v>-4.6978473999999999E-2</v>
      </c>
      <c r="T24" s="3">
        <v>-4.1239858000000004E-3</v>
      </c>
      <c r="U24" s="3">
        <v>6.1804055999999993E-3</v>
      </c>
      <c r="V24" s="3">
        <v>7.4266314999999999E-2</v>
      </c>
      <c r="W24" s="3">
        <v>1.3614892999999999E-2</v>
      </c>
      <c r="X24" s="3">
        <v>4.5381070000000003E-2</v>
      </c>
      <c r="Y24" s="3">
        <v>3.5155177000000003E-2</v>
      </c>
      <c r="Z24" s="3">
        <v>9.8431470000000007E-2</v>
      </c>
      <c r="AA24" s="3">
        <v>2.5441408000000002E-2</v>
      </c>
      <c r="AB24" s="3">
        <v>3.8066387E-2</v>
      </c>
      <c r="AC24" s="3">
        <v>4.2333363999999998E-2</v>
      </c>
      <c r="AD24" s="3">
        <v>-2.0491660000000002E-2</v>
      </c>
      <c r="AE24" s="3">
        <v>-3.6346912000000001E-4</v>
      </c>
      <c r="AF24" s="3">
        <v>7.5717090000000001E-2</v>
      </c>
      <c r="AG24" s="3">
        <v>6.9114327000000003E-2</v>
      </c>
      <c r="AH24" s="3">
        <v>4.653728E-2</v>
      </c>
      <c r="AI24" s="3">
        <v>8.7696910000000003E-2</v>
      </c>
      <c r="AJ24" s="3"/>
      <c r="AK24" s="3"/>
      <c r="AL24" s="3"/>
    </row>
    <row r="25" spans="1:38" x14ac:dyDescent="0.45">
      <c r="A25" s="2">
        <v>44967</v>
      </c>
      <c r="B25" s="3">
        <v>0</v>
      </c>
      <c r="C25" s="3">
        <v>6.4727305999999998E-2</v>
      </c>
      <c r="D25" s="3">
        <v>4.9327374E-2</v>
      </c>
      <c r="E25" s="3">
        <v>1.1184095999999999E-2</v>
      </c>
      <c r="F25" s="3">
        <v>-7.3070106999999995E-2</v>
      </c>
      <c r="G25" s="3">
        <v>-6.7647990000000005E-2</v>
      </c>
      <c r="H25" s="3">
        <v>-1.1607945E-2</v>
      </c>
      <c r="I25" s="3">
        <v>3.5994529999999997E-2</v>
      </c>
      <c r="J25" s="3">
        <v>-3.1864047000000001E-3</v>
      </c>
      <c r="K25" s="3">
        <v>8.3925723999999993E-3</v>
      </c>
      <c r="L25" s="3">
        <v>-5.4826736000000001E-2</v>
      </c>
      <c r="M25" s="3">
        <v>-8.8297420000000001E-2</v>
      </c>
      <c r="N25" s="3">
        <v>9.6559050000000007E-2</v>
      </c>
      <c r="O25" s="3">
        <v>-4.9929322999999998E-2</v>
      </c>
      <c r="P25" s="3">
        <v>-3.2440602999999998E-2</v>
      </c>
      <c r="Q25" s="3">
        <v>-6.0174046000000002E-2</v>
      </c>
      <c r="R25" s="3">
        <v>-1.3558924000000002E-2</v>
      </c>
      <c r="S25" s="3">
        <v>-0.12544698000000001</v>
      </c>
      <c r="T25" s="3">
        <v>1.1211514000000001E-2</v>
      </c>
      <c r="U25" s="3">
        <v>-4.6288910000000003E-2</v>
      </c>
      <c r="V25" s="3">
        <v>-4.8687220000000003E-2</v>
      </c>
      <c r="W25" s="3">
        <v>3.6604999999999999E-2</v>
      </c>
      <c r="X25" s="3">
        <v>1.4267683E-2</v>
      </c>
      <c r="Y25" s="3">
        <v>2.276659E-2</v>
      </c>
      <c r="Z25" s="3">
        <v>0</v>
      </c>
      <c r="AA25" s="3">
        <v>2.8126717000000002E-2</v>
      </c>
      <c r="AB25" s="3">
        <v>-2.6996135999999998E-3</v>
      </c>
      <c r="AC25" s="3">
        <v>0</v>
      </c>
      <c r="AD25" s="3">
        <v>7.4001193000000007E-2</v>
      </c>
      <c r="AE25" s="3">
        <v>2.7912140000000002E-2</v>
      </c>
      <c r="AF25" s="3">
        <v>4.4138431999999998E-3</v>
      </c>
      <c r="AG25" s="3">
        <v>-1.2007355999999999E-3</v>
      </c>
      <c r="AH25" s="3">
        <v>-1.2436449999999998E-2</v>
      </c>
      <c r="AI25" s="3">
        <v>2.1592498000000002E-2</v>
      </c>
      <c r="AJ25" s="3"/>
      <c r="AK25" s="3"/>
      <c r="AL25" s="3"/>
    </row>
    <row r="26" spans="1:38" x14ac:dyDescent="0.45">
      <c r="A26" s="2">
        <v>44995</v>
      </c>
      <c r="B26" s="3">
        <v>-4.6539425999999995E-2</v>
      </c>
      <c r="C26" s="3">
        <v>-1.5027344E-2</v>
      </c>
      <c r="D26" s="3">
        <v>-5.5128155000000005E-2</v>
      </c>
      <c r="E26" s="3">
        <v>-7.5140419999999999E-2</v>
      </c>
      <c r="F26" s="3">
        <v>-1.7164648000000001E-2</v>
      </c>
      <c r="G26" s="3">
        <v>-2.0826340000000002E-2</v>
      </c>
      <c r="H26" s="3">
        <v>-7.0465384000000006E-2</v>
      </c>
      <c r="I26" s="3">
        <v>-3.1403123999999998E-2</v>
      </c>
      <c r="J26" s="3">
        <v>1.1898397999999999E-2</v>
      </c>
      <c r="K26" s="3">
        <v>-7.5384083000000005E-2</v>
      </c>
      <c r="L26" s="3">
        <v>-3.8434148000000001E-2</v>
      </c>
      <c r="M26" s="3">
        <v>-6.0472669999999999E-2</v>
      </c>
      <c r="N26" s="3">
        <v>-3.7143767000000001E-2</v>
      </c>
      <c r="O26" s="3">
        <v>-2.4789274E-2</v>
      </c>
      <c r="P26" s="3">
        <v>-8.9083789999999996E-2</v>
      </c>
      <c r="Q26" s="3">
        <v>3.7650585E-2</v>
      </c>
      <c r="R26" s="3">
        <v>-3.9000988E-2</v>
      </c>
      <c r="S26" s="3">
        <v>0.24872229999999998</v>
      </c>
      <c r="T26" s="3">
        <v>-4.4183372999999998E-2</v>
      </c>
      <c r="U26" s="3">
        <v>-2.4267793000000003E-2</v>
      </c>
      <c r="V26" s="3">
        <v>2.1436214000000002E-3</v>
      </c>
      <c r="W26" s="3">
        <v>-7.2176989999999996E-2</v>
      </c>
      <c r="X26" s="3">
        <v>-7.9437312999999996E-2</v>
      </c>
      <c r="Y26" s="3">
        <v>-7.3823689999999997E-2</v>
      </c>
      <c r="Z26" s="3">
        <v>-1.6924798000000001E-2</v>
      </c>
      <c r="AA26" s="3">
        <v>-2.3055731999999999E-2</v>
      </c>
      <c r="AB26" s="3">
        <v>-3.3386051999999999E-2</v>
      </c>
      <c r="AC26" s="3">
        <v>-2.4714231E-2</v>
      </c>
      <c r="AD26" s="3">
        <v>-3.7203968000000004E-2</v>
      </c>
      <c r="AE26" s="3">
        <v>-5.4234859999999996E-2</v>
      </c>
      <c r="AF26" s="3">
        <v>-8.2394479999999999E-3</v>
      </c>
      <c r="AG26" s="3">
        <v>-4.3760540000000001E-2</v>
      </c>
      <c r="AH26" s="3">
        <v>-4.0927290000000005E-2</v>
      </c>
      <c r="AI26" s="3">
        <v>-2.1136105000000002E-2</v>
      </c>
      <c r="AJ26" s="3"/>
      <c r="AK26" s="3"/>
      <c r="AL26" s="3"/>
    </row>
    <row r="27" spans="1:38" x14ac:dyDescent="0.45">
      <c r="A27" s="2">
        <v>45028</v>
      </c>
      <c r="B27" s="3">
        <v>2.6595830000000001E-2</v>
      </c>
      <c r="C27" s="3">
        <v>-1.3869583999999999E-2</v>
      </c>
      <c r="D27" s="3">
        <v>7.6435924000000002E-2</v>
      </c>
      <c r="E27" s="3">
        <v>-8.7319609999999999E-3</v>
      </c>
      <c r="F27" s="3">
        <v>5.6921124000000003E-2</v>
      </c>
      <c r="G27" s="3">
        <v>6.2435627E-2</v>
      </c>
      <c r="H27" s="3">
        <v>4.6794533999999999E-2</v>
      </c>
      <c r="I27" s="3">
        <v>3.4950494999999998E-2</v>
      </c>
      <c r="J27" s="3">
        <v>4.6156525999999996E-2</v>
      </c>
      <c r="K27" s="3">
        <v>7.5991034999999998E-2</v>
      </c>
      <c r="L27" s="3">
        <v>8.7712760000000001E-2</v>
      </c>
      <c r="M27" s="3">
        <v>3.4032105999999999E-2</v>
      </c>
      <c r="N27" s="3">
        <v>5.2876589999999994E-2</v>
      </c>
      <c r="O27" s="3">
        <v>2.1860719000000001E-2</v>
      </c>
      <c r="P27" s="3">
        <v>3.2527328000000001E-2</v>
      </c>
      <c r="Q27" s="3">
        <v>-1.1898279000000001E-2</v>
      </c>
      <c r="R27" s="3">
        <v>-4.3634175999999998E-3</v>
      </c>
      <c r="S27" s="3">
        <v>-5.4570255000000005E-2</v>
      </c>
      <c r="T27" s="3">
        <v>1.1772871000000001E-2</v>
      </c>
      <c r="U27" s="3">
        <v>5.3173183999999998E-2</v>
      </c>
      <c r="V27" s="3">
        <v>6.7914367000000003E-2</v>
      </c>
      <c r="W27" s="3">
        <v>3.8586377999999998E-2</v>
      </c>
      <c r="X27" s="3">
        <v>5.0786495000000001E-2</v>
      </c>
      <c r="Y27" s="3">
        <v>6.5713406000000002E-2</v>
      </c>
      <c r="Z27" s="3">
        <v>5.5677649999999995E-2</v>
      </c>
      <c r="AA27" s="3">
        <v>2.2719263999999999E-2</v>
      </c>
      <c r="AB27" s="3">
        <v>9.0548400000000001E-2</v>
      </c>
      <c r="AC27" s="3">
        <v>5.9233426999999998E-2</v>
      </c>
      <c r="AD27" s="3">
        <v>8.6547140000000009E-2</v>
      </c>
      <c r="AE27" s="3">
        <v>6.1454653999999997E-2</v>
      </c>
      <c r="AF27" s="3">
        <v>7.5879215999999999E-2</v>
      </c>
      <c r="AG27" s="3">
        <v>5.7832480000000006E-2</v>
      </c>
      <c r="AH27" s="3">
        <v>6.9233180000000005E-2</v>
      </c>
      <c r="AI27" s="3">
        <v>6.2753080000000003E-2</v>
      </c>
      <c r="AJ27" s="3"/>
      <c r="AK27" s="3"/>
      <c r="AL27" s="3"/>
    </row>
    <row r="28" spans="1:38" x14ac:dyDescent="0.45">
      <c r="A28" s="2">
        <v>45058</v>
      </c>
      <c r="B28" s="3">
        <v>-5.1813483E-2</v>
      </c>
      <c r="C28" s="3">
        <v>6.6807270000000002E-2</v>
      </c>
      <c r="D28" s="3">
        <v>-1.0084032999999999E-2</v>
      </c>
      <c r="E28" s="3">
        <v>8.4258319999999994E-3</v>
      </c>
      <c r="F28" s="3">
        <v>8.6903330000000001E-2</v>
      </c>
      <c r="G28" s="3">
        <v>-2.0665168999999997E-2</v>
      </c>
      <c r="H28" s="3">
        <v>-3.1291962E-2</v>
      </c>
      <c r="I28" s="3">
        <v>-3.7769317999999996E-2</v>
      </c>
      <c r="J28" s="3">
        <v>4.2106985999999999E-2</v>
      </c>
      <c r="K28" s="3">
        <v>-4.6492934000000007E-2</v>
      </c>
      <c r="L28" s="3">
        <v>1.3950348E-2</v>
      </c>
      <c r="M28" s="3">
        <v>-6.5347074999999991E-2</v>
      </c>
      <c r="N28" s="3">
        <v>8.8440180000000004E-3</v>
      </c>
      <c r="O28" s="3">
        <v>2.7860640999999998E-2</v>
      </c>
      <c r="P28" s="3">
        <v>-4.2072535000000001E-2</v>
      </c>
      <c r="Q28" s="3">
        <v>5.3092480000000004E-2</v>
      </c>
      <c r="R28" s="3">
        <v>-1.9665122E-2</v>
      </c>
      <c r="S28" s="3">
        <v>-6.4646482000000005E-2</v>
      </c>
      <c r="T28" s="3">
        <v>1.3004780000000001E-2</v>
      </c>
      <c r="U28" s="3">
        <v>1.710093E-2</v>
      </c>
      <c r="V28" s="3">
        <v>2.4286509000000001E-2</v>
      </c>
      <c r="W28" s="3">
        <v>6.5398215999999997E-3</v>
      </c>
      <c r="X28" s="3">
        <v>-2.0958066000000001E-2</v>
      </c>
      <c r="Y28" s="3">
        <v>-6.5658090000000006E-3</v>
      </c>
      <c r="Z28" s="3">
        <v>1.0409355000000002E-3</v>
      </c>
      <c r="AA28" s="3">
        <v>3.6679864E-2</v>
      </c>
      <c r="AB28" s="3">
        <v>3.4667252999999995E-2</v>
      </c>
      <c r="AC28" s="3">
        <v>-6.5788627000000002E-3</v>
      </c>
      <c r="AD28" s="3">
        <v>3.8301826000000004E-2</v>
      </c>
      <c r="AE28" s="3">
        <v>8.6754559999999998E-3</v>
      </c>
      <c r="AF28" s="3">
        <v>-3.3461452000000001E-3</v>
      </c>
      <c r="AG28" s="3">
        <v>-8.0817939999999998E-3</v>
      </c>
      <c r="AH28" s="3">
        <v>5.5818559999999996E-3</v>
      </c>
      <c r="AI28" s="3">
        <v>-5.7142970000000001E-3</v>
      </c>
      <c r="AJ28" s="3"/>
      <c r="AK28" s="3"/>
      <c r="AL28" s="3"/>
    </row>
    <row r="29" spans="1:38" x14ac:dyDescent="0.45">
      <c r="A29" s="2">
        <v>45089</v>
      </c>
      <c r="B29" s="3">
        <v>-4.560107E-2</v>
      </c>
      <c r="C29" s="3">
        <v>-2.0112872E-2</v>
      </c>
      <c r="D29" s="3">
        <v>1.8567442999999999E-2</v>
      </c>
      <c r="E29" s="3">
        <v>-1.4432370999999999E-2</v>
      </c>
      <c r="F29" s="3">
        <v>4.842341E-2</v>
      </c>
      <c r="G29" s="3">
        <v>3.0252933999999999E-2</v>
      </c>
      <c r="H29" s="3">
        <v>-4.7214449999999998E-2</v>
      </c>
      <c r="I29" s="3">
        <v>0.10898172</v>
      </c>
      <c r="J29" s="3">
        <v>1.551044E-2</v>
      </c>
      <c r="K29" s="3">
        <v>0.12434613999999999</v>
      </c>
      <c r="L29" s="3">
        <v>9.0555670000000005E-2</v>
      </c>
      <c r="M29" s="3">
        <v>5.1878689999999998E-2</v>
      </c>
      <c r="N29" s="3">
        <v>0.12586093000000001</v>
      </c>
      <c r="O29" s="3">
        <v>2.5168777000000003E-2</v>
      </c>
      <c r="P29" s="3">
        <v>-6.4112544E-3</v>
      </c>
      <c r="Q29" s="3">
        <v>-3.3654152999999999E-2</v>
      </c>
      <c r="R29" s="3">
        <v>-6.3662529999999997E-3</v>
      </c>
      <c r="S29" s="3">
        <v>-5.1930610000000002E-2</v>
      </c>
      <c r="T29" s="3">
        <v>-6.7936180000000004E-3</v>
      </c>
      <c r="U29" s="3">
        <v>6.6453100000000001E-2</v>
      </c>
      <c r="V29" s="3">
        <v>2.0283937000000002E-2</v>
      </c>
      <c r="W29" s="3">
        <v>-3.7469863999999999E-2</v>
      </c>
      <c r="X29" s="3">
        <v>-6.8390370000000005E-4</v>
      </c>
      <c r="Y29" s="3">
        <v>-9.6062420000000009E-3</v>
      </c>
      <c r="Z29" s="3">
        <v>2.1730661E-3</v>
      </c>
      <c r="AA29" s="3">
        <v>4.7375439999999998E-2</v>
      </c>
      <c r="AB29" s="3">
        <v>-3.3166647E-2</v>
      </c>
      <c r="AC29" s="3">
        <v>-1.7705976999999998E-2</v>
      </c>
      <c r="AD29" s="3">
        <v>0.10909759499999999</v>
      </c>
      <c r="AE29" s="3">
        <v>5.3961395999999995E-2</v>
      </c>
      <c r="AF29" s="3">
        <v>-1.7777443E-2</v>
      </c>
      <c r="AG29" s="3">
        <v>2.6227474000000001E-2</v>
      </c>
      <c r="AH29" s="3">
        <v>-1.8318057000000002E-2</v>
      </c>
      <c r="AI29" s="3">
        <v>-3.5949945E-3</v>
      </c>
      <c r="AJ29" s="3"/>
      <c r="AK29" s="3"/>
      <c r="AL29" s="3"/>
    </row>
    <row r="30" spans="1:38" x14ac:dyDescent="0.45">
      <c r="A30" s="2">
        <v>45119</v>
      </c>
      <c r="B30" s="3">
        <v>6.7499876E-3</v>
      </c>
      <c r="C30" s="3">
        <v>6.9954514999999995E-2</v>
      </c>
      <c r="D30" s="3">
        <v>6.8056583000000006E-3</v>
      </c>
      <c r="E30" s="3">
        <v>3.2371283000000001E-2</v>
      </c>
      <c r="F30" s="3">
        <v>8.4317919999999991E-2</v>
      </c>
      <c r="G30" s="3">
        <v>4.6526909999999998E-2</v>
      </c>
      <c r="H30" s="3">
        <v>1.7258286000000001E-2</v>
      </c>
      <c r="I30" s="3">
        <v>8.3279610000000005E-4</v>
      </c>
      <c r="J30" s="3">
        <v>1.4851451E-2</v>
      </c>
      <c r="K30" s="3">
        <v>-8.1032515000000003E-3</v>
      </c>
      <c r="L30" s="3">
        <v>9.4578266000000001E-3</v>
      </c>
      <c r="M30" s="3">
        <v>3.1589269999999996E-2</v>
      </c>
      <c r="N30" s="3">
        <v>9.3425510000000003E-2</v>
      </c>
      <c r="O30" s="3">
        <v>4.6830653999999999E-2</v>
      </c>
      <c r="P30" s="3">
        <v>2.1982908000000002E-2</v>
      </c>
      <c r="Q30" s="3">
        <v>-3.9128065000000002E-3</v>
      </c>
      <c r="R30" s="3">
        <v>-3.8848519999999997E-2</v>
      </c>
      <c r="S30" s="3">
        <v>3.5401225000000001E-2</v>
      </c>
      <c r="T30" s="3">
        <v>5.241084E-2</v>
      </c>
      <c r="U30" s="3">
        <v>3.7537574999999997E-2</v>
      </c>
      <c r="V30" s="3">
        <v>3.4666657000000003E-2</v>
      </c>
      <c r="W30" s="3">
        <v>4.9853085999999998E-2</v>
      </c>
      <c r="X30" s="3">
        <v>1.6926408E-2</v>
      </c>
      <c r="Y30" s="3">
        <v>2.4032830000000002E-2</v>
      </c>
      <c r="Z30" s="3">
        <v>2.594173E-2</v>
      </c>
      <c r="AA30" s="3">
        <v>-5.7498810000000001E-3</v>
      </c>
      <c r="AB30" s="3">
        <v>1.9466281000000002E-2</v>
      </c>
      <c r="AC30" s="3">
        <v>1.3433337E-2</v>
      </c>
      <c r="AD30" s="3">
        <v>3.5624026999999996E-2</v>
      </c>
      <c r="AE30" s="3">
        <v>3.2002807000000001E-2</v>
      </c>
      <c r="AF30" s="3">
        <v>4.8655867999999998E-2</v>
      </c>
      <c r="AG30" s="3">
        <v>4.1322349999999994E-2</v>
      </c>
      <c r="AH30" s="3">
        <v>2.4597167999999999E-2</v>
      </c>
      <c r="AI30" s="3">
        <v>7.0584415999999997E-2</v>
      </c>
      <c r="AJ30" s="3"/>
      <c r="AK30" s="3"/>
      <c r="AL30" s="3"/>
    </row>
    <row r="31" spans="1:38" x14ac:dyDescent="0.45">
      <c r="A31" s="2">
        <v>45149</v>
      </c>
      <c r="B31" s="3">
        <v>-1.3037264E-2</v>
      </c>
      <c r="C31" s="3">
        <v>-3.6122917999999997E-2</v>
      </c>
      <c r="D31" s="3">
        <v>-3.1685650000000003E-2</v>
      </c>
      <c r="E31" s="3">
        <v>-4.8356589999999998E-2</v>
      </c>
      <c r="F31" s="3">
        <v>4.9531459999999994E-4</v>
      </c>
      <c r="G31" s="3">
        <v>2.6299237999999999E-2</v>
      </c>
      <c r="H31" s="3">
        <v>3.4900665000000004E-2</v>
      </c>
      <c r="I31" s="3">
        <v>-4.7430810000000004E-2</v>
      </c>
      <c r="J31" s="3">
        <v>-2.360344E-2</v>
      </c>
      <c r="K31" s="3">
        <v>-4.5083226999999997E-2</v>
      </c>
      <c r="L31" s="3">
        <v>-1.4053762000000001E-2</v>
      </c>
      <c r="M31" s="3">
        <v>-2.6555061000000001E-2</v>
      </c>
      <c r="N31" s="3">
        <v>-3.8372993000000001E-2</v>
      </c>
      <c r="O31" s="3">
        <v>-1.4459968E-2</v>
      </c>
      <c r="P31" s="3">
        <v>-1.3981520999999998E-2</v>
      </c>
      <c r="Q31" s="3">
        <v>3.5353541000000002E-2</v>
      </c>
      <c r="R31" s="3">
        <v>2.9521107999999997E-2</v>
      </c>
      <c r="S31" s="3">
        <v>0.17193104000000001</v>
      </c>
      <c r="T31" s="3">
        <v>1.2616157999999999E-2</v>
      </c>
      <c r="U31" s="3">
        <v>9.8046299999999989E-2</v>
      </c>
      <c r="V31" s="3">
        <v>-4.8969088000000001E-2</v>
      </c>
      <c r="W31" s="3">
        <v>-5.8282556999999999E-2</v>
      </c>
      <c r="X31" s="3">
        <v>-2.5405169000000002E-2</v>
      </c>
      <c r="Y31" s="3">
        <v>5.7244299999999995E-4</v>
      </c>
      <c r="Z31" s="3">
        <v>-2.6324928000000001E-2</v>
      </c>
      <c r="AA31" s="3">
        <v>-1.4136553000000001E-2</v>
      </c>
      <c r="AB31" s="3">
        <v>-2.3600458999999997E-3</v>
      </c>
      <c r="AC31" s="3">
        <v>1.8496513E-3</v>
      </c>
      <c r="AD31" s="3">
        <v>-1.7649293E-2</v>
      </c>
      <c r="AE31" s="3">
        <v>-8.2957745000000001E-4</v>
      </c>
      <c r="AF31" s="3">
        <v>-1.9994854999999999E-2</v>
      </c>
      <c r="AG31" s="3">
        <v>-2.8798102999999999E-2</v>
      </c>
      <c r="AH31" s="3">
        <v>-6.0430526999999998E-2</v>
      </c>
      <c r="AI31" s="3">
        <v>-2.0545840000000003E-2</v>
      </c>
      <c r="AJ31" s="3"/>
      <c r="AK31" s="3"/>
      <c r="AL31" s="3"/>
    </row>
    <row r="32" spans="1:38" x14ac:dyDescent="0.45">
      <c r="A32" s="2">
        <v>45181</v>
      </c>
      <c r="B32" s="3">
        <v>-3.0267238999999998E-2</v>
      </c>
      <c r="C32" s="3">
        <v>-9.9203050000000015E-2</v>
      </c>
      <c r="D32" s="3">
        <v>-4.7993063999999998E-3</v>
      </c>
      <c r="E32" s="3">
        <v>-1.4688372999999999E-2</v>
      </c>
      <c r="F32" s="3">
        <v>-0.12623768999999999</v>
      </c>
      <c r="G32" s="3">
        <v>-3.9048134999999998E-2</v>
      </c>
      <c r="H32" s="3">
        <v>-1.4051556999999999E-2</v>
      </c>
      <c r="I32" s="3">
        <v>-8.0804229999999998E-3</v>
      </c>
      <c r="J32" s="3">
        <v>-3.3843637000000003E-2</v>
      </c>
      <c r="K32" s="3">
        <v>-1.7585576000000002E-2</v>
      </c>
      <c r="L32" s="3">
        <v>-3.8010477999999999E-3</v>
      </c>
      <c r="M32" s="3">
        <v>-3.8830160000000002E-2</v>
      </c>
      <c r="N32" s="3">
        <v>-7.0763469999999995E-2</v>
      </c>
      <c r="O32" s="3">
        <v>3.3012389999999996E-2</v>
      </c>
      <c r="P32" s="3">
        <v>-2.6832460999999998E-2</v>
      </c>
      <c r="Q32" s="3">
        <v>-2.7100265000000002E-2</v>
      </c>
      <c r="R32" s="3">
        <v>6.7354440000000002E-3</v>
      </c>
      <c r="S32" s="3">
        <v>6.557368999999999E-2</v>
      </c>
      <c r="T32" s="3">
        <v>-1.311475E-2</v>
      </c>
      <c r="U32" s="3">
        <v>2.8665543000000002E-2</v>
      </c>
      <c r="V32" s="3">
        <v>-1.5521109E-2</v>
      </c>
      <c r="W32" s="3">
        <v>-6.5605105999999996E-2</v>
      </c>
      <c r="X32" s="3">
        <v>-1.1235952E-2</v>
      </c>
      <c r="Y32" s="3">
        <v>-1.3729990000000001E-2</v>
      </c>
      <c r="Z32" s="3">
        <v>-3.2017112E-2</v>
      </c>
      <c r="AA32" s="3">
        <v>1.5316962999999999E-2</v>
      </c>
      <c r="AB32" s="3">
        <v>-2.838707E-2</v>
      </c>
      <c r="AC32" s="3">
        <v>-1.5076994999999999E-2</v>
      </c>
      <c r="AD32" s="3">
        <v>1.7884492999999998E-2</v>
      </c>
      <c r="AE32" s="3">
        <v>7.6293945000000007E-4</v>
      </c>
      <c r="AF32" s="3">
        <v>-3.6358893000000003E-2</v>
      </c>
      <c r="AG32" s="3">
        <v>-7.6815309999999998E-2</v>
      </c>
      <c r="AH32" s="3">
        <v>-3.7591754999999998E-2</v>
      </c>
      <c r="AI32" s="3">
        <v>-1.3775826E-2</v>
      </c>
      <c r="AJ32" s="3"/>
      <c r="AK32" s="3"/>
      <c r="AL32" s="3"/>
    </row>
    <row r="33" spans="1:38" x14ac:dyDescent="0.45">
      <c r="A33" s="2">
        <v>45211</v>
      </c>
      <c r="B33" s="3">
        <v>-2.6269674E-2</v>
      </c>
      <c r="C33" s="3">
        <v>-5.9111414000000001E-2</v>
      </c>
      <c r="D33" s="3">
        <v>-4.7786055000000001E-2</v>
      </c>
      <c r="E33" s="3">
        <v>-1.5713095999999999E-2</v>
      </c>
      <c r="F33" s="3">
        <v>6.2323810000000004E-3</v>
      </c>
      <c r="G33" s="3">
        <v>-8.2222219999999999E-2</v>
      </c>
      <c r="H33" s="3">
        <v>-1.1401415E-2</v>
      </c>
      <c r="I33" s="3">
        <v>5.5041313000000003E-3</v>
      </c>
      <c r="J33" s="3">
        <v>-7.5896560000000002E-2</v>
      </c>
      <c r="K33" s="3">
        <v>-4.8056783999999998E-2</v>
      </c>
      <c r="L33" s="3">
        <v>-4.1971445000000003E-2</v>
      </c>
      <c r="M33" s="3">
        <v>-1.9688069999999998E-2</v>
      </c>
      <c r="N33" s="3">
        <v>-5.8402539999999996E-2</v>
      </c>
      <c r="O33" s="3">
        <v>-1.6422570000000001E-2</v>
      </c>
      <c r="P33" s="3">
        <v>-2.6003122E-2</v>
      </c>
      <c r="Q33" s="3">
        <v>-5.2367686999999996E-2</v>
      </c>
      <c r="R33" s="3">
        <v>-6.1307010000000002E-2</v>
      </c>
      <c r="S33" s="3">
        <v>-7.301152E-3</v>
      </c>
      <c r="T33" s="3">
        <v>-3.3887028999999999E-2</v>
      </c>
      <c r="U33" s="3">
        <v>-0.12363863</v>
      </c>
      <c r="V33" s="3">
        <v>-7.0070030000000005E-2</v>
      </c>
      <c r="W33" s="3">
        <v>-4.9988029999999996E-3</v>
      </c>
      <c r="X33" s="3">
        <v>-3.5454571000000004E-2</v>
      </c>
      <c r="Y33" s="3">
        <v>-3.6832988000000004E-2</v>
      </c>
      <c r="Z33" s="3">
        <v>-4.1528820000000001E-2</v>
      </c>
      <c r="AA33" s="3">
        <v>-3.1776606999999998E-2</v>
      </c>
      <c r="AB33" s="3">
        <v>-2.6339054000000001E-2</v>
      </c>
      <c r="AC33" s="3">
        <v>-4.6859383999999999E-3</v>
      </c>
      <c r="AD33" s="3">
        <v>-6.2382219999999999E-3</v>
      </c>
      <c r="AE33" s="3">
        <v>-2.4174273E-2</v>
      </c>
      <c r="AF33" s="3">
        <v>-4.5059740000000001E-2</v>
      </c>
      <c r="AG33" s="3">
        <v>-3.1360685999999999E-2</v>
      </c>
      <c r="AH33" s="3">
        <v>2.7464031999999999E-2</v>
      </c>
      <c r="AI33" s="3">
        <v>-3.7142873E-2</v>
      </c>
      <c r="AJ33" s="3"/>
      <c r="AK33" s="3"/>
      <c r="AL33" s="3"/>
    </row>
    <row r="34" spans="1:38" x14ac:dyDescent="0.45">
      <c r="A34" s="2">
        <v>45240</v>
      </c>
      <c r="B34" s="3">
        <v>-1.9424437999999999E-2</v>
      </c>
      <c r="C34" s="3">
        <v>-1.2404919E-2</v>
      </c>
      <c r="D34" s="3">
        <v>-3.4530401000000002E-2</v>
      </c>
      <c r="E34" s="3">
        <v>9.8239182999999997E-3</v>
      </c>
      <c r="F34" s="3">
        <v>0.13851345000000001</v>
      </c>
      <c r="G34" s="3">
        <v>1.1760592E-2</v>
      </c>
      <c r="H34" s="3">
        <v>1.0571957E-2</v>
      </c>
      <c r="I34" s="3">
        <v>1.2480974000000001E-2</v>
      </c>
      <c r="J34" s="3">
        <v>6.5162419999999999E-2</v>
      </c>
      <c r="K34" s="3">
        <v>2.1514535000000001E-2</v>
      </c>
      <c r="L34" s="3">
        <v>7.5340270000000001E-2</v>
      </c>
      <c r="M34" s="3">
        <v>9.1288089999999999E-3</v>
      </c>
      <c r="N34" s="3">
        <v>6.2937019999999996E-2</v>
      </c>
      <c r="O34" s="3">
        <v>3.8357973000000003E-3</v>
      </c>
      <c r="P34" s="3">
        <v>-2.1864234999999999E-2</v>
      </c>
      <c r="Q34" s="3">
        <v>1.116991E-2</v>
      </c>
      <c r="R34" s="3">
        <v>-4.2171297000000003E-2</v>
      </c>
      <c r="S34" s="3">
        <v>-8.9834449999999996E-2</v>
      </c>
      <c r="T34" s="3">
        <v>1.5818477000000001E-2</v>
      </c>
      <c r="U34" s="3">
        <v>-3.6549686999999997E-2</v>
      </c>
      <c r="V34" s="3">
        <v>4.3056964999999996E-2</v>
      </c>
      <c r="W34" s="3">
        <v>-2.0552874E-3</v>
      </c>
      <c r="X34" s="3">
        <v>7.5401070000000008E-3</v>
      </c>
      <c r="Y34" s="3">
        <v>2.4089812999999998E-3</v>
      </c>
      <c r="Z34" s="3">
        <v>9.9693536999999992E-3</v>
      </c>
      <c r="AA34" s="3">
        <v>2.3205280000000001E-3</v>
      </c>
      <c r="AB34" s="3">
        <v>-2.0913899999999999E-2</v>
      </c>
      <c r="AC34" s="3">
        <v>-2.5737584000000001E-2</v>
      </c>
      <c r="AD34" s="3">
        <v>2.2869229999999997E-2</v>
      </c>
      <c r="AE34" s="3">
        <v>1.6026377999999997E-2</v>
      </c>
      <c r="AF34" s="3">
        <v>1.6202330000000001E-2</v>
      </c>
      <c r="AG34" s="3">
        <v>4.7258496000000004E-2</v>
      </c>
      <c r="AH34" s="3">
        <v>-2.1681010000000001E-2</v>
      </c>
      <c r="AI34" s="3">
        <v>2.7035952000000002E-2</v>
      </c>
      <c r="AJ34" s="3"/>
      <c r="AK34" s="3"/>
      <c r="AL34" s="3"/>
    </row>
    <row r="35" spans="1:38" x14ac:dyDescent="0.45">
      <c r="A35" s="2">
        <v>45272</v>
      </c>
      <c r="B35" s="3">
        <v>-1.8341898999999998E-2</v>
      </c>
      <c r="C35" s="3">
        <v>9.2787629999999996E-2</v>
      </c>
      <c r="D35" s="3">
        <v>2.1459221999999997E-2</v>
      </c>
      <c r="E35" s="3">
        <v>2.4321079999999998E-2</v>
      </c>
      <c r="F35" s="3">
        <v>0.11325431</v>
      </c>
      <c r="G35" s="3">
        <v>4.697776E-2</v>
      </c>
      <c r="H35" s="3">
        <v>3.8040876E-3</v>
      </c>
      <c r="I35" s="3">
        <v>5.5147050000000003E-2</v>
      </c>
      <c r="J35" s="3">
        <v>9.3204609999999993E-2</v>
      </c>
      <c r="K35" s="3">
        <v>4.5605300000000001E-2</v>
      </c>
      <c r="L35" s="3">
        <v>3.1481385000000001E-2</v>
      </c>
      <c r="M35" s="3">
        <v>8.7877509999999999E-3</v>
      </c>
      <c r="N35" s="3">
        <v>5.4633855999999995E-2</v>
      </c>
      <c r="O35" s="3">
        <v>6.4958452999999999E-2</v>
      </c>
      <c r="P35" s="3">
        <v>-3.5294116E-2</v>
      </c>
      <c r="Q35" s="3">
        <v>-3.372091E-2</v>
      </c>
      <c r="R35" s="3">
        <v>-1.1262417E-2</v>
      </c>
      <c r="S35" s="3">
        <v>-1.8470526000000001E-2</v>
      </c>
      <c r="T35" s="3">
        <v>-2.4373770000000003E-2</v>
      </c>
      <c r="U35" s="3">
        <v>2.8072834000000001E-2</v>
      </c>
      <c r="V35" s="3">
        <v>4.6181679999999996E-2</v>
      </c>
      <c r="W35" s="3">
        <v>5.9496520000000004E-2</v>
      </c>
      <c r="X35" s="3">
        <v>6.9691420000000004E-2</v>
      </c>
      <c r="Y35" s="3">
        <v>4.8963546999999996E-2</v>
      </c>
      <c r="Z35" s="3">
        <v>0.10478365000000001</v>
      </c>
      <c r="AA35" s="3">
        <v>4.2665719999999997E-2</v>
      </c>
      <c r="AB35" s="3">
        <v>7.8244686000000008E-2</v>
      </c>
      <c r="AC35" s="3">
        <v>5.0257683000000004E-2</v>
      </c>
      <c r="AD35" s="3">
        <v>5.3595543000000002E-2</v>
      </c>
      <c r="AE35" s="3">
        <v>5.3312540000000005E-2</v>
      </c>
      <c r="AF35" s="3">
        <v>7.6083899999999996E-2</v>
      </c>
      <c r="AG35" s="3">
        <v>8.451758999999999E-2</v>
      </c>
      <c r="AH35" s="3">
        <v>0.14875531</v>
      </c>
      <c r="AI35" s="3">
        <v>7.4478390000000005E-2</v>
      </c>
      <c r="AJ35" s="3"/>
      <c r="AK35" s="3"/>
      <c r="AL35" s="3"/>
    </row>
    <row r="36" spans="1:38" x14ac:dyDescent="0.45">
      <c r="A36" s="2">
        <v>45303</v>
      </c>
      <c r="B36" s="3">
        <v>-4.6105919999999995E-2</v>
      </c>
      <c r="C36" s="3">
        <v>-2.7151703999999999E-2</v>
      </c>
      <c r="D36" s="3">
        <v>6.5500736000000004E-2</v>
      </c>
      <c r="E36" s="3">
        <v>6.1674475999999999E-2</v>
      </c>
      <c r="F36" s="3">
        <v>-1.1919140999999999E-2</v>
      </c>
      <c r="G36" s="3">
        <v>0.13350761</v>
      </c>
      <c r="H36" s="3">
        <v>3.117323E-2</v>
      </c>
      <c r="I36" s="3">
        <v>1.8902182999999999E-2</v>
      </c>
      <c r="J36" s="3">
        <v>4.4396279999999996E-2</v>
      </c>
      <c r="K36" s="3">
        <v>-1.3483763000000002E-3</v>
      </c>
      <c r="L36" s="3">
        <v>6.4668180000000006E-2</v>
      </c>
      <c r="M36" s="3">
        <v>2.7008057000000002E-2</v>
      </c>
      <c r="N36" s="3">
        <v>7.9757094000000001E-2</v>
      </c>
      <c r="O36" s="3">
        <v>5.4453254E-2</v>
      </c>
      <c r="P36" s="3">
        <v>-3.0207932E-2</v>
      </c>
      <c r="Q36" s="3">
        <v>8.3032489999999987E-2</v>
      </c>
      <c r="R36" s="3">
        <v>2.8829931999999999E-2</v>
      </c>
      <c r="S36" s="3">
        <v>4.6569110000000006E-3</v>
      </c>
      <c r="T36" s="3">
        <v>6.2410474000000001E-2</v>
      </c>
      <c r="U36" s="3">
        <v>-9.4080569999999992E-3</v>
      </c>
      <c r="V36" s="3">
        <v>6.8498254000000008E-2</v>
      </c>
      <c r="W36" s="3">
        <v>6.093693E-2</v>
      </c>
      <c r="X36" s="3">
        <v>5.8089374999999999E-2</v>
      </c>
      <c r="Y36" s="3">
        <v>5.3972840000000001E-2</v>
      </c>
      <c r="Z36" s="3">
        <v>4.1761398E-3</v>
      </c>
      <c r="AA36" s="3">
        <v>6.8458796000000002E-2</v>
      </c>
      <c r="AB36" s="3">
        <v>3.1007766999999999E-2</v>
      </c>
      <c r="AC36" s="3">
        <v>2.8042555E-2</v>
      </c>
      <c r="AD36" s="3">
        <v>2.9895306E-2</v>
      </c>
      <c r="AE36" s="3">
        <v>3.1277537000000001E-2</v>
      </c>
      <c r="AF36" s="3">
        <v>4.6815872000000001E-3</v>
      </c>
      <c r="AG36" s="3">
        <v>9.3976259999999992E-3</v>
      </c>
      <c r="AH36" s="3">
        <v>2.30695E-2</v>
      </c>
      <c r="AI36" s="3">
        <v>2.5322914000000002E-2</v>
      </c>
      <c r="AJ36" s="3"/>
      <c r="AK36" s="3"/>
      <c r="AL36" s="3"/>
    </row>
    <row r="37" spans="1:38" x14ac:dyDescent="0.45">
      <c r="A37" s="2">
        <v>45334</v>
      </c>
      <c r="B37" s="3">
        <v>1.9587874000000002E-2</v>
      </c>
      <c r="C37" s="3">
        <v>-4.4495582999999998E-2</v>
      </c>
      <c r="D37" s="3">
        <v>4.4167039999999999E-4</v>
      </c>
      <c r="E37" s="3">
        <v>3.0815481999999998E-2</v>
      </c>
      <c r="F37" s="3">
        <v>4.4423820000000003E-2</v>
      </c>
      <c r="G37" s="3">
        <v>-3.8235783999999999E-3</v>
      </c>
      <c r="H37" s="3">
        <v>-8.882582E-3</v>
      </c>
      <c r="I37" s="3">
        <v>6.2585114999999997E-2</v>
      </c>
      <c r="J37" s="3">
        <v>1.7935276E-2</v>
      </c>
      <c r="K37" s="3">
        <v>5.0358533999999996E-2</v>
      </c>
      <c r="L37" s="3">
        <v>-3.2615006000000002E-2</v>
      </c>
      <c r="M37" s="3">
        <v>-2.5006354000000001E-2</v>
      </c>
      <c r="N37" s="3">
        <v>2.1783709999999998E-2</v>
      </c>
      <c r="O37" s="3">
        <v>6.4051150000000003E-3</v>
      </c>
      <c r="P37" s="3">
        <v>-1.3666809E-2</v>
      </c>
      <c r="Q37" s="3">
        <v>-3.6111115999999999E-2</v>
      </c>
      <c r="R37" s="3">
        <v>-1.7141461E-2</v>
      </c>
      <c r="S37" s="3">
        <v>0.12511086000000002</v>
      </c>
      <c r="T37" s="3">
        <v>-3.7120342000000001E-2</v>
      </c>
      <c r="U37" s="3">
        <v>3.2600284E-2</v>
      </c>
      <c r="V37" s="3">
        <v>2.5257350000000001E-2</v>
      </c>
      <c r="W37" s="3">
        <v>-4.4056472999999999E-2</v>
      </c>
      <c r="X37" s="3">
        <v>-3.3740997E-3</v>
      </c>
      <c r="Y37" s="3">
        <v>3.8557053000000002E-3</v>
      </c>
      <c r="Z37" s="3">
        <v>4.1067600000000001E-3</v>
      </c>
      <c r="AA37" s="3">
        <v>8.1288815000000007E-3</v>
      </c>
      <c r="AB37" s="3">
        <v>-2.7986646E-2</v>
      </c>
      <c r="AC37" s="3">
        <v>-1.7093956E-2</v>
      </c>
      <c r="AD37" s="3">
        <v>6.2945604000000002E-2</v>
      </c>
      <c r="AE37" s="3">
        <v>5.0977589999999996E-2</v>
      </c>
      <c r="AF37" s="3">
        <v>1.0677099000000001E-2</v>
      </c>
      <c r="AG37" s="3">
        <v>8.2147710000000013E-2</v>
      </c>
      <c r="AH37" s="3">
        <v>5.5586100000000003E-3</v>
      </c>
      <c r="AI37" s="3">
        <v>5.6064130000000002E-3</v>
      </c>
      <c r="AJ37" s="3"/>
      <c r="AK37" s="3"/>
      <c r="AL37" s="3"/>
    </row>
    <row r="38" spans="1:38" x14ac:dyDescent="0.45">
      <c r="A38" s="2">
        <v>45363</v>
      </c>
      <c r="B38" s="3">
        <v>6.9841860000000006E-2</v>
      </c>
      <c r="C38" s="3">
        <v>7.3063016000000008E-2</v>
      </c>
      <c r="D38" s="3">
        <v>1.147902E-2</v>
      </c>
      <c r="E38" s="3">
        <v>1.7134547E-2</v>
      </c>
      <c r="F38" s="3">
        <v>5.6269406999999994E-2</v>
      </c>
      <c r="G38" s="3">
        <v>0.102096195</v>
      </c>
      <c r="H38" s="3">
        <v>4.3867825999999999E-2</v>
      </c>
      <c r="I38" s="3">
        <v>4.8015356000000002E-2</v>
      </c>
      <c r="J38" s="3">
        <v>-2.9760182E-2</v>
      </c>
      <c r="K38" s="3">
        <v>4.2979120000000003E-2</v>
      </c>
      <c r="L38" s="3">
        <v>-2.0168602000000001E-2</v>
      </c>
      <c r="M38" s="3">
        <v>1.0103702999999999E-2</v>
      </c>
      <c r="N38" s="3">
        <v>2.2573470999999999E-3</v>
      </c>
      <c r="O38" s="3">
        <v>2.8042912000000003E-2</v>
      </c>
      <c r="P38" s="3">
        <v>6.2222239999999998E-2</v>
      </c>
      <c r="Q38" s="3">
        <v>3.1700252999999998E-2</v>
      </c>
      <c r="R38" s="3">
        <v>-6.9603919999999993E-3</v>
      </c>
      <c r="S38" s="3">
        <v>-5.3627786999999996E-2</v>
      </c>
      <c r="T38" s="3">
        <v>-9.9485517000000006E-3</v>
      </c>
      <c r="U38" s="3">
        <v>1.5595316999999999E-2</v>
      </c>
      <c r="V38" s="3">
        <v>1.3458014000000001E-2</v>
      </c>
      <c r="W38" s="3">
        <v>-2.8260945999999997E-3</v>
      </c>
      <c r="X38" s="3">
        <v>3.3008932999999997E-2</v>
      </c>
      <c r="Y38" s="3">
        <v>3.7585734999999995E-2</v>
      </c>
      <c r="Z38" s="3">
        <v>7.0892929999999993E-2</v>
      </c>
      <c r="AA38" s="3">
        <v>4.4945480000000003E-2</v>
      </c>
      <c r="AB38" s="3">
        <v>4.7056316999999993E-2</v>
      </c>
      <c r="AC38" s="3">
        <v>4.4720410000000002E-2</v>
      </c>
      <c r="AD38" s="3">
        <v>1.9111514E-2</v>
      </c>
      <c r="AE38" s="3">
        <v>3.1538248000000005E-2</v>
      </c>
      <c r="AF38" s="3">
        <v>6.4674019999999999E-2</v>
      </c>
      <c r="AG38" s="3">
        <v>4.0924550000000004E-2</v>
      </c>
      <c r="AH38" s="3">
        <v>8.8444230000000013E-2</v>
      </c>
      <c r="AI38" s="3">
        <v>8.7441329999999998E-2</v>
      </c>
      <c r="AJ38" s="3"/>
      <c r="AK38" s="3"/>
      <c r="AL38" s="3"/>
    </row>
    <row r="39" spans="1:38" x14ac:dyDescent="0.45">
      <c r="A39" s="2">
        <v>45394</v>
      </c>
      <c r="B39" s="3">
        <v>-4.3359519999999999E-2</v>
      </c>
      <c r="C39" s="3">
        <v>7.482767E-4</v>
      </c>
      <c r="D39" s="3">
        <v>-6.3291189999999997E-2</v>
      </c>
      <c r="E39" s="3">
        <v>-6.7741930000000006E-2</v>
      </c>
      <c r="F39" s="3">
        <v>-2.5587260000000001E-2</v>
      </c>
      <c r="G39" s="3">
        <v>6.9304585000000002E-2</v>
      </c>
      <c r="H39" s="3">
        <v>-2.2141874000000002E-2</v>
      </c>
      <c r="I39" s="3">
        <v>-1.5068233E-2</v>
      </c>
      <c r="J39" s="3">
        <v>2.8841733999999997E-2</v>
      </c>
      <c r="K39" s="3">
        <v>-6.8580810000000006E-2</v>
      </c>
      <c r="L39" s="3">
        <v>-3.9324104999999998E-2</v>
      </c>
      <c r="M39" s="3">
        <v>1.5644907999999999E-2</v>
      </c>
      <c r="N39" s="3">
        <v>-3.0530452999999999E-2</v>
      </c>
      <c r="O39" s="3">
        <v>-3.8695334999999995E-4</v>
      </c>
      <c r="P39" s="3">
        <v>-3.3226727999999997E-2</v>
      </c>
      <c r="Q39" s="3">
        <v>-3.2960891999999999E-2</v>
      </c>
      <c r="R39" s="3">
        <v>1.2140989E-2</v>
      </c>
      <c r="S39" s="3">
        <v>6.0277700000000003E-2</v>
      </c>
      <c r="T39" s="3">
        <v>2.0742416E-5</v>
      </c>
      <c r="U39" s="3">
        <v>-6.7415833000000003E-3</v>
      </c>
      <c r="V39" s="3">
        <v>-1.0128318999999998E-2</v>
      </c>
      <c r="W39" s="3">
        <v>-2.7032852E-2</v>
      </c>
      <c r="X39" s="3">
        <v>-2.0893096999999999E-2</v>
      </c>
      <c r="Y39" s="3">
        <v>-1.7715453999999999E-2</v>
      </c>
      <c r="Z39" s="3">
        <v>-3.7237406000000001E-2</v>
      </c>
      <c r="AA39" s="3">
        <v>-1.3146698000000002E-2</v>
      </c>
      <c r="AB39" s="3">
        <v>-6.4847109999999999E-2</v>
      </c>
      <c r="AC39" s="3">
        <v>2.3782253E-3</v>
      </c>
      <c r="AD39" s="3">
        <v>-1.0854065E-2</v>
      </c>
      <c r="AE39" s="3">
        <v>-8.3824395999999995E-3</v>
      </c>
      <c r="AF39" s="3">
        <v>-4.1384277000000004E-2</v>
      </c>
      <c r="AG39" s="3">
        <v>-1.7926276000000001E-2</v>
      </c>
      <c r="AH39" s="3">
        <v>-6.3361526000000001E-2</v>
      </c>
      <c r="AI39" s="3">
        <v>-2.9411792999999999E-2</v>
      </c>
      <c r="AJ39" s="3"/>
      <c r="AK39" s="3"/>
      <c r="AL39" s="3"/>
    </row>
    <row r="40" spans="1:38" x14ac:dyDescent="0.45">
      <c r="A40" s="2">
        <v>45422</v>
      </c>
      <c r="B40" s="3">
        <v>6.2531829999999997E-2</v>
      </c>
      <c r="C40" s="3">
        <v>5.1214932999999997E-2</v>
      </c>
      <c r="D40" s="3">
        <v>-4.5666336999999994E-2</v>
      </c>
      <c r="E40" s="3">
        <v>-2.3452519999999998E-2</v>
      </c>
      <c r="F40" s="3">
        <v>6.3495517000000001E-2</v>
      </c>
      <c r="G40" s="3">
        <v>6.7017436E-2</v>
      </c>
      <c r="H40" s="3">
        <v>4.9907565000000001E-2</v>
      </c>
      <c r="I40" s="3">
        <v>2.253461E-2</v>
      </c>
      <c r="J40" s="3">
        <v>1.5574098000000001E-2</v>
      </c>
      <c r="K40" s="3">
        <v>3.6256193999999999E-2</v>
      </c>
      <c r="L40" s="3">
        <v>1.0873079000000001E-2</v>
      </c>
      <c r="M40" s="3">
        <v>7.3989869999999999E-2</v>
      </c>
      <c r="N40" s="3">
        <v>8.8280790000000012E-2</v>
      </c>
      <c r="O40" s="3">
        <v>-5.8060884000000002E-3</v>
      </c>
      <c r="P40" s="3">
        <v>0.15020370499999999</v>
      </c>
      <c r="Q40" s="3">
        <v>-6.35463E-3</v>
      </c>
      <c r="R40" s="3">
        <v>-1.7531036999999999E-2</v>
      </c>
      <c r="S40" s="3">
        <v>8.2263579999999989E-2</v>
      </c>
      <c r="T40" s="3">
        <v>2.0689964000000002E-3</v>
      </c>
      <c r="U40" s="3">
        <v>-5.2790346000000002E-2</v>
      </c>
      <c r="V40" s="3">
        <v>-2.5011359999999996E-2</v>
      </c>
      <c r="W40" s="3">
        <v>1.4564156999999999E-2</v>
      </c>
      <c r="X40" s="3">
        <v>2.4267793000000003E-2</v>
      </c>
      <c r="Y40" s="3">
        <v>2.7994514000000002E-2</v>
      </c>
      <c r="Z40" s="3">
        <v>6.380164599999999E-2</v>
      </c>
      <c r="AA40" s="3">
        <v>-1.6072988999999999E-2</v>
      </c>
      <c r="AB40" s="3">
        <v>5.2007914000000002E-2</v>
      </c>
      <c r="AC40" s="3">
        <v>7.2064039999999996E-2</v>
      </c>
      <c r="AD40" s="3">
        <v>8.6476799999999996E-3</v>
      </c>
      <c r="AE40" s="3">
        <v>1.9555688000000002E-2</v>
      </c>
      <c r="AF40" s="3">
        <v>6.0338260000000005E-2</v>
      </c>
      <c r="AG40" s="3">
        <v>5.0611972999999998E-2</v>
      </c>
      <c r="AH40" s="3">
        <v>5.4737926000000006E-2</v>
      </c>
      <c r="AI40" s="3">
        <v>6.1717987000000002E-2</v>
      </c>
      <c r="AJ40" s="3"/>
      <c r="AK40" s="3"/>
      <c r="AL40" s="3"/>
    </row>
    <row r="41" spans="1:38" x14ac:dyDescent="0.45">
      <c r="A41" s="2">
        <v>45455</v>
      </c>
      <c r="B41" s="3">
        <v>-3.5418332000000004E-2</v>
      </c>
      <c r="C41" s="3">
        <v>-1.3839483E-2</v>
      </c>
      <c r="D41" s="3">
        <v>-4.4195120000000004E-2</v>
      </c>
      <c r="E41" s="3">
        <v>-2.6053785999999999E-2</v>
      </c>
      <c r="F41" s="3">
        <v>-2.8857290000000001E-2</v>
      </c>
      <c r="G41" s="3">
        <v>-1.7520249000000002E-2</v>
      </c>
      <c r="H41" s="3">
        <v>2.3619412999999999E-2</v>
      </c>
      <c r="I41" s="3">
        <v>6.4294339999999991E-2</v>
      </c>
      <c r="J41" s="3">
        <v>-0.18247055000000001</v>
      </c>
      <c r="K41" s="3">
        <v>7.5525045000000004E-3</v>
      </c>
      <c r="L41" s="3">
        <v>-0.10995471999999999</v>
      </c>
      <c r="M41" s="3">
        <v>-2.4661183000000003E-2</v>
      </c>
      <c r="N41" s="3">
        <v>-1.5654623999999999E-2</v>
      </c>
      <c r="O41" s="3">
        <v>6.4239859999999996E-2</v>
      </c>
      <c r="P41" s="3">
        <v>-3.5615325000000003E-2</v>
      </c>
      <c r="Q41" s="3">
        <v>5.6008100000000003E-3</v>
      </c>
      <c r="R41" s="3">
        <v>-4.0243505999999998E-2</v>
      </c>
      <c r="S41" s="3">
        <v>-8.6984634000000002E-3</v>
      </c>
      <c r="T41" s="3">
        <v>-4.2175950000000004E-2</v>
      </c>
      <c r="U41" s="3">
        <v>3.1050919999999999E-2</v>
      </c>
      <c r="V41" s="3">
        <v>-4.5132820000000004E-2</v>
      </c>
      <c r="W41" s="3">
        <v>3.0361889999999999E-2</v>
      </c>
      <c r="X41" s="3">
        <v>1.6154407999999999E-2</v>
      </c>
      <c r="Y41" s="3">
        <v>-1.9079089E-2</v>
      </c>
      <c r="Z41" s="3">
        <v>-1.7626882E-3</v>
      </c>
      <c r="AA41" s="3">
        <v>1.3997436E-2</v>
      </c>
      <c r="AB41" s="3">
        <v>4.4404029999999997E-2</v>
      </c>
      <c r="AC41" s="3">
        <v>-2.1337866999999997E-3</v>
      </c>
      <c r="AD41" s="3">
        <v>7.2591900000000001E-2</v>
      </c>
      <c r="AE41" s="3">
        <v>3.9397835999999999E-2</v>
      </c>
      <c r="AF41" s="3">
        <v>-2.8661550000000001E-2</v>
      </c>
      <c r="AG41" s="3">
        <v>3.9632915999999997E-2</v>
      </c>
      <c r="AH41" s="3">
        <v>4.4221280000000002E-2</v>
      </c>
      <c r="AI41" s="3">
        <v>-1.2629628000000001E-3</v>
      </c>
      <c r="AJ41" s="3"/>
      <c r="AK41" s="3"/>
      <c r="AL41" s="3"/>
    </row>
    <row r="42" spans="1:38" x14ac:dyDescent="0.45">
      <c r="A42" s="2">
        <v>45485</v>
      </c>
      <c r="B42" s="3">
        <v>-1.8369675000000002E-2</v>
      </c>
      <c r="C42" s="3">
        <v>1.4798403E-2</v>
      </c>
      <c r="D42" s="3">
        <v>8.46113E-2</v>
      </c>
      <c r="E42" s="3">
        <v>3.9392710000000004E-2</v>
      </c>
      <c r="F42" s="3">
        <v>8.1528659999999989E-2</v>
      </c>
      <c r="G42" s="3">
        <v>3.428018E-2</v>
      </c>
      <c r="H42" s="3">
        <v>1.8785476999999998E-2</v>
      </c>
      <c r="I42" s="3">
        <v>7.9217314999999996E-2</v>
      </c>
      <c r="J42" s="3">
        <v>0.11241221</v>
      </c>
      <c r="K42" s="3">
        <v>5.0175905E-2</v>
      </c>
      <c r="L42" s="3">
        <v>7.0117473999999999E-2</v>
      </c>
      <c r="M42" s="3">
        <v>0.10430944</v>
      </c>
      <c r="N42" s="3">
        <v>1.5164136999999999E-2</v>
      </c>
      <c r="O42" s="3">
        <v>4.3899774999999995E-2</v>
      </c>
      <c r="P42" s="3">
        <v>1.4522791E-2</v>
      </c>
      <c r="Q42" s="3">
        <v>5.1452755999999995E-2</v>
      </c>
      <c r="R42" s="3">
        <v>1.1658071999999998E-2</v>
      </c>
      <c r="S42" s="3">
        <v>7.1940660000000003E-2</v>
      </c>
      <c r="T42" s="3">
        <v>4.854369E-2</v>
      </c>
      <c r="U42" s="3">
        <v>-3.8610039999999998E-2</v>
      </c>
      <c r="V42" s="3">
        <v>2.2806047999999999E-2</v>
      </c>
      <c r="W42" s="3">
        <v>1.2526988999999999E-2</v>
      </c>
      <c r="X42" s="3">
        <v>5.0409794000000001E-2</v>
      </c>
      <c r="Y42" s="3">
        <v>4.0420413000000002E-2</v>
      </c>
      <c r="Z42" s="3">
        <v>1.8181801000000001E-2</v>
      </c>
      <c r="AA42" s="3">
        <v>4.4012309999999999E-2</v>
      </c>
      <c r="AB42" s="3">
        <v>1.4885783E-2</v>
      </c>
      <c r="AC42" s="3">
        <v>1.837194E-2</v>
      </c>
      <c r="AD42" s="3">
        <v>4.5270560000000001E-2</v>
      </c>
      <c r="AE42" s="3">
        <v>3.7754892999999998E-2</v>
      </c>
      <c r="AF42" s="3">
        <v>-8.5276959999999995E-3</v>
      </c>
      <c r="AG42" s="3">
        <v>1.1138916E-2</v>
      </c>
      <c r="AH42" s="3">
        <v>-8.5754990000000003E-3</v>
      </c>
      <c r="AI42" s="3">
        <v>1.4776945E-2</v>
      </c>
      <c r="AJ42" s="3"/>
      <c r="AK42" s="3"/>
      <c r="AL42" s="3"/>
    </row>
    <row r="43" spans="1:38" x14ac:dyDescent="0.45">
      <c r="A43" s="2">
        <v>45516</v>
      </c>
      <c r="B43" s="3">
        <v>-2.9239774E-2</v>
      </c>
      <c r="C43" s="3">
        <v>-6.3798784999999997E-2</v>
      </c>
      <c r="D43" s="3">
        <v>2.4378300000000002E-3</v>
      </c>
      <c r="E43" s="3">
        <v>1.5396714000000001E-2</v>
      </c>
      <c r="F43" s="3">
        <v>-8.7161360000000007E-2</v>
      </c>
      <c r="G43" s="3">
        <v>-6.4393939999999997E-2</v>
      </c>
      <c r="H43" s="3">
        <v>2.9159546000000001E-2</v>
      </c>
      <c r="I43" s="3">
        <v>-8.7132570000000006E-2</v>
      </c>
      <c r="J43" s="3">
        <v>-0.11206471999999999</v>
      </c>
      <c r="K43" s="3">
        <v>-9.3080879999999991E-2</v>
      </c>
      <c r="L43" s="3">
        <v>9.6055270000000009E-3</v>
      </c>
      <c r="M43" s="3">
        <v>-2.6385784000000002E-2</v>
      </c>
      <c r="N43" s="3">
        <v>-2.4999976E-2</v>
      </c>
      <c r="O43" s="3">
        <v>-2.4531305E-2</v>
      </c>
      <c r="P43" s="3">
        <v>-4.7034739999999998E-2</v>
      </c>
      <c r="Q43" s="3">
        <v>-3.4543275999999999E-3</v>
      </c>
      <c r="R43" s="3">
        <v>-2.6253044999999999E-2</v>
      </c>
      <c r="S43" s="3">
        <v>-0.13353324</v>
      </c>
      <c r="T43" s="3">
        <v>2.9914497999999998E-2</v>
      </c>
      <c r="U43" s="3">
        <v>-4.6586330000000002E-2</v>
      </c>
      <c r="V43" s="3">
        <v>-1.2845336999999998E-2</v>
      </c>
      <c r="W43" s="3">
        <v>-1.3385296E-2</v>
      </c>
      <c r="X43" s="3">
        <v>-5.3843139999999998E-2</v>
      </c>
      <c r="Y43" s="3">
        <v>-1.8388987000000002E-2</v>
      </c>
      <c r="Z43" s="3">
        <v>-5.7017508000000001E-2</v>
      </c>
      <c r="AA43" s="3">
        <v>-7.9411744999999992E-2</v>
      </c>
      <c r="AB43" s="3">
        <v>-5.2240489999999997E-3</v>
      </c>
      <c r="AC43" s="3">
        <v>-1.4432430000000001E-2</v>
      </c>
      <c r="AD43" s="3">
        <v>-8.7789480000000003E-2</v>
      </c>
      <c r="AE43" s="3">
        <v>-4.7715069999999998E-2</v>
      </c>
      <c r="AF43" s="3">
        <v>-5.2112284000000002E-2</v>
      </c>
      <c r="AG43" s="3">
        <v>-9.4017089999999998E-2</v>
      </c>
      <c r="AH43" s="3">
        <v>-6.7515554000000005E-2</v>
      </c>
      <c r="AI43" s="3">
        <v>-5.5599746999999998E-2</v>
      </c>
      <c r="AJ43" s="3"/>
      <c r="AK43" s="3"/>
      <c r="AL43" s="3"/>
    </row>
    <row r="44" spans="1:38" x14ac:dyDescent="0.45">
      <c r="A44" s="2">
        <v>45547</v>
      </c>
      <c r="B44" s="3">
        <v>-4.0160656000000003E-2</v>
      </c>
      <c r="C44" s="3">
        <v>6.6199300000000004E-3</v>
      </c>
      <c r="D44" s="3">
        <v>8.4630375000000008E-2</v>
      </c>
      <c r="E44" s="3">
        <v>9.7589490000000001E-2</v>
      </c>
      <c r="F44" s="3">
        <v>1.5053749E-2</v>
      </c>
      <c r="G44" s="3">
        <v>1.0918498E-2</v>
      </c>
      <c r="H44" s="3">
        <v>6.0416699999999997E-2</v>
      </c>
      <c r="I44" s="3">
        <v>1.2340903E-2</v>
      </c>
      <c r="J44" s="3">
        <v>-1.9332528000000002E-2</v>
      </c>
      <c r="K44" s="3">
        <v>4.0154457000000001E-3</v>
      </c>
      <c r="L44" s="3">
        <v>-5.0968530000000001E-3</v>
      </c>
      <c r="M44" s="3">
        <v>5.3290844000000004E-2</v>
      </c>
      <c r="N44" s="3">
        <v>8.5469483999999988E-3</v>
      </c>
      <c r="O44" s="3">
        <v>3.7542699999999998E-2</v>
      </c>
      <c r="P44" s="3">
        <v>-2.7896939999999999E-2</v>
      </c>
      <c r="Q44" s="3">
        <v>4.5638439999999995E-2</v>
      </c>
      <c r="R44" s="3">
        <v>9.599328E-2</v>
      </c>
      <c r="S44" s="3">
        <v>-3.832841E-2</v>
      </c>
      <c r="T44" s="3">
        <v>3.4578204000000001E-2</v>
      </c>
      <c r="U44" s="3">
        <v>4.4650315999999995E-2</v>
      </c>
      <c r="V44" s="3">
        <v>1.1784911E-2</v>
      </c>
      <c r="W44" s="3">
        <v>8.5130579999999997E-2</v>
      </c>
      <c r="X44" s="3">
        <v>7.4226737000000001E-2</v>
      </c>
      <c r="Y44" s="3">
        <v>6.5963029999999992E-2</v>
      </c>
      <c r="Z44" s="3">
        <v>6.7441940000000006E-2</v>
      </c>
      <c r="AA44" s="3">
        <v>6.8766117000000002E-2</v>
      </c>
      <c r="AB44" s="3">
        <v>3.1508803000000002E-2</v>
      </c>
      <c r="AC44" s="3">
        <v>3.6046267E-2</v>
      </c>
      <c r="AD44" s="3">
        <v>4.8384904999999999E-2</v>
      </c>
      <c r="AE44" s="3">
        <v>4.8418283000000006E-2</v>
      </c>
      <c r="AF44" s="3">
        <v>4.0565850000000001E-2</v>
      </c>
      <c r="AG44" s="3">
        <v>2.9140472000000001E-2</v>
      </c>
      <c r="AH44" s="3">
        <v>5.3336740000000001E-2</v>
      </c>
      <c r="AI44" s="3">
        <v>6.7844151999999991E-2</v>
      </c>
      <c r="AJ44" s="3"/>
      <c r="AK44" s="3"/>
      <c r="AL44" s="3"/>
    </row>
    <row r="45" spans="1:38" x14ac:dyDescent="0.45">
      <c r="A45" s="2">
        <v>45576</v>
      </c>
      <c r="B45" s="3">
        <v>0.26150629999999997</v>
      </c>
      <c r="C45" s="3">
        <v>3.4816264999999999E-2</v>
      </c>
      <c r="D45" s="3">
        <v>-1.7937183000000002E-2</v>
      </c>
      <c r="E45" s="3">
        <v>1.5232086000000001E-2</v>
      </c>
      <c r="F45" s="3">
        <v>1.1440753999999999E-2</v>
      </c>
      <c r="G45" s="3">
        <v>9.7580799999999995E-2</v>
      </c>
      <c r="H45" s="3">
        <v>1.7681717999999999E-2</v>
      </c>
      <c r="I45" s="3">
        <v>4.9333334000000006E-2</v>
      </c>
      <c r="J45" s="3">
        <v>2.4177074E-2</v>
      </c>
      <c r="K45" s="3">
        <v>1.4077783E-2</v>
      </c>
      <c r="L45" s="3">
        <v>-3.2786905999999998E-2</v>
      </c>
      <c r="M45" s="3">
        <v>8.2378389999999996E-2</v>
      </c>
      <c r="N45" s="3">
        <v>4.0097237000000004E-3</v>
      </c>
      <c r="O45" s="3">
        <v>-9.8684429999999993E-3</v>
      </c>
      <c r="P45" s="3">
        <v>0.29114543999999998</v>
      </c>
      <c r="Q45" s="3">
        <v>1.43646E-2</v>
      </c>
      <c r="R45" s="3">
        <v>3.4131049999999996E-2</v>
      </c>
      <c r="S45" s="3">
        <v>-6.8364263000000008E-2</v>
      </c>
      <c r="T45" s="3">
        <v>-1.3368964000000001E-2</v>
      </c>
      <c r="U45" s="3">
        <v>2.0161269999999998E-2</v>
      </c>
      <c r="V45" s="3">
        <v>1.5530229E-2</v>
      </c>
      <c r="W45" s="3">
        <v>-1.4943242000000001E-2</v>
      </c>
      <c r="X45" s="3">
        <v>1.7274499000000002E-2</v>
      </c>
      <c r="Y45" s="3">
        <v>2.9702902E-2</v>
      </c>
      <c r="Z45" s="3">
        <v>3.2990932000000001E-2</v>
      </c>
      <c r="AA45" s="3">
        <v>1.1387944000000001E-2</v>
      </c>
      <c r="AB45" s="3">
        <v>7.832407999999999E-3</v>
      </c>
      <c r="AC45" s="3">
        <v>-6.5235496000000002E-3</v>
      </c>
      <c r="AD45" s="3">
        <v>4.4020414000000001E-2</v>
      </c>
      <c r="AE45" s="3">
        <v>3.9833187999999999E-2</v>
      </c>
      <c r="AF45" s="3">
        <v>8.9765790000000002E-3</v>
      </c>
      <c r="AG45" s="3">
        <v>1.9759655000000001E-2</v>
      </c>
      <c r="AH45" s="3">
        <v>2.005875E-2</v>
      </c>
      <c r="AI45" s="3">
        <v>6.3009260000000001E-3</v>
      </c>
      <c r="AJ45" s="3"/>
      <c r="AK45" s="3"/>
      <c r="AL45" s="3"/>
    </row>
    <row r="46" spans="1:38" x14ac:dyDescent="0.45">
      <c r="A46" s="2">
        <v>45608</v>
      </c>
      <c r="B46" s="3">
        <v>-8.9552399999999997E-3</v>
      </c>
      <c r="C46" s="3">
        <v>-7.0280312999999997E-2</v>
      </c>
      <c r="D46" s="3">
        <v>-6.7123229999999992E-2</v>
      </c>
      <c r="E46" s="3">
        <v>-9.0718800000000002E-2</v>
      </c>
      <c r="F46" s="3">
        <v>-7.4151697000000003E-2</v>
      </c>
      <c r="G46" s="3">
        <v>-2.9190420000000002E-2</v>
      </c>
      <c r="H46" s="3">
        <v>-5.5598496999999997E-2</v>
      </c>
      <c r="I46" s="3">
        <v>-1.9241273E-2</v>
      </c>
      <c r="J46" s="3">
        <v>-8.1532540000000001E-2</v>
      </c>
      <c r="K46" s="3">
        <v>-0.10317087000000001</v>
      </c>
      <c r="L46" s="3">
        <v>-2.2245705000000001E-2</v>
      </c>
      <c r="M46" s="3">
        <v>-6.0727120000000002E-2</v>
      </c>
      <c r="N46" s="3">
        <v>-3.3174454999999999E-2</v>
      </c>
      <c r="O46" s="3">
        <v>-5.9101223999999994E-2</v>
      </c>
      <c r="P46" s="3">
        <v>-9.0805469999999999E-2</v>
      </c>
      <c r="Q46" s="3">
        <v>2.1785497999999999E-3</v>
      </c>
      <c r="R46" s="3">
        <v>-1.7026066999999999E-2</v>
      </c>
      <c r="S46" s="3">
        <v>2.7332187000000001E-2</v>
      </c>
      <c r="T46" s="3">
        <v>4.6747922999999997E-2</v>
      </c>
      <c r="U46" s="3">
        <v>-6.7193626999999992E-2</v>
      </c>
      <c r="V46" s="3">
        <v>2.6284455999999999E-3</v>
      </c>
      <c r="W46" s="3">
        <v>-3.7823617000000004E-2</v>
      </c>
      <c r="X46" s="3">
        <v>-3.7735820000000003E-2</v>
      </c>
      <c r="Y46" s="3">
        <v>1.5625E-2</v>
      </c>
      <c r="Z46" s="3">
        <v>-4.8508525000000004E-2</v>
      </c>
      <c r="AA46" s="3">
        <v>-3.5890281000000003E-2</v>
      </c>
      <c r="AB46" s="3">
        <v>-7.0720789999999992E-2</v>
      </c>
      <c r="AC46" s="3">
        <v>-5.2530710000000001E-2</v>
      </c>
      <c r="AD46" s="3">
        <v>3.962624E-2</v>
      </c>
      <c r="AE46" s="3">
        <v>2.9883742000000001E-2</v>
      </c>
      <c r="AF46" s="3">
        <v>-7.4987289999999998E-2</v>
      </c>
      <c r="AG46" s="3">
        <v>-9.8481840000000001E-2</v>
      </c>
      <c r="AH46" s="3">
        <v>-7.1702660000000001E-2</v>
      </c>
      <c r="AI46" s="3">
        <v>-5.4004789999999997E-2</v>
      </c>
      <c r="AJ46" s="3"/>
      <c r="AK46" s="3"/>
      <c r="AL46" s="3"/>
    </row>
    <row r="47" spans="1:38" x14ac:dyDescent="0.45">
      <c r="A47" s="2">
        <v>45638</v>
      </c>
      <c r="B47" s="3">
        <v>-1.4056206E-2</v>
      </c>
      <c r="C47" s="3">
        <v>4.1013239999999999E-2</v>
      </c>
      <c r="D47" s="3">
        <v>-1.2236893E-2</v>
      </c>
      <c r="E47" s="3">
        <v>-1.3046800999999998E-2</v>
      </c>
      <c r="F47" s="3">
        <v>2.0361899999999999E-2</v>
      </c>
      <c r="G47" s="3">
        <v>2.2081255999999997E-2</v>
      </c>
      <c r="H47" s="3">
        <v>7.3589086999999997E-3</v>
      </c>
      <c r="I47" s="3">
        <v>5.5527686999999994E-4</v>
      </c>
      <c r="J47" s="3">
        <v>1.7595886999999998E-2</v>
      </c>
      <c r="K47" s="3">
        <v>-2.4098516E-2</v>
      </c>
      <c r="L47" s="3">
        <v>-7.0783734000000001E-2</v>
      </c>
      <c r="M47" s="3">
        <v>4.1471720000000004E-2</v>
      </c>
      <c r="N47" s="3">
        <v>1.7710090000000001E-2</v>
      </c>
      <c r="O47" s="3">
        <v>2.7689933999999999E-2</v>
      </c>
      <c r="P47" s="3">
        <v>2.0685315000000003E-2</v>
      </c>
      <c r="Q47" s="3">
        <v>-8.1521270000000003E-3</v>
      </c>
      <c r="R47" s="3">
        <v>-3.5845637000000001E-3</v>
      </c>
      <c r="S47" s="3">
        <v>7.7790619999999991E-2</v>
      </c>
      <c r="T47" s="3">
        <v>-3.6698579999999998E-3</v>
      </c>
      <c r="U47" s="3">
        <v>3.3898354000000005E-3</v>
      </c>
      <c r="V47" s="3">
        <v>7.6262949999999999E-3</v>
      </c>
      <c r="W47" s="3">
        <v>-4.2463720000000003E-2</v>
      </c>
      <c r="X47" s="3">
        <v>-1.1764705E-2</v>
      </c>
      <c r="Y47" s="3">
        <v>-2.3668408000000001E-3</v>
      </c>
      <c r="Z47" s="3">
        <v>4.5598507000000003E-2</v>
      </c>
      <c r="AA47" s="3">
        <v>2.7299285000000003E-2</v>
      </c>
      <c r="AB47" s="3">
        <v>-1.2962639E-2</v>
      </c>
      <c r="AC47" s="3">
        <v>2.7721643000000001E-2</v>
      </c>
      <c r="AD47" s="3">
        <v>2.6495934000000002E-2</v>
      </c>
      <c r="AE47" s="3">
        <v>1.2447596E-2</v>
      </c>
      <c r="AF47" s="3">
        <v>9.8928213000000001E-3</v>
      </c>
      <c r="AG47" s="3">
        <v>1.9720793E-2</v>
      </c>
      <c r="AH47" s="3">
        <v>5.6833029999999998E-3</v>
      </c>
      <c r="AI47" s="3">
        <v>3.2818555999999999E-2</v>
      </c>
      <c r="AJ47" s="3"/>
      <c r="AK47" s="3"/>
      <c r="AL47" s="3"/>
    </row>
    <row r="48" spans="1:38" x14ac:dyDescent="0.45">
      <c r="A48" s="2">
        <v>45667</v>
      </c>
      <c r="B48" s="3">
        <v>-8.8329790000000005E-2</v>
      </c>
      <c r="C48" s="3">
        <v>-2.8456926E-2</v>
      </c>
      <c r="D48" s="3">
        <v>-8.1456130000000015E-2</v>
      </c>
      <c r="E48" s="3">
        <v>-2.8163551999999998E-2</v>
      </c>
      <c r="F48" s="3">
        <v>-1.9548893000000001E-2</v>
      </c>
      <c r="G48" s="3">
        <v>-5.0177573999999996E-2</v>
      </c>
      <c r="H48" s="3">
        <v>-2.2165835000000002E-2</v>
      </c>
      <c r="I48" s="3">
        <v>-2.3096442000000002E-2</v>
      </c>
      <c r="J48" s="3">
        <v>-5.4957510000000001E-2</v>
      </c>
      <c r="K48" s="3">
        <v>-1.1951566E-2</v>
      </c>
      <c r="L48" s="3">
        <v>-7.8026890000000002E-2</v>
      </c>
      <c r="M48" s="3">
        <v>-0.11529475</v>
      </c>
      <c r="N48" s="3">
        <v>1.46029E-2</v>
      </c>
      <c r="O48" s="3">
        <v>-6.718296E-2</v>
      </c>
      <c r="P48" s="3">
        <v>-8.8334919999999997E-2</v>
      </c>
      <c r="Q48" s="3">
        <v>-2.0794271999999999E-2</v>
      </c>
      <c r="R48" s="3">
        <v>-4.9934386999999997E-2</v>
      </c>
      <c r="S48" s="3">
        <v>-2.8379916999999998E-2</v>
      </c>
      <c r="T48" s="3">
        <v>8.0928330000000007E-2</v>
      </c>
      <c r="U48" s="3">
        <v>-5.9966207000000001E-2</v>
      </c>
      <c r="V48" s="3">
        <v>-1.5304923E-2</v>
      </c>
      <c r="W48" s="3">
        <v>-2.0661413999999999E-2</v>
      </c>
      <c r="X48" s="3">
        <v>-3.9292395000000001E-2</v>
      </c>
      <c r="Y48" s="3">
        <v>-3.7790716000000002E-2</v>
      </c>
      <c r="Z48" s="3">
        <v>-2.9981852E-2</v>
      </c>
      <c r="AA48" s="3">
        <v>-5.8362246000000007E-2</v>
      </c>
      <c r="AB48" s="3">
        <v>-1.6945540999999998E-2</v>
      </c>
      <c r="AC48" s="3">
        <v>-3.9252996000000005E-2</v>
      </c>
      <c r="AD48" s="3">
        <v>-3.5138427999999999E-2</v>
      </c>
      <c r="AE48" s="3">
        <v>-3.6254941999999998E-2</v>
      </c>
      <c r="AF48" s="3">
        <v>-1.5821992999999999E-2</v>
      </c>
      <c r="AG48" s="3">
        <v>-2.1133601999999998E-2</v>
      </c>
      <c r="AH48" s="3">
        <v>-3.5191356999999999E-2</v>
      </c>
      <c r="AI48" s="3">
        <v>-1.0433078E-2</v>
      </c>
      <c r="AJ48" s="3"/>
      <c r="AK48" s="3"/>
      <c r="AL48" s="3"/>
    </row>
    <row r="49" spans="1:38" x14ac:dyDescent="0.45">
      <c r="A49" s="2">
        <v>45700</v>
      </c>
      <c r="B49" s="3">
        <v>6.9939136999999998E-2</v>
      </c>
      <c r="C49" s="3">
        <v>0.13841248</v>
      </c>
      <c r="D49" s="3">
        <v>-4.273975E-2</v>
      </c>
      <c r="E49" s="3">
        <v>-3.8740933000000005E-2</v>
      </c>
      <c r="F49" s="3">
        <v>0.20629691999999999</v>
      </c>
      <c r="G49" s="3">
        <v>4.3187737000000004E-2</v>
      </c>
      <c r="H49" s="3">
        <v>1.7758965000000002E-2</v>
      </c>
      <c r="I49" s="3">
        <v>2.3660540000000001E-2</v>
      </c>
      <c r="J49" s="3">
        <v>0.10118793999999999</v>
      </c>
      <c r="K49" s="3">
        <v>3.0642748000000001E-2</v>
      </c>
      <c r="L49" s="3">
        <v>0.11679149000000001</v>
      </c>
      <c r="M49" s="3">
        <v>0.11548746</v>
      </c>
      <c r="N49" s="3">
        <v>5.779803E-2</v>
      </c>
      <c r="O49" s="3">
        <v>-2.7533709999999999E-2</v>
      </c>
      <c r="P49" s="3">
        <v>0.18668496999999998</v>
      </c>
      <c r="Q49" s="3">
        <v>1.7055153999999999E-2</v>
      </c>
      <c r="R49" s="3">
        <v>-6.1418590000000002E-2</v>
      </c>
      <c r="S49" s="3">
        <v>-3.2991350000000003E-2</v>
      </c>
      <c r="T49" s="3">
        <v>5.6558250000000004E-2</v>
      </c>
      <c r="U49" s="3">
        <v>1.7969489000000002E-2</v>
      </c>
      <c r="V49" s="3">
        <v>3.2810925999999997E-2</v>
      </c>
      <c r="W49" s="3">
        <v>1.8400787999999998E-2</v>
      </c>
      <c r="X49" s="3">
        <v>6.089878E-2</v>
      </c>
      <c r="Y49" s="3">
        <v>4.8475739999999996E-2</v>
      </c>
      <c r="Z49" s="3">
        <v>0.116141205</v>
      </c>
      <c r="AA49" s="3">
        <v>4.2611837E-2</v>
      </c>
      <c r="AB49" s="3">
        <v>8.2094429999999996E-2</v>
      </c>
      <c r="AC49" s="3">
        <v>9.1967700000000013E-2</v>
      </c>
      <c r="AD49" s="3">
        <v>4.1621446999999999E-2</v>
      </c>
      <c r="AE49" s="3">
        <v>3.9397716999999999E-2</v>
      </c>
      <c r="AF49" s="3">
        <v>0.10334253</v>
      </c>
      <c r="AG49" s="3">
        <v>7.2626469999999999E-2</v>
      </c>
      <c r="AH49" s="3">
        <v>0.14430237000000001</v>
      </c>
      <c r="AI49" s="3">
        <v>9.4520569999999998E-2</v>
      </c>
      <c r="AJ49" s="3"/>
      <c r="AK49" s="3"/>
      <c r="AL49" s="3"/>
    </row>
    <row r="50" spans="1:38" x14ac:dyDescent="0.45">
      <c r="A50" s="2">
        <v>45728</v>
      </c>
      <c r="B50" s="3">
        <v>1.1273861000000001E-2</v>
      </c>
      <c r="C50" s="3">
        <v>2.8030753000000002E-2</v>
      </c>
      <c r="D50" s="3">
        <v>-3.4344494000000003E-2</v>
      </c>
      <c r="E50" s="3">
        <v>5.2896739999999998E-2</v>
      </c>
      <c r="F50" s="3">
        <v>5.8434010000000002E-2</v>
      </c>
      <c r="G50" s="3">
        <v>-1.028955E-3</v>
      </c>
      <c r="H50" s="3">
        <v>-6.3980044999999999E-2</v>
      </c>
      <c r="I50" s="3">
        <v>-3.2091676999999999E-2</v>
      </c>
      <c r="J50" s="3">
        <v>-1.7915606000000001E-2</v>
      </c>
      <c r="K50" s="3">
        <v>1.4322042E-2</v>
      </c>
      <c r="L50" s="3">
        <v>-3.3938467999999999E-2</v>
      </c>
      <c r="M50" s="3">
        <v>1.9615889000000001E-3</v>
      </c>
      <c r="N50" s="3">
        <v>0.11590123000000001</v>
      </c>
      <c r="O50" s="3">
        <v>-2.1485924999999999E-2</v>
      </c>
      <c r="P50" s="3">
        <v>7.2488903999999993E-2</v>
      </c>
      <c r="Q50" s="3">
        <v>1.0620475000000001E-2</v>
      </c>
      <c r="R50" s="3">
        <v>-9.6505279999999999E-2</v>
      </c>
      <c r="S50" s="3">
        <v>7.8554990000000005E-2</v>
      </c>
      <c r="T50" s="3">
        <v>-4.4419050000000002E-2</v>
      </c>
      <c r="U50" s="3">
        <v>0.11032652999999999</v>
      </c>
      <c r="V50" s="3">
        <v>-5.0260779999999998E-2</v>
      </c>
      <c r="W50" s="3">
        <v>-5.5543183999999995E-2</v>
      </c>
      <c r="X50" s="3">
        <v>-7.7197193999999997E-2</v>
      </c>
      <c r="Y50" s="3">
        <v>-5.0524289999999999E-2</v>
      </c>
      <c r="Z50" s="3">
        <v>6.2657355999999997E-2</v>
      </c>
      <c r="AA50" s="3">
        <v>2.2052288E-2</v>
      </c>
      <c r="AB50" s="3">
        <v>4.3608070000000006E-2</v>
      </c>
      <c r="AC50" s="3">
        <v>1.5039682E-2</v>
      </c>
      <c r="AD50" s="3">
        <v>-9.7255289999999994E-2</v>
      </c>
      <c r="AE50" s="3">
        <v>-7.3737086999999993E-2</v>
      </c>
      <c r="AF50" s="3">
        <v>3.4334779000000003E-2</v>
      </c>
      <c r="AG50" s="3">
        <v>4.5194625999999995E-3</v>
      </c>
      <c r="AH50" s="3">
        <v>1.8380641999999999E-2</v>
      </c>
      <c r="AI50" s="3">
        <v>6.3829780000000003E-2</v>
      </c>
      <c r="AJ50" s="3"/>
      <c r="AK50" s="3"/>
      <c r="AL50" s="3"/>
    </row>
    <row r="51" spans="1:38" x14ac:dyDescent="0.45">
      <c r="A51" s="2">
        <v>45758</v>
      </c>
      <c r="B51" s="3">
        <v>-4.7300816000000002E-2</v>
      </c>
      <c r="C51" s="3">
        <v>-3.2379030000000003E-2</v>
      </c>
      <c r="D51" s="3">
        <v>-5.9276875999999999E-2</v>
      </c>
      <c r="E51" s="3">
        <v>-4.7847033000000001E-3</v>
      </c>
      <c r="F51" s="3">
        <v>2.9444694999999996E-3</v>
      </c>
      <c r="G51" s="3">
        <v>8.093953000000001E-3</v>
      </c>
      <c r="H51" s="3">
        <v>-3.1070112999999999E-3</v>
      </c>
      <c r="I51" s="3">
        <v>-9.9664509999999998E-2</v>
      </c>
      <c r="J51" s="3">
        <v>-5.8846474000000008E-3</v>
      </c>
      <c r="K51" s="3">
        <v>-2.9311894999999998E-2</v>
      </c>
      <c r="L51" s="3">
        <v>8.5784196999999993E-3</v>
      </c>
      <c r="M51" s="3">
        <v>-7.6137185E-3</v>
      </c>
      <c r="N51" s="3">
        <v>-1.9850612E-2</v>
      </c>
      <c r="O51" s="3">
        <v>4.1658043999999998E-2</v>
      </c>
      <c r="P51" s="3">
        <v>-0.10695666</v>
      </c>
      <c r="Q51" s="3">
        <v>-2.5995553000000001E-2</v>
      </c>
      <c r="R51" s="3">
        <v>-2.7067602000000003E-2</v>
      </c>
      <c r="S51" s="3">
        <v>-0.14726203999999998</v>
      </c>
      <c r="T51" s="3">
        <v>-1.6090631000000001E-2</v>
      </c>
      <c r="U51" s="3">
        <v>-5.6438803999999995E-2</v>
      </c>
      <c r="V51" s="3">
        <v>-1.1982024000000001E-2</v>
      </c>
      <c r="W51" s="3">
        <v>1.1808871999999999E-3</v>
      </c>
      <c r="X51" s="3">
        <v>-2.3166000000000003E-2</v>
      </c>
      <c r="Y51" s="3">
        <v>7.5292590000000008E-4</v>
      </c>
      <c r="Z51" s="3">
        <v>-4.2642889999999996E-2</v>
      </c>
      <c r="AA51" s="3">
        <v>-5.3222060000000002E-2</v>
      </c>
      <c r="AB51" s="3">
        <v>-2.5949239999999998E-2</v>
      </c>
      <c r="AC51" s="3">
        <v>-4.1756450000000001E-2</v>
      </c>
      <c r="AD51" s="3">
        <v>-4.5829953999999999E-2</v>
      </c>
      <c r="AE51" s="3">
        <v>-4.173553E-2</v>
      </c>
      <c r="AF51" s="3">
        <v>-4.8816204000000002E-2</v>
      </c>
      <c r="AG51" s="3">
        <v>-4.8004923000000005E-2</v>
      </c>
      <c r="AH51" s="3">
        <v>-7.9049529999999993E-2</v>
      </c>
      <c r="AI51" s="3">
        <v>-4.6352982999999993E-2</v>
      </c>
      <c r="AJ51" s="3"/>
      <c r="AK51" s="3"/>
      <c r="AL51" s="3"/>
    </row>
    <row r="52" spans="1:38" x14ac:dyDescent="0.45">
      <c r="A52" s="2">
        <v>45789</v>
      </c>
      <c r="B52" s="3">
        <v>5.0203084999999995E-2</v>
      </c>
      <c r="C52" s="3">
        <v>0.13948572000000001</v>
      </c>
      <c r="D52" s="3">
        <v>9.6408250000000001E-2</v>
      </c>
      <c r="E52" s="3">
        <v>0.11177885</v>
      </c>
      <c r="F52" s="3">
        <v>0.11926603</v>
      </c>
      <c r="G52" s="3">
        <v>6.3086630000000005E-2</v>
      </c>
      <c r="H52" s="3">
        <v>9.0828179999999994E-2</v>
      </c>
      <c r="I52" s="3">
        <v>0.16067516000000001</v>
      </c>
      <c r="J52" s="3">
        <v>0.14127862999999999</v>
      </c>
      <c r="K52" s="3">
        <v>6.8679810000000008E-2</v>
      </c>
      <c r="L52" s="3">
        <v>0.11340618</v>
      </c>
      <c r="M52" s="3">
        <v>0.10017537999999999</v>
      </c>
      <c r="N52" s="3">
        <v>0.12369334999999999</v>
      </c>
      <c r="O52" s="3">
        <v>7.0134043999999993E-2</v>
      </c>
      <c r="P52" s="3">
        <v>0.10829306000000001</v>
      </c>
      <c r="Q52" s="3">
        <v>6.1896680000000003E-2</v>
      </c>
      <c r="R52" s="3">
        <v>7.2900534000000003E-2</v>
      </c>
      <c r="S52" s="3">
        <v>1.6832829000000001E-2</v>
      </c>
      <c r="T52" s="3">
        <v>9.8122229999999991E-2</v>
      </c>
      <c r="U52" s="3">
        <v>6.9081664000000001E-2</v>
      </c>
      <c r="V52" s="3">
        <v>1.1621952E-2</v>
      </c>
      <c r="W52" s="3">
        <v>5.5673479999999997E-2</v>
      </c>
      <c r="X52" s="3">
        <v>0.10584104999999999</v>
      </c>
      <c r="Y52" s="3">
        <v>8.0511680000000002E-2</v>
      </c>
      <c r="Z52" s="3">
        <v>0.11025572</v>
      </c>
      <c r="AA52" s="3">
        <v>0.10604679</v>
      </c>
      <c r="AB52" s="3">
        <v>4.8579809999999994E-2</v>
      </c>
      <c r="AC52" s="3">
        <v>7.5063350000000001E-2</v>
      </c>
      <c r="AD52" s="3">
        <v>0.11762762</v>
      </c>
      <c r="AE52" s="3">
        <v>9.1864219999999996E-2</v>
      </c>
      <c r="AF52" s="3">
        <v>7.2876573E-2</v>
      </c>
      <c r="AG52" s="3">
        <v>0.12639153</v>
      </c>
      <c r="AH52" s="3">
        <v>0.11858093</v>
      </c>
      <c r="AI52" s="3">
        <v>0.12657297000000001</v>
      </c>
      <c r="AJ52" s="3"/>
      <c r="AK52" s="3"/>
      <c r="AL52" s="3"/>
    </row>
    <row r="53" spans="1:38" x14ac:dyDescent="0.45">
      <c r="A53" s="2">
        <v>45820</v>
      </c>
      <c r="B53" s="3">
        <v>-1.0545253999999999E-3</v>
      </c>
      <c r="C53" s="3">
        <v>4.9458742000000003E-3</v>
      </c>
      <c r="D53" s="3">
        <v>8.6206910000000012E-2</v>
      </c>
      <c r="E53" s="3">
        <v>1.1891842E-2</v>
      </c>
      <c r="F53" s="3">
        <v>4.2622090000000003E-3</v>
      </c>
      <c r="G53" s="3">
        <v>8.593655E-2</v>
      </c>
      <c r="H53" s="3">
        <v>1.6326904000000001E-3</v>
      </c>
      <c r="I53" s="3">
        <v>7.1576952999999999E-2</v>
      </c>
      <c r="J53" s="3">
        <v>6.4488290000000004E-2</v>
      </c>
      <c r="K53" s="3">
        <v>0.16626464999999999</v>
      </c>
      <c r="L53" s="3">
        <v>2.4008750000000002E-2</v>
      </c>
      <c r="M53" s="3">
        <v>9.1253279999999992E-2</v>
      </c>
      <c r="N53" s="3">
        <v>0.1025194</v>
      </c>
      <c r="O53" s="3">
        <v>8.8365079999999999E-3</v>
      </c>
      <c r="P53" s="3">
        <v>1.3258219E-2</v>
      </c>
      <c r="Q53" s="3">
        <v>1.0695099999999999E-2</v>
      </c>
      <c r="R53" s="3">
        <v>-6.7980230000000003E-2</v>
      </c>
      <c r="S53" s="3">
        <v>-3.2188833E-2</v>
      </c>
      <c r="T53" s="3">
        <v>1.4616728000000001E-2</v>
      </c>
      <c r="U53" s="3">
        <v>5.2797437000000003E-2</v>
      </c>
      <c r="V53" s="3">
        <v>-4.9200830000000001E-2</v>
      </c>
      <c r="W53" s="3">
        <v>2.9497146999999998E-2</v>
      </c>
      <c r="X53" s="3">
        <v>5.7982445000000001E-2</v>
      </c>
      <c r="Y53" s="3">
        <v>6.7780850000000004E-2</v>
      </c>
      <c r="Z53" s="3">
        <v>4.5567154999999998E-2</v>
      </c>
      <c r="AA53" s="3">
        <v>1.9368052E-2</v>
      </c>
      <c r="AB53" s="3">
        <v>5.1186322999999999E-2</v>
      </c>
      <c r="AC53" s="3">
        <v>6.6422462000000002E-2</v>
      </c>
      <c r="AD53" s="3">
        <v>5.0822019999999996E-2</v>
      </c>
      <c r="AE53" s="3">
        <v>3.5609603000000004E-2</v>
      </c>
      <c r="AF53" s="3">
        <v>4.2095184000000001E-2</v>
      </c>
      <c r="AG53" s="3">
        <v>6.065893E-2</v>
      </c>
      <c r="AH53" s="3">
        <v>2.0625471999999999E-2</v>
      </c>
      <c r="AI53" s="3">
        <v>5.6723594999999995E-2</v>
      </c>
      <c r="AJ53" s="3"/>
      <c r="AK53" s="3"/>
      <c r="AL53" s="3"/>
    </row>
    <row r="54" spans="1:38" x14ac:dyDescent="0.45">
      <c r="A54" s="2">
        <v>45849</v>
      </c>
      <c r="B54" s="3">
        <v>3.1540750999999999E-2</v>
      </c>
      <c r="C54" s="3">
        <v>-4.1236876999999998E-2</v>
      </c>
      <c r="D54" s="3">
        <v>-2.9051779999999999E-2</v>
      </c>
      <c r="E54" s="3">
        <v>-2.2316873000000001E-2</v>
      </c>
      <c r="F54" s="3">
        <v>6.1295750000000003E-2</v>
      </c>
      <c r="G54" s="3">
        <v>2.3921131999999998E-2</v>
      </c>
      <c r="H54" s="3">
        <v>2.08354E-3</v>
      </c>
      <c r="I54" s="3">
        <v>2.7493834000000002E-2</v>
      </c>
      <c r="J54" s="3">
        <v>-5.7024956000000003E-3</v>
      </c>
      <c r="K54" s="3">
        <v>7.1945549999999997E-2</v>
      </c>
      <c r="L54" s="3">
        <v>-4.2275786000000003E-3</v>
      </c>
      <c r="M54" s="3">
        <v>-2.1270633000000001E-2</v>
      </c>
      <c r="N54" s="3">
        <v>8.8333844999999994E-2</v>
      </c>
      <c r="O54" s="3">
        <v>1.4598369999999999E-3</v>
      </c>
      <c r="P54" s="3">
        <v>-5.4672955999999998E-3</v>
      </c>
      <c r="Q54" s="3">
        <v>1.4833570000000001E-2</v>
      </c>
      <c r="R54" s="3">
        <v>-6.6364409999999999E-3</v>
      </c>
      <c r="S54" s="3">
        <v>6.6672443999999997E-2</v>
      </c>
      <c r="T54" s="3">
        <v>7.9748869999999999E-2</v>
      </c>
      <c r="U54" s="3">
        <v>0.13922155</v>
      </c>
      <c r="V54" s="3">
        <v>3.8802028000000002E-2</v>
      </c>
      <c r="W54" s="3">
        <v>2.6758910000000001E-3</v>
      </c>
      <c r="X54" s="3">
        <v>4.5590399999999994E-3</v>
      </c>
      <c r="Y54" s="3">
        <v>9.5305440000000002E-3</v>
      </c>
      <c r="Z54" s="3">
        <v>2.2053956999999999E-2</v>
      </c>
      <c r="AA54" s="3">
        <v>-1.7049074000000001E-2</v>
      </c>
      <c r="AB54" s="3">
        <v>-9.4012019999999991E-3</v>
      </c>
      <c r="AC54" s="3">
        <v>-1.0501146E-3</v>
      </c>
      <c r="AD54" s="3">
        <v>3.9643644999999998E-2</v>
      </c>
      <c r="AE54" s="3">
        <v>3.5971999999999997E-2</v>
      </c>
      <c r="AF54" s="3">
        <v>1.5802860000000002E-2</v>
      </c>
      <c r="AG54" s="3">
        <v>7.4244739999999995E-3</v>
      </c>
      <c r="AH54" s="3">
        <v>1.250124E-2</v>
      </c>
      <c r="AI54" s="3">
        <v>1.1920809999999999E-2</v>
      </c>
      <c r="AJ54" s="3"/>
      <c r="AK54" s="3"/>
      <c r="AL54" s="3"/>
    </row>
    <row r="55" spans="1:38" x14ac:dyDescent="0.45">
      <c r="A55" s="2">
        <v>45881</v>
      </c>
      <c r="B55" s="3">
        <v>5.2397249999999999E-2</v>
      </c>
      <c r="C55" s="3">
        <v>4.7853110000000004E-2</v>
      </c>
      <c r="D55" s="3">
        <v>4.1410210000000003E-2</v>
      </c>
      <c r="E55" s="3">
        <v>-2.1378517E-2</v>
      </c>
      <c r="F55" s="3">
        <v>6.3849806999999995E-2</v>
      </c>
      <c r="G55" s="3">
        <v>5.9799313999999999E-2</v>
      </c>
      <c r="H55" s="3">
        <v>3.5714269E-2</v>
      </c>
      <c r="I55" s="3">
        <v>4.7855973000000003E-2</v>
      </c>
      <c r="J55" s="3">
        <v>3.6587358E-2</v>
      </c>
      <c r="K55" s="3">
        <v>2.1223783E-2</v>
      </c>
      <c r="L55" s="3">
        <v>3.1238556000000001E-2</v>
      </c>
      <c r="M55" s="3">
        <v>8.5315230000000006E-2</v>
      </c>
      <c r="N55" s="3">
        <v>8.7883230000000007E-2</v>
      </c>
      <c r="O55" s="3">
        <v>-4.4005099999999998E-2</v>
      </c>
      <c r="P55" s="3">
        <v>6.8789840000000005E-2</v>
      </c>
      <c r="Q55" s="3">
        <v>8.2221030000000001E-2</v>
      </c>
      <c r="R55" s="3">
        <v>0.12303649999999999</v>
      </c>
      <c r="S55" s="3">
        <v>4.1302443000000001E-2</v>
      </c>
      <c r="T55" s="3">
        <v>4.8932909999999996E-2</v>
      </c>
      <c r="U55" s="3">
        <v>0.14586067</v>
      </c>
      <c r="V55" s="3">
        <v>-3.599894E-2</v>
      </c>
      <c r="W55" s="3">
        <v>-2.2071004000000002E-3</v>
      </c>
      <c r="X55" s="3">
        <v>2.2761703000000001E-2</v>
      </c>
      <c r="Y55" s="3">
        <v>2.9915451999999999E-2</v>
      </c>
      <c r="Z55" s="3">
        <v>-7.067144E-3</v>
      </c>
      <c r="AA55" s="3">
        <v>9.4941980000000009E-2</v>
      </c>
      <c r="AB55" s="3">
        <v>-1.6270578000000001E-2</v>
      </c>
      <c r="AC55" s="3">
        <v>2.7805686E-2</v>
      </c>
      <c r="AD55" s="3">
        <v>4.6643733999999999E-2</v>
      </c>
      <c r="AE55" s="3">
        <v>3.0579567000000002E-2</v>
      </c>
      <c r="AF55" s="3">
        <v>-9.0110900000000011E-3</v>
      </c>
      <c r="AG55" s="3">
        <v>-2.6513517E-2</v>
      </c>
      <c r="AH55" s="3">
        <v>9.2166660000000001E-3</v>
      </c>
      <c r="AI55" s="3">
        <v>5.5219769999999994E-2</v>
      </c>
      <c r="AJ55" s="3"/>
      <c r="AK55" s="3"/>
      <c r="AL55" s="3"/>
    </row>
    <row r="56" spans="1:38" x14ac:dyDescent="0.45">
      <c r="A56" s="2">
        <v>45912</v>
      </c>
      <c r="B56" s="3">
        <v>9.3394039999999998E-2</v>
      </c>
      <c r="C56" s="3">
        <v>3.9099215999999999E-2</v>
      </c>
      <c r="D56" s="3">
        <v>-4.1912974999999998E-2</v>
      </c>
      <c r="E56" s="3">
        <v>-2.8248608000000001E-2</v>
      </c>
      <c r="F56" s="3">
        <v>-5.0309E-2</v>
      </c>
      <c r="G56" s="3">
        <v>0.11628985</v>
      </c>
      <c r="H56" s="3">
        <v>2.1250963000000001E-2</v>
      </c>
      <c r="I56" s="3">
        <v>2.8482555999999999E-2</v>
      </c>
      <c r="J56" s="3">
        <v>6.0805439999999995E-2</v>
      </c>
      <c r="K56" s="3">
        <v>6.1538576999999997E-2</v>
      </c>
      <c r="L56" s="3">
        <v>5.7766913999999996E-2</v>
      </c>
      <c r="M56" s="3">
        <v>5.3391336999999997E-2</v>
      </c>
      <c r="N56" s="3">
        <v>-1.7784476E-2</v>
      </c>
      <c r="O56" s="3">
        <v>1.3056396999999999E-2</v>
      </c>
      <c r="P56" s="3">
        <v>8.8881379999999996E-2</v>
      </c>
      <c r="Q56" s="3">
        <v>-3.6013782000000001E-2</v>
      </c>
      <c r="R56" s="3">
        <v>2.7440905999999998E-2</v>
      </c>
      <c r="S56" s="3">
        <v>-6.5720916000000004E-2</v>
      </c>
      <c r="T56" s="3">
        <v>-4.8635187000000003E-2</v>
      </c>
      <c r="U56" s="3">
        <v>3.0389786000000002E-2</v>
      </c>
      <c r="V56" s="3">
        <v>-2.0538807000000003E-2</v>
      </c>
      <c r="W56" s="3">
        <v>2.3675559999999998E-2</v>
      </c>
      <c r="X56" s="3">
        <v>1.0385752E-2</v>
      </c>
      <c r="Y56" s="3">
        <v>4.3990729999999999E-2</v>
      </c>
      <c r="Z56" s="3">
        <v>-1.9928813E-2</v>
      </c>
      <c r="AA56" s="3">
        <v>1.9310832E-2</v>
      </c>
      <c r="AB56" s="3">
        <v>3.4194349999999998E-2</v>
      </c>
      <c r="AC56" s="3">
        <v>2.2178887999999997E-2</v>
      </c>
      <c r="AD56" s="3">
        <v>1.1395573999999999E-2</v>
      </c>
      <c r="AE56" s="3">
        <v>2.2903679999999999E-2</v>
      </c>
      <c r="AF56" s="3">
        <v>1.3989329E-2</v>
      </c>
      <c r="AG56" s="3">
        <v>3.1955480000000001E-2</v>
      </c>
      <c r="AH56" s="3">
        <v>2.7179836999999998E-2</v>
      </c>
      <c r="AI56" s="3">
        <v>2.1327018999999999E-2</v>
      </c>
      <c r="AJ56" s="3"/>
      <c r="AK56" s="3"/>
      <c r="AL56" s="3"/>
    </row>
    <row r="57" spans="1:38" x14ac:dyDescent="0.45">
      <c r="A57" s="2">
        <v>45940</v>
      </c>
      <c r="B57" s="3">
        <v>-2.0238100999999998E-2</v>
      </c>
      <c r="C57" s="3">
        <v>-5.1776049999999997E-2</v>
      </c>
      <c r="D57" s="3">
        <v>-2.9164374E-2</v>
      </c>
      <c r="E57" s="3">
        <v>-3.6046445000000003E-2</v>
      </c>
      <c r="F57" s="3">
        <v>-1.54894E-2</v>
      </c>
      <c r="G57" s="3">
        <v>5.4389953999999997E-2</v>
      </c>
      <c r="H57" s="3">
        <v>-5.4966210000000001E-3</v>
      </c>
      <c r="I57" s="3">
        <v>-1.9258379999999999E-2</v>
      </c>
      <c r="J57" s="3">
        <v>-2.6164591000000001E-2</v>
      </c>
      <c r="K57" s="3">
        <v>2.6188612E-2</v>
      </c>
      <c r="L57" s="3">
        <v>-4.1292010000000004E-2</v>
      </c>
      <c r="M57" s="3">
        <v>4.5402049999999999E-2</v>
      </c>
      <c r="N57" s="3">
        <v>4.2964219999999994E-3</v>
      </c>
      <c r="O57" s="3">
        <v>-7.1495770000000007E-3</v>
      </c>
      <c r="P57" s="3">
        <v>-4.0031313999999998E-2</v>
      </c>
      <c r="Q57" s="3">
        <v>-1.5864968E-2</v>
      </c>
      <c r="R57" s="3">
        <v>-5.1329135999999996E-3</v>
      </c>
      <c r="S57" s="3">
        <v>1.7663478999999999E-2</v>
      </c>
      <c r="T57" s="3">
        <v>-8.8680387000000006E-3</v>
      </c>
      <c r="U57" s="3">
        <v>5.6204796000000001E-2</v>
      </c>
      <c r="V57" s="3">
        <v>8.4150310000000006E-2</v>
      </c>
      <c r="W57" s="3">
        <v>-2.0004332E-2</v>
      </c>
      <c r="X57" s="3">
        <v>-2.9368519999999999E-2</v>
      </c>
      <c r="Y57" s="3">
        <v>5.2419899999999993E-3</v>
      </c>
      <c r="Z57" s="3">
        <v>5.0834420000000005E-3</v>
      </c>
      <c r="AA57" s="3">
        <v>-2.9717684000000001E-2</v>
      </c>
      <c r="AB57" s="3">
        <v>8.0862045000000011E-3</v>
      </c>
      <c r="AC57" s="3">
        <v>-5.0071480000000003E-3</v>
      </c>
      <c r="AD57" s="3">
        <v>5.9989689999999998E-3</v>
      </c>
      <c r="AE57" s="3">
        <v>-3.9371848000000001E-3</v>
      </c>
      <c r="AF57" s="3">
        <v>-4.5987963999999997E-3</v>
      </c>
      <c r="AG57" s="3">
        <v>3.6223888000000003E-2</v>
      </c>
      <c r="AH57" s="3">
        <v>-6.7740080000000006E-3</v>
      </c>
      <c r="AI57" s="3">
        <v>-2.7262151000000002E-2</v>
      </c>
      <c r="AJ57" s="3"/>
      <c r="AK57" s="3"/>
      <c r="AL57" s="3"/>
    </row>
    <row r="58" spans="1:38" x14ac:dyDescent="0.45">
      <c r="A58" s="2">
        <v>45973</v>
      </c>
      <c r="B58" s="3">
        <v>4.5868874000000004E-2</v>
      </c>
      <c r="C58" s="3">
        <v>0.18285704</v>
      </c>
      <c r="D58" s="3">
        <v>6.5280199999999997E-2</v>
      </c>
      <c r="E58" s="3">
        <v>-5.1065563999999994E-2</v>
      </c>
      <c r="F58" s="3">
        <v>8.3070989999999997E-2</v>
      </c>
      <c r="G58" s="3">
        <v>5.6969285000000001E-2</v>
      </c>
      <c r="H58" s="3">
        <v>4.7374724999999999E-2</v>
      </c>
      <c r="I58" s="3">
        <v>6.1506033000000002E-2</v>
      </c>
      <c r="J58" s="3">
        <v>5.8549522999999999E-2</v>
      </c>
      <c r="K58" s="3">
        <v>0.18830526</v>
      </c>
      <c r="L58" s="3">
        <v>0.15387285000000001</v>
      </c>
      <c r="M58" s="3">
        <v>7.5173736000000005E-2</v>
      </c>
      <c r="N58" s="3">
        <v>-1.7265022000000001E-2</v>
      </c>
      <c r="O58" s="3">
        <v>3.3920764999999999E-2</v>
      </c>
      <c r="P58" s="3">
        <v>5.1962852000000004E-2</v>
      </c>
      <c r="Q58" s="3">
        <v>1.6900658999999998E-2</v>
      </c>
      <c r="R58" s="3">
        <v>-1.6860365999999999E-3</v>
      </c>
      <c r="S58" s="3">
        <v>5.7855844E-3</v>
      </c>
      <c r="T58" s="3">
        <v>2.5263190000000001E-2</v>
      </c>
      <c r="U58" s="3">
        <v>-7.6396169999999999E-2</v>
      </c>
      <c r="V58" s="3">
        <v>-1.6076446000000001E-2</v>
      </c>
      <c r="W58" s="3">
        <v>-3.2267570000000002E-3</v>
      </c>
      <c r="X58" s="3">
        <v>5.2950379999999993E-3</v>
      </c>
      <c r="Y58" s="3">
        <v>3.7906170000000003E-2</v>
      </c>
      <c r="Z58" s="3">
        <v>3.8535595000000001E-3</v>
      </c>
      <c r="AA58" s="3">
        <v>7.6314450000000006E-2</v>
      </c>
      <c r="AB58" s="3">
        <v>3.4937619999999996E-2</v>
      </c>
      <c r="AC58" s="3">
        <v>4.2655110000000003E-2</v>
      </c>
      <c r="AD58" s="3">
        <v>5.3570867000000001E-2</v>
      </c>
      <c r="AE58" s="3">
        <v>4.6491623000000003E-2</v>
      </c>
      <c r="AF58" s="3">
        <v>4.2734979999999999E-2</v>
      </c>
      <c r="AG58" s="3">
        <v>4.2196274000000006E-2</v>
      </c>
      <c r="AH58" s="3">
        <v>4.049444E-2</v>
      </c>
      <c r="AI58" s="3">
        <v>7.5730443000000008E-2</v>
      </c>
      <c r="AJ58" s="3"/>
      <c r="AK58" s="3"/>
      <c r="AL58" s="3"/>
    </row>
    <row r="59" spans="1:38" x14ac:dyDescent="0.45">
      <c r="A59" s="2">
        <v>46003</v>
      </c>
      <c r="B59" s="3">
        <v>-1.0165512999999999E-2</v>
      </c>
      <c r="C59" s="3">
        <v>6.7632914000000002E-2</v>
      </c>
      <c r="D59" s="3">
        <v>1.7353535E-2</v>
      </c>
      <c r="E59" s="3">
        <v>5.5084704999999998E-2</v>
      </c>
      <c r="F59" s="3">
        <v>2.2661327999999998E-2</v>
      </c>
      <c r="G59" s="3">
        <v>7.6421379999999997E-2</v>
      </c>
      <c r="H59" s="3">
        <v>1.6961931999999999E-2</v>
      </c>
      <c r="I59" s="3">
        <v>-2.0027578000000001E-2</v>
      </c>
      <c r="J59" s="3">
        <v>3.7118553999999998E-2</v>
      </c>
      <c r="K59" s="3">
        <v>-3.3882379999999997E-2</v>
      </c>
      <c r="L59" s="3">
        <v>3.0101538000000001E-3</v>
      </c>
      <c r="M59" s="3">
        <v>8.0786942999999996E-3</v>
      </c>
      <c r="N59" s="3">
        <v>4.5397996999999995E-2</v>
      </c>
      <c r="O59" s="3">
        <v>-2.6026428000000001E-2</v>
      </c>
      <c r="P59" s="3">
        <v>-4.7383126999999997E-2</v>
      </c>
      <c r="Q59" s="3">
        <v>-1.2017429E-2</v>
      </c>
      <c r="R59" s="3">
        <v>-2.3902415999999999E-2</v>
      </c>
      <c r="S59" s="3">
        <v>5.4193140000000001E-2</v>
      </c>
      <c r="T59" s="3">
        <v>-6.673455E-3</v>
      </c>
      <c r="U59" s="3">
        <v>-2.2818446000000001E-3</v>
      </c>
      <c r="V59" s="3">
        <v>-4.5187530000000004E-2</v>
      </c>
      <c r="W59" s="3">
        <v>1.1564493E-3</v>
      </c>
      <c r="X59" s="3">
        <v>-2.2572874999999999E-3</v>
      </c>
      <c r="Y59" s="3">
        <v>4.1352630000000001E-2</v>
      </c>
      <c r="Z59" s="3">
        <v>1.1996150000000001E-2</v>
      </c>
      <c r="AA59" s="3">
        <v>-4.0312409999999996E-3</v>
      </c>
      <c r="AB59" s="3">
        <v>5.3392649999999993E-3</v>
      </c>
      <c r="AC59" s="3">
        <v>-5.2861570000000005E-3</v>
      </c>
      <c r="AD59" s="3">
        <v>-1.2011348999999999E-2</v>
      </c>
      <c r="AE59" s="3">
        <v>-2.3705363E-3</v>
      </c>
      <c r="AF59" s="3">
        <v>-5.7598349999999996E-3</v>
      </c>
      <c r="AG59" s="3">
        <v>-7.2844625E-3</v>
      </c>
      <c r="AH59" s="3">
        <v>1.1470795000000001E-2</v>
      </c>
      <c r="AI59" s="3">
        <v>-8.4996223000000006E-3</v>
      </c>
      <c r="AJ59" s="3"/>
      <c r="AK59" s="3"/>
      <c r="AL59" s="3"/>
    </row>
    <row r="60" spans="1:38" x14ac:dyDescent="0.45">
      <c r="A60" s="2">
        <v>46034</v>
      </c>
      <c r="B60" s="3">
        <v>8.0713389999999996E-2</v>
      </c>
      <c r="C60" s="3">
        <v>0.10672701</v>
      </c>
      <c r="D60" s="3">
        <v>2.2073626999999998E-2</v>
      </c>
      <c r="E60" s="3">
        <v>6.9039701999999994E-2</v>
      </c>
      <c r="F60" s="3">
        <v>6.8646550000000001E-2</v>
      </c>
      <c r="G60" s="3">
        <v>0.16710842000000001</v>
      </c>
      <c r="H60" s="3">
        <v>5.3156733999999997E-2</v>
      </c>
      <c r="I60" s="3">
        <v>8.7200760000000002E-2</v>
      </c>
      <c r="J60" s="3">
        <v>3.919363E-2</v>
      </c>
      <c r="K60" s="3">
        <v>0.20220958999999999</v>
      </c>
      <c r="L60" s="3">
        <v>2.3795365999999998E-2</v>
      </c>
      <c r="M60" s="3">
        <v>0.11876189999999999</v>
      </c>
      <c r="N60" s="3">
        <v>5.523753E-2</v>
      </c>
      <c r="O60" s="3">
        <v>4.8928260000000003E-3</v>
      </c>
      <c r="P60" s="3">
        <v>5.7398439999999995E-2</v>
      </c>
      <c r="Q60" s="3">
        <v>2.7309537000000002E-2</v>
      </c>
      <c r="R60" s="3">
        <v>-9.488880600000001E-3</v>
      </c>
      <c r="S60" s="3">
        <v>8.9275839999999995E-2</v>
      </c>
      <c r="T60" s="3">
        <v>2.0225882999999997E-2</v>
      </c>
      <c r="U60" s="3">
        <v>0.12693905999999999</v>
      </c>
      <c r="V60" s="3">
        <v>2.3544908000000003E-2</v>
      </c>
      <c r="W60" s="3">
        <v>2.1388054E-2</v>
      </c>
      <c r="X60" s="3">
        <v>1.4496683999999999E-2</v>
      </c>
      <c r="Y60" s="3">
        <v>3.1431317E-2</v>
      </c>
      <c r="Z60" s="3">
        <v>3.9118052E-2</v>
      </c>
      <c r="AA60" s="3">
        <v>5.3803444000000006E-2</v>
      </c>
      <c r="AB60" s="3">
        <v>3.8718581000000002E-2</v>
      </c>
      <c r="AC60" s="3">
        <v>6.2035679999999996E-2</v>
      </c>
      <c r="AD60" s="3">
        <v>2.3392916E-2</v>
      </c>
      <c r="AE60" s="3">
        <v>2.2641420000000002E-2</v>
      </c>
      <c r="AF60" s="3">
        <v>3.2396674E-2</v>
      </c>
      <c r="AG60" s="3">
        <v>8.1540219999999997E-2</v>
      </c>
      <c r="AH60" s="3">
        <v>4.3835639999999995E-2</v>
      </c>
      <c r="AI60" s="3">
        <v>4.4445275999999999E-2</v>
      </c>
      <c r="AJ60" s="3"/>
      <c r="AK60" s="3"/>
      <c r="AL60" s="3"/>
    </row>
    <row r="61" spans="1:38" x14ac:dyDescent="0.45">
      <c r="A61" s="2">
        <v>46065</v>
      </c>
      <c r="B61" s="3">
        <v>-1.8492937000000001E-2</v>
      </c>
      <c r="C61" s="3">
        <v>8.6619853999999989E-3</v>
      </c>
      <c r="D61" s="3">
        <v>-5.7925224000000004E-2</v>
      </c>
      <c r="E61" s="3">
        <v>2.0068169E-2</v>
      </c>
      <c r="F61" s="3">
        <v>4.2056084000000001E-2</v>
      </c>
      <c r="G61" s="3">
        <v>8.0446829999999997E-2</v>
      </c>
      <c r="H61" s="3">
        <v>6.2209487000000001E-2</v>
      </c>
      <c r="I61" s="3">
        <v>8.9162350000000001E-2</v>
      </c>
      <c r="J61" s="3">
        <v>0.10907578000000001</v>
      </c>
      <c r="K61" s="3">
        <v>0.20077122</v>
      </c>
      <c r="L61" s="3">
        <v>0.16884304</v>
      </c>
      <c r="M61" s="3">
        <v>1.8823862E-2</v>
      </c>
      <c r="N61" s="3">
        <v>5.8569549999999998E-2</v>
      </c>
      <c r="O61" s="3">
        <v>-5.4307579999999999E-3</v>
      </c>
      <c r="P61" s="3">
        <v>-5.7267369999999998E-2</v>
      </c>
      <c r="Q61" s="3">
        <v>2.3717641999999997E-2</v>
      </c>
      <c r="R61" s="3">
        <v>0.16046534999999998</v>
      </c>
      <c r="S61" s="3">
        <v>0.11640919</v>
      </c>
      <c r="T61" s="3">
        <v>0.11969316499999999</v>
      </c>
      <c r="U61" s="3">
        <v>-5.8973074E-2</v>
      </c>
      <c r="V61" s="3">
        <v>2.9613971999999999E-2</v>
      </c>
      <c r="W61" s="3">
        <v>2.9431699999999998E-2</v>
      </c>
      <c r="X61" s="3">
        <v>0.10018897</v>
      </c>
      <c r="Y61" s="3">
        <v>3.0858517000000004E-3</v>
      </c>
      <c r="Z61" s="3">
        <v>2.9659269999999997E-3</v>
      </c>
      <c r="AA61" s="3">
        <v>9.4735619999999993E-2</v>
      </c>
      <c r="AB61" s="3">
        <v>4.6676517000000001E-2</v>
      </c>
      <c r="AC61" s="3">
        <v>4.2581439999999998E-2</v>
      </c>
      <c r="AD61" s="3">
        <v>-4.2301060000000001E-2</v>
      </c>
      <c r="AE61" s="3">
        <v>-1.9980967000000002E-2</v>
      </c>
      <c r="AF61" s="3">
        <v>1.2581348000000001E-2</v>
      </c>
      <c r="AG61" s="3">
        <v>8.0274343000000005E-3</v>
      </c>
      <c r="AH61" s="3">
        <v>4.9302696999999999E-2</v>
      </c>
      <c r="AI61" s="3">
        <v>2.1692038E-2</v>
      </c>
      <c r="AJ61" s="3"/>
      <c r="AK61" s="3"/>
      <c r="AL61" s="3"/>
    </row>
    <row r="62" spans="1:38" x14ac:dyDescent="0.45">
      <c r="A62" s="2">
        <v>46093</v>
      </c>
      <c r="B62" s="3">
        <v>-1.1248588599999999E-3</v>
      </c>
      <c r="C62" s="3">
        <v>-0.11231642999999999</v>
      </c>
      <c r="D62" s="3">
        <v>-0.11347120999999999</v>
      </c>
      <c r="E62" s="3">
        <v>-6.9413543000000008E-2</v>
      </c>
      <c r="F62" s="3">
        <v>-8.0189939999999987E-2</v>
      </c>
      <c r="G62" s="3">
        <v>-5.8370709999999999E-2</v>
      </c>
      <c r="H62" s="3">
        <v>-3.9717197000000003E-2</v>
      </c>
      <c r="I62" s="3">
        <v>-3.8588703000000002E-2</v>
      </c>
      <c r="J62" s="3">
        <v>-9.6971989999999994E-2</v>
      </c>
      <c r="K62" s="3">
        <v>-5.5810393999999999E-2</v>
      </c>
      <c r="L62" s="3">
        <v>-6.1574515999999996E-2</v>
      </c>
      <c r="M62" s="3">
        <v>-6.9184120000000002E-2</v>
      </c>
      <c r="N62" s="3">
        <v>-0.11895054999999999</v>
      </c>
      <c r="O62" s="3">
        <v>-8.6424409999999993E-2</v>
      </c>
      <c r="P62" s="3">
        <v>-4.7870635999999994E-2</v>
      </c>
      <c r="Q62" s="3">
        <v>-6.8493129999999999E-2</v>
      </c>
      <c r="R62" s="3">
        <v>-8.137166500000001E-3</v>
      </c>
      <c r="S62" s="3">
        <v>-6.1321855000000002E-2</v>
      </c>
      <c r="T62" s="3">
        <v>-0.18273186</v>
      </c>
      <c r="U62" s="3">
        <v>-9.5083769999999998E-2</v>
      </c>
      <c r="V62" s="3">
        <v>-2.6707709999999999E-2</v>
      </c>
      <c r="W62" s="3">
        <v>-5.8821917000000001E-2</v>
      </c>
      <c r="X62" s="3">
        <v>-2.3367703E-2</v>
      </c>
      <c r="Y62" s="3">
        <v>1.0676860999999999E-2</v>
      </c>
      <c r="Z62" s="3">
        <v>-8.2347569999999995E-2</v>
      </c>
      <c r="AA62" s="3">
        <v>-9.8318519999999993E-2</v>
      </c>
      <c r="AB62" s="3">
        <v>-6.4607620000000004E-2</v>
      </c>
      <c r="AC62" s="3">
        <v>-2.4037359999999997E-2</v>
      </c>
      <c r="AD62" s="3">
        <v>-5.6273340000000003E-3</v>
      </c>
      <c r="AE62" s="3">
        <v>-2.2325992999999999E-2</v>
      </c>
      <c r="AF62" s="3">
        <v>-6.6409589999999991E-2</v>
      </c>
      <c r="AG62" s="3">
        <v>-4.1768254999999997E-2</v>
      </c>
      <c r="AH62" s="3">
        <v>-5.4099560000000005E-2</v>
      </c>
      <c r="AI62" s="3">
        <v>-6.8471313000000006E-2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-1.1248588599999999E-3</v>
      </c>
      <c r="C67" s="3">
        <f t="shared" ref="C67:AI67" si="2">C62</f>
        <v>-0.11231642999999999</v>
      </c>
      <c r="D67" s="3">
        <f t="shared" si="2"/>
        <v>-0.11347120999999999</v>
      </c>
      <c r="E67" s="3">
        <f t="shared" si="2"/>
        <v>-6.9413543000000008E-2</v>
      </c>
      <c r="F67" s="3">
        <f t="shared" si="2"/>
        <v>-8.0189939999999987E-2</v>
      </c>
      <c r="G67" s="3">
        <f t="shared" si="2"/>
        <v>-5.8370709999999999E-2</v>
      </c>
      <c r="H67" s="3">
        <f t="shared" si="2"/>
        <v>-3.9717197000000003E-2</v>
      </c>
      <c r="I67" s="3">
        <f t="shared" si="2"/>
        <v>-3.8588703000000002E-2</v>
      </c>
      <c r="J67" s="3">
        <f t="shared" si="2"/>
        <v>-9.6971989999999994E-2</v>
      </c>
      <c r="K67" s="3">
        <f t="shared" si="2"/>
        <v>-5.5810393999999999E-2</v>
      </c>
      <c r="L67" s="3">
        <f t="shared" si="2"/>
        <v>-6.1574515999999996E-2</v>
      </c>
      <c r="M67" s="3">
        <f t="shared" si="2"/>
        <v>-6.9184120000000002E-2</v>
      </c>
      <c r="N67" s="3">
        <f t="shared" si="2"/>
        <v>-0.11895054999999999</v>
      </c>
      <c r="O67" s="3">
        <f t="shared" si="2"/>
        <v>-8.6424409999999993E-2</v>
      </c>
      <c r="P67" s="3">
        <f t="shared" si="2"/>
        <v>-4.7870635999999994E-2</v>
      </c>
      <c r="Q67" s="3">
        <f t="shared" si="2"/>
        <v>-6.8493129999999999E-2</v>
      </c>
      <c r="R67" s="3">
        <f t="shared" si="2"/>
        <v>-8.137166500000001E-3</v>
      </c>
      <c r="S67" s="3">
        <f t="shared" si="2"/>
        <v>-6.1321855000000002E-2</v>
      </c>
      <c r="T67" s="3">
        <f t="shared" si="2"/>
        <v>-0.18273186</v>
      </c>
      <c r="U67" s="3">
        <f t="shared" si="2"/>
        <v>-9.5083769999999998E-2</v>
      </c>
      <c r="V67" s="3">
        <f t="shared" si="2"/>
        <v>-2.6707709999999999E-2</v>
      </c>
      <c r="W67" s="3">
        <f t="shared" si="2"/>
        <v>-5.8821917000000001E-2</v>
      </c>
      <c r="X67" s="3">
        <f t="shared" si="2"/>
        <v>-2.3367703E-2</v>
      </c>
      <c r="Y67" s="3">
        <f t="shared" si="2"/>
        <v>1.0676860999999999E-2</v>
      </c>
      <c r="Z67" s="3">
        <f t="shared" si="2"/>
        <v>-8.2347569999999995E-2</v>
      </c>
      <c r="AA67" s="3">
        <f t="shared" si="2"/>
        <v>-9.8318519999999993E-2</v>
      </c>
      <c r="AB67" s="3">
        <f t="shared" si="2"/>
        <v>-6.4607620000000004E-2</v>
      </c>
      <c r="AC67" s="3">
        <f t="shared" si="2"/>
        <v>-2.4037359999999997E-2</v>
      </c>
      <c r="AD67" s="3">
        <f t="shared" si="2"/>
        <v>-5.6273340000000003E-3</v>
      </c>
      <c r="AE67" s="3">
        <f t="shared" si="2"/>
        <v>-2.2325992999999999E-2</v>
      </c>
      <c r="AF67" s="3">
        <f t="shared" si="2"/>
        <v>-6.6409589999999991E-2</v>
      </c>
      <c r="AG67" s="3">
        <f t="shared" si="2"/>
        <v>-4.1768254999999997E-2</v>
      </c>
      <c r="AH67" s="3">
        <f t="shared" si="2"/>
        <v>-5.4099560000000005E-2</v>
      </c>
      <c r="AI67" s="3">
        <f t="shared" si="2"/>
        <v>-6.8471313000000006E-2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-1.382196741967214E-3</v>
      </c>
      <c r="C68" s="4">
        <f t="shared" si="3"/>
        <v>1.0049565963934423E-2</v>
      </c>
      <c r="D68" s="4">
        <f t="shared" si="3"/>
        <v>-2.8744347245901643E-3</v>
      </c>
      <c r="E68" s="4">
        <f t="shared" si="3"/>
        <v>-8.1552241639344289E-4</v>
      </c>
      <c r="F68" s="4">
        <f t="shared" si="3"/>
        <v>1.7167099172131148E-2</v>
      </c>
      <c r="G68" s="4">
        <f t="shared" si="3"/>
        <v>1.9309053509836069E-2</v>
      </c>
      <c r="H68" s="4">
        <f t="shared" si="3"/>
        <v>4.4480238885245896E-3</v>
      </c>
      <c r="I68" s="4">
        <f t="shared" si="3"/>
        <v>1.0999946840491803E-2</v>
      </c>
      <c r="J68" s="4">
        <f t="shared" si="3"/>
        <v>1.3323689636393443E-2</v>
      </c>
      <c r="K68" s="4">
        <f t="shared" si="3"/>
        <v>9.2009139885245901E-3</v>
      </c>
      <c r="L68" s="4">
        <f t="shared" si="3"/>
        <v>9.3387100393442658E-3</v>
      </c>
      <c r="M68" s="4">
        <f t="shared" si="3"/>
        <v>1.1506367940983607E-2</v>
      </c>
      <c r="N68" s="4">
        <f t="shared" si="3"/>
        <v>2.1302602306557377E-2</v>
      </c>
      <c r="O68" s="4">
        <f t="shared" si="3"/>
        <v>4.2573038588524592E-3</v>
      </c>
      <c r="P68" s="4">
        <f t="shared" si="3"/>
        <v>-3.1820873803278709E-3</v>
      </c>
      <c r="Q68" s="4">
        <f t="shared" si="3"/>
        <v>4.2150225442622929E-3</v>
      </c>
      <c r="R68" s="4">
        <f t="shared" si="3"/>
        <v>1.2427079180327808E-4</v>
      </c>
      <c r="S68" s="4">
        <f t="shared" si="3"/>
        <v>1.2078221496721313E-2</v>
      </c>
      <c r="T68" s="4">
        <f t="shared" si="3"/>
        <v>9.8745110363278651E-3</v>
      </c>
      <c r="U68" s="4">
        <f t="shared" si="3"/>
        <v>2.3668265147540985E-3</v>
      </c>
      <c r="V68" s="4">
        <f t="shared" si="3"/>
        <v>6.0078924770491787E-3</v>
      </c>
      <c r="W68" s="4">
        <f t="shared" si="3"/>
        <v>-3.1212967157377052E-3</v>
      </c>
      <c r="X68" s="4">
        <f t="shared" si="3"/>
        <v>6.8295403065573761E-3</v>
      </c>
      <c r="Y68" s="4">
        <f t="shared" si="3"/>
        <v>1.1587252275409833E-2</v>
      </c>
      <c r="Z68" s="4">
        <f t="shared" si="3"/>
        <v>7.4063619262295082E-3</v>
      </c>
      <c r="AA68" s="4">
        <f t="shared" si="3"/>
        <v>5.9280024098360669E-3</v>
      </c>
      <c r="AB68" s="4">
        <f t="shared" si="3"/>
        <v>7.455886714754098E-3</v>
      </c>
      <c r="AC68" s="4">
        <f t="shared" si="3"/>
        <v>1.1058614659016393E-2</v>
      </c>
      <c r="AD68" s="4">
        <f t="shared" si="3"/>
        <v>1.1829729596721314E-2</v>
      </c>
      <c r="AE68" s="4">
        <f t="shared" si="3"/>
        <v>1.0904155487213116E-2</v>
      </c>
      <c r="AF68" s="4">
        <f t="shared" si="3"/>
        <v>8.2150170180327869E-3</v>
      </c>
      <c r="AG68" s="4">
        <f t="shared" si="3"/>
        <v>8.4601478327868841E-3</v>
      </c>
      <c r="AH68" s="4">
        <f t="shared" si="3"/>
        <v>7.8704283606557367E-3</v>
      </c>
      <c r="AI68" s="4">
        <f t="shared" si="3"/>
        <v>1.3819552281967216E-2</v>
      </c>
    </row>
    <row r="69" spans="1:38" x14ac:dyDescent="0.45">
      <c r="A69" t="s">
        <v>21</v>
      </c>
      <c r="B69" s="4">
        <f t="shared" ref="B69:AI69" si="4">STDEV(B40:B62)</f>
        <v>7.0143678693323816E-2</v>
      </c>
      <c r="C69" s="4">
        <f t="shared" si="4"/>
        <v>7.2541168445456439E-2</v>
      </c>
      <c r="D69" s="4">
        <f t="shared" si="4"/>
        <v>5.9666906204381233E-2</v>
      </c>
      <c r="E69" s="4">
        <f t="shared" si="4"/>
        <v>5.1147399965589063E-2</v>
      </c>
      <c r="F69" s="4">
        <f t="shared" si="4"/>
        <v>6.8371187423469856E-2</v>
      </c>
      <c r="G69" s="4">
        <f t="shared" si="4"/>
        <v>5.7704006590907998E-2</v>
      </c>
      <c r="H69" s="4">
        <f t="shared" si="4"/>
        <v>3.7701049121320995E-2</v>
      </c>
      <c r="I69" s="4">
        <f t="shared" si="4"/>
        <v>6.0156669325298354E-2</v>
      </c>
      <c r="J69" s="4">
        <f t="shared" si="4"/>
        <v>7.8557236260606442E-2</v>
      </c>
      <c r="K69" s="4">
        <f t="shared" si="4"/>
        <v>8.5490643507454625E-2</v>
      </c>
      <c r="L69" s="4">
        <f t="shared" si="4"/>
        <v>7.2616648403461437E-2</v>
      </c>
      <c r="M69" s="4">
        <f t="shared" si="4"/>
        <v>6.4412401670947361E-2</v>
      </c>
      <c r="N69" s="4">
        <f t="shared" si="4"/>
        <v>5.8237593482694743E-2</v>
      </c>
      <c r="O69" s="4">
        <f t="shared" si="4"/>
        <v>4.0660505957560163E-2</v>
      </c>
      <c r="P69" s="4">
        <f t="shared" si="4"/>
        <v>9.7141058355530024E-2</v>
      </c>
      <c r="Q69" s="4">
        <f t="shared" si="4"/>
        <v>3.3016266593301404E-2</v>
      </c>
      <c r="R69" s="4">
        <f t="shared" si="4"/>
        <v>6.1032635209187593E-2</v>
      </c>
      <c r="S69" s="4">
        <f t="shared" si="4"/>
        <v>7.1404514135098338E-2</v>
      </c>
      <c r="T69" s="4">
        <f t="shared" si="4"/>
        <v>6.2315675671119203E-2</v>
      </c>
      <c r="U69" s="4">
        <f t="shared" si="4"/>
        <v>7.2812934230048892E-2</v>
      </c>
      <c r="V69" s="4">
        <f t="shared" si="4"/>
        <v>3.3605315593071283E-2</v>
      </c>
      <c r="W69" s="4">
        <f t="shared" si="4"/>
        <v>3.4128685500371618E-2</v>
      </c>
      <c r="X69" s="4">
        <f t="shared" si="4"/>
        <v>4.7297970335735511E-2</v>
      </c>
      <c r="Y69" s="4">
        <f t="shared" si="4"/>
        <v>3.2979820506789874E-2</v>
      </c>
      <c r="Z69" s="4">
        <f t="shared" si="4"/>
        <v>5.0425927728479543E-2</v>
      </c>
      <c r="AA69" s="4">
        <f t="shared" si="4"/>
        <v>5.6289771405650342E-2</v>
      </c>
      <c r="AB69" s="4">
        <f t="shared" si="4"/>
        <v>3.8086154851870634E-2</v>
      </c>
      <c r="AC69" s="4">
        <f t="shared" si="4"/>
        <v>3.9755526097296295E-2</v>
      </c>
      <c r="AD69" s="4">
        <f t="shared" si="4"/>
        <v>5.0709761097946955E-2</v>
      </c>
      <c r="AE69" s="4">
        <f t="shared" si="4"/>
        <v>3.8540770153516576E-2</v>
      </c>
      <c r="AF69" s="4">
        <f t="shared" si="4"/>
        <v>4.419124357549585E-2</v>
      </c>
      <c r="AG69" s="4">
        <f t="shared" si="4"/>
        <v>5.2862758357374778E-2</v>
      </c>
      <c r="AH69" s="4">
        <f t="shared" si="4"/>
        <v>5.4713567885638477E-2</v>
      </c>
      <c r="AI69" s="4">
        <f t="shared" si="4"/>
        <v>5.1090520373598021E-2</v>
      </c>
    </row>
    <row r="70" spans="1:38" x14ac:dyDescent="0.45">
      <c r="A70" t="s">
        <v>36</v>
      </c>
      <c r="B70" s="3">
        <f>B69*2</f>
        <v>0.14028735738664763</v>
      </c>
      <c r="C70" s="3">
        <f t="shared" ref="C70:AI70" si="5">C69*2</f>
        <v>0.14508233689091288</v>
      </c>
      <c r="D70" s="3">
        <f t="shared" si="5"/>
        <v>0.11933381240876247</v>
      </c>
      <c r="E70" s="3">
        <f t="shared" si="5"/>
        <v>0.10229479993117813</v>
      </c>
      <c r="F70" s="3">
        <f t="shared" si="5"/>
        <v>0.13674237484693971</v>
      </c>
      <c r="G70" s="3">
        <f t="shared" si="5"/>
        <v>0.115408013181816</v>
      </c>
      <c r="H70" s="3">
        <f t="shared" si="5"/>
        <v>7.5402098242641991E-2</v>
      </c>
      <c r="I70" s="3">
        <f t="shared" si="5"/>
        <v>0.12031333865059671</v>
      </c>
      <c r="J70" s="3">
        <f t="shared" si="5"/>
        <v>0.15711447252121288</v>
      </c>
      <c r="K70" s="3">
        <f t="shared" si="5"/>
        <v>0.17098128701490925</v>
      </c>
      <c r="L70" s="3">
        <f t="shared" si="5"/>
        <v>0.14523329680692287</v>
      </c>
      <c r="M70" s="3">
        <f t="shared" si="5"/>
        <v>0.12882480334189472</v>
      </c>
      <c r="N70" s="3">
        <f t="shared" si="5"/>
        <v>0.11647518696538949</v>
      </c>
      <c r="O70" s="3">
        <f t="shared" si="5"/>
        <v>8.1321011915120325E-2</v>
      </c>
      <c r="P70" s="3">
        <f t="shared" si="5"/>
        <v>0.19428211671106005</v>
      </c>
      <c r="Q70" s="3">
        <f t="shared" si="5"/>
        <v>6.6032533186602807E-2</v>
      </c>
      <c r="R70" s="3">
        <f t="shared" si="5"/>
        <v>0.12206527041837519</v>
      </c>
      <c r="S70" s="3">
        <f t="shared" si="5"/>
        <v>0.14280902827019668</v>
      </c>
      <c r="T70" s="3">
        <f t="shared" si="5"/>
        <v>0.12463135134223841</v>
      </c>
      <c r="U70" s="3">
        <f t="shared" si="5"/>
        <v>0.14562586846009778</v>
      </c>
      <c r="V70" s="3">
        <f t="shared" si="5"/>
        <v>6.7210631186142566E-2</v>
      </c>
      <c r="W70" s="3">
        <f t="shared" si="5"/>
        <v>6.8257371000743236E-2</v>
      </c>
      <c r="X70" s="3">
        <f t="shared" si="5"/>
        <v>9.4595940671471021E-2</v>
      </c>
      <c r="Y70" s="3">
        <f t="shared" si="5"/>
        <v>6.5959641013579748E-2</v>
      </c>
      <c r="Z70" s="3">
        <f t="shared" si="5"/>
        <v>0.10085185545695909</v>
      </c>
      <c r="AA70" s="3">
        <f t="shared" si="5"/>
        <v>0.11257954281130068</v>
      </c>
      <c r="AB70" s="3">
        <f t="shared" si="5"/>
        <v>7.6172309703741267E-2</v>
      </c>
      <c r="AC70" s="3">
        <f t="shared" si="5"/>
        <v>7.9511052194592591E-2</v>
      </c>
      <c r="AD70" s="3">
        <f t="shared" si="5"/>
        <v>0.10141952219589391</v>
      </c>
      <c r="AE70" s="3">
        <f t="shared" si="5"/>
        <v>7.7081540307033153E-2</v>
      </c>
      <c r="AF70" s="3">
        <f t="shared" si="5"/>
        <v>8.8382487150991701E-2</v>
      </c>
      <c r="AG70" s="3">
        <f t="shared" si="5"/>
        <v>0.10572551671474956</v>
      </c>
      <c r="AH70" s="3">
        <f t="shared" si="5"/>
        <v>0.10942713577127695</v>
      </c>
      <c r="AI70" s="3">
        <f t="shared" si="5"/>
        <v>0.10218104074719604</v>
      </c>
    </row>
    <row r="71" spans="1:38" x14ac:dyDescent="0.45">
      <c r="A71" t="s">
        <v>79</v>
      </c>
      <c r="B71">
        <f>PRICE_DATA!B2</f>
        <v>35.520000000000003</v>
      </c>
      <c r="C71">
        <f>PRICE_DATA!C2</f>
        <v>39.28</v>
      </c>
      <c r="D71">
        <f>PRICE_DATA!D2</f>
        <v>15.86</v>
      </c>
      <c r="E71">
        <f>PRICE_DATA!E2</f>
        <v>25.07</v>
      </c>
      <c r="F71">
        <f>PRICE_DATA!F2</f>
        <v>34.869999999999997</v>
      </c>
      <c r="G71">
        <f>PRICE_DATA!G2</f>
        <v>81.95</v>
      </c>
      <c r="H71">
        <f>PRICE_DATA!H2</f>
        <v>28.53</v>
      </c>
      <c r="I71">
        <f>PRICE_DATA!I2</f>
        <v>69.760000000000005</v>
      </c>
      <c r="J71">
        <f>PRICE_DATA!J2</f>
        <v>72.17</v>
      </c>
      <c r="K71">
        <f>PRICE_DATA!K2</f>
        <v>123.5</v>
      </c>
      <c r="L71">
        <f>PRICE_DATA!L2</f>
        <v>36.119999999999997</v>
      </c>
      <c r="M71">
        <f>PRICE_DATA!M2</f>
        <v>69.02</v>
      </c>
      <c r="N71">
        <f>PRICE_DATA!N2</f>
        <v>64.81</v>
      </c>
      <c r="O71">
        <f>PRICE_DATA!O2</f>
        <v>48.52</v>
      </c>
      <c r="P71">
        <f>PRICE_DATA!P2</f>
        <v>57.68</v>
      </c>
      <c r="Q71">
        <f>PRICE_DATA!Q2</f>
        <v>18.7</v>
      </c>
      <c r="R71">
        <f>PRICE_DATA!R2</f>
        <v>1429.8</v>
      </c>
      <c r="S71">
        <f>PRICE_DATA!S2</f>
        <v>39.340000000000003</v>
      </c>
      <c r="T71">
        <f>PRICE_DATA!T2</f>
        <v>17.89</v>
      </c>
      <c r="U71">
        <f>PRICE_DATA!U2</f>
        <v>16.75</v>
      </c>
      <c r="V71">
        <f>PRICE_DATA!V2</f>
        <v>37.9</v>
      </c>
      <c r="W71">
        <f>PRICE_DATA!W2</f>
        <v>44.665300000000002</v>
      </c>
      <c r="X71">
        <f>PRICE_DATA!X2</f>
        <v>28.42</v>
      </c>
      <c r="Y71">
        <f>PRICE_DATA!Y2</f>
        <v>55.85</v>
      </c>
      <c r="Z71">
        <f>PRICE_DATA!Z2</f>
        <v>40.340000000000003</v>
      </c>
      <c r="AA71">
        <f>PRICE_DATA!AA2</f>
        <v>84.19</v>
      </c>
      <c r="AB71">
        <f>PRICE_DATA!AB2</f>
        <v>59.36</v>
      </c>
      <c r="AC71">
        <f>PRICE_DATA!AC2</f>
        <v>45.88</v>
      </c>
      <c r="AD71">
        <f>PRICE_DATA!AD2</f>
        <v>597.26</v>
      </c>
      <c r="AE71">
        <f>PRICE_DATA!AE2</f>
        <v>666.06</v>
      </c>
      <c r="AF71">
        <f>PRICE_DATA!AF2</f>
        <v>43.58</v>
      </c>
      <c r="AG71">
        <f>PRICE_DATA!AG2</f>
        <v>58.96</v>
      </c>
      <c r="AH71">
        <f>PRICE_DATA!AH2</f>
        <v>50.53</v>
      </c>
      <c r="AI71">
        <f>PRICE_DATA!AI2</f>
        <v>52.65</v>
      </c>
    </row>
    <row r="72" spans="1:38" x14ac:dyDescent="0.45">
      <c r="A72" t="s">
        <v>80</v>
      </c>
      <c r="B72" s="7">
        <f>PRICE_DATA!B204</f>
        <v>33.073588059701493</v>
      </c>
      <c r="C72" s="7">
        <f>PRICE_DATA!C204</f>
        <v>36.276666666666685</v>
      </c>
      <c r="D72" s="7">
        <f>PRICE_DATA!D204</f>
        <v>18.048557213930337</v>
      </c>
      <c r="E72" s="7">
        <f>PRICE_DATA!E204</f>
        <v>25.9124736318408</v>
      </c>
      <c r="F72" s="7">
        <f>PRICE_DATA!F204</f>
        <v>33.888656716417906</v>
      </c>
      <c r="G72" s="7">
        <f>PRICE_DATA!G204</f>
        <v>64.682780597014926</v>
      </c>
      <c r="H72" s="7">
        <f>PRICE_DATA!H204</f>
        <v>26.28034825870645</v>
      </c>
      <c r="I72" s="7">
        <f>PRICE_DATA!I204</f>
        <v>63.66278606965173</v>
      </c>
      <c r="J72" s="7">
        <f>PRICE_DATA!J204</f>
        <v>67.423482587064669</v>
      </c>
      <c r="K72" s="7">
        <f>PRICE_DATA!K204</f>
        <v>92.046268656716435</v>
      </c>
      <c r="L72" s="7">
        <f>PRICE_DATA!L204</f>
        <v>31.5457711442786</v>
      </c>
      <c r="M72" s="7">
        <f>PRICE_DATA!M204</f>
        <v>64.230746268656716</v>
      </c>
      <c r="N72" s="7">
        <f>PRICE_DATA!N204</f>
        <v>65.11098905472636</v>
      </c>
      <c r="O72" s="7">
        <f>PRICE_DATA!O204</f>
        <v>53.452587064676621</v>
      </c>
      <c r="P72" s="7">
        <f>PRICE_DATA!P204</f>
        <v>60.707636815920416</v>
      </c>
      <c r="Q72" s="7">
        <f>PRICE_DATA!Q204</f>
        <v>19.312762189054737</v>
      </c>
      <c r="R72" s="7">
        <f>PRICE_DATA!R204</f>
        <v>1271.4253731343283</v>
      </c>
      <c r="S72" s="7">
        <f>PRICE_DATA!S204</f>
        <v>35.097635820895512</v>
      </c>
      <c r="T72" s="7">
        <f>PRICE_DATA!T204</f>
        <v>19.56383880597015</v>
      </c>
      <c r="U72" s="7">
        <f>PRICE_DATA!U204</f>
        <v>17.458631840796027</v>
      </c>
      <c r="V72" s="7">
        <f>PRICE_DATA!V204</f>
        <v>38.270348258706477</v>
      </c>
      <c r="W72" s="7">
        <f>PRICE_DATA!W204</f>
        <v>45.822423880597</v>
      </c>
      <c r="X72" s="7">
        <f>PRICE_DATA!X204</f>
        <v>26.930398009950228</v>
      </c>
      <c r="Y72" s="7">
        <f>PRICE_DATA!Y204</f>
        <v>50.974079601990056</v>
      </c>
      <c r="Z72" s="7">
        <f>PRICE_DATA!Z204</f>
        <v>42.028507462686584</v>
      </c>
      <c r="AA72" s="7">
        <f>PRICE_DATA!AA204</f>
        <v>81.099353233830854</v>
      </c>
      <c r="AB72" s="7">
        <f>PRICE_DATA!AB204</f>
        <v>57.464079601990043</v>
      </c>
      <c r="AC72" s="7">
        <f>PRICE_DATA!AC204</f>
        <v>42.819253731343281</v>
      </c>
      <c r="AD72" s="7">
        <f>PRICE_DATA!AD204</f>
        <v>593.03920398009939</v>
      </c>
      <c r="AE72" s="7">
        <f>PRICE_DATA!AE204</f>
        <v>660.68771144278594</v>
      </c>
      <c r="AF72" s="7">
        <f>PRICE_DATA!AF204</f>
        <v>44.212985074626872</v>
      </c>
      <c r="AG72" s="7">
        <f>PRICE_DATA!AG204</f>
        <v>57.15561144278611</v>
      </c>
      <c r="AH72" s="7">
        <f>PRICE_DATA!AH204</f>
        <v>48.230497512437793</v>
      </c>
      <c r="AI72" s="7">
        <f>PRICE_DATA!AI204</f>
        <v>52.033731343283584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1</v>
      </c>
      <c r="O74">
        <f t="shared" si="7"/>
        <v>1</v>
      </c>
      <c r="P74">
        <f t="shared" si="7"/>
        <v>0</v>
      </c>
      <c r="Q74">
        <f t="shared" si="7"/>
        <v>1</v>
      </c>
      <c r="R74">
        <f t="shared" si="7"/>
        <v>0</v>
      </c>
      <c r="S74">
        <f t="shared" si="7"/>
        <v>0</v>
      </c>
      <c r="T74">
        <f t="shared" si="7"/>
        <v>1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46093</v>
      </c>
      <c r="B2" cm="1">
        <f t="array" ref="B2:B202">_xll.FDS(B1,"FG_PRICE(0,-200D)")</f>
        <v>35.520000000000003</v>
      </c>
      <c r="C2" cm="1">
        <f t="array" ref="C2:C202">_xll.FDS(C1,"FG_PRICE(0,-200D)")</f>
        <v>39.28</v>
      </c>
      <c r="D2" cm="1">
        <f t="array" ref="D2:D202">_xll.FDS(D1,"FG_PRICE(0,-200D)")</f>
        <v>15.86</v>
      </c>
      <c r="E2" cm="1">
        <f t="array" ref="E2:E202">_xll.FDS(E1,"FG_PRICE(0,-200D)")</f>
        <v>25.07</v>
      </c>
      <c r="F2" cm="1">
        <f t="array" ref="F2:F202">_xll.FDS(F1,"FG_PRICE(0,-200D)")</f>
        <v>34.869999999999997</v>
      </c>
      <c r="G2" cm="1">
        <f t="array" ref="G2:G202">_xll.FDS(G1,"FG_PRICE(0,-200D)")</f>
        <v>81.95</v>
      </c>
      <c r="H2" cm="1">
        <f t="array" ref="H2:H202">_xll.FDS(H1,"FG_PRICE(0,-200D)")</f>
        <v>28.53</v>
      </c>
      <c r="I2" cm="1">
        <f t="array" ref="I2:I202">_xll.FDS(I1,"FG_PRICE(0,-200D)")</f>
        <v>69.760000000000005</v>
      </c>
      <c r="J2" cm="1">
        <f t="array" ref="J2:J202">_xll.FDS(J1,"FG_PRICE(0,-200D)")</f>
        <v>72.17</v>
      </c>
      <c r="K2" cm="1">
        <f t="array" ref="K2:K202">_xll.FDS(K1,"FG_PRICE(0,-200D)")</f>
        <v>123.5</v>
      </c>
      <c r="L2" cm="1">
        <f t="array" ref="L2:L202">_xll.FDS(L1,"FG_PRICE(0,-200D)")</f>
        <v>36.119999999999997</v>
      </c>
      <c r="M2" cm="1">
        <f t="array" ref="M2:M202">_xll.FDS(M1,"FG_PRICE(0,-200D)")</f>
        <v>69.02</v>
      </c>
      <c r="N2" cm="1">
        <f t="array" ref="N2:N202">_xll.FDS(N1,"FG_PRICE(0,-200D)")</f>
        <v>64.81</v>
      </c>
      <c r="O2" cm="1">
        <f t="array" ref="O2:O202">_xll.FDS(O1,"FG_PRICE(0,-200D)")</f>
        <v>48.52</v>
      </c>
      <c r="P2" cm="1">
        <f t="array" ref="P2:P202">_xll.FDS(P1,"FG_PRICE(0,-200D)")</f>
        <v>57.68</v>
      </c>
      <c r="Q2" cm="1">
        <f t="array" ref="Q2:Q202">_xll.FDS(Q1,"FG_PRICE(0,-200D)")</f>
        <v>18.7</v>
      </c>
      <c r="R2" cm="1">
        <f t="array" ref="R2:R202">_xll.FDS(R1,"FG_PRICE(0,-200D)")</f>
        <v>1429.8</v>
      </c>
      <c r="S2" cm="1">
        <f t="array" ref="S2:S202">_xll.FDS(S1,"FG_PRICE(0,-200D)")</f>
        <v>39.340000000000003</v>
      </c>
      <c r="T2" cm="1">
        <f t="array" ref="T2:T202">_xll.FDS(T1,"FG_PRICE(0,-200D)")</f>
        <v>17.89</v>
      </c>
      <c r="U2" cm="1">
        <f t="array" ref="U2:U202">_xll.FDS(U1,"FG_PRICE(0,-200D)")</f>
        <v>16.75</v>
      </c>
      <c r="V2" cm="1">
        <f t="array" ref="V2:V202">_xll.FDS(V1,"FG_PRICE(0,-200D)")</f>
        <v>37.9</v>
      </c>
      <c r="W2" cm="1">
        <f t="array" ref="W2:W202">_xll.FDS(W1,"FG_PRICE(0,-200D)")</f>
        <v>44.665300000000002</v>
      </c>
      <c r="X2" cm="1">
        <f t="array" ref="X2:X202">_xll.FDS(X1,"FG_PRICE(0,-200D)")</f>
        <v>28.42</v>
      </c>
      <c r="Y2" cm="1">
        <f t="array" ref="Y2:Y202">_xll.FDS(Y1,"FG_PRICE(0,-200D)")</f>
        <v>55.85</v>
      </c>
      <c r="Z2" cm="1">
        <f t="array" ref="Z2:Z202">_xll.FDS(Z1,"FG_PRICE(0,-200D)")</f>
        <v>40.340000000000003</v>
      </c>
      <c r="AA2" cm="1">
        <f t="array" ref="AA2:AA202">_xll.FDS(AA1,"FG_PRICE(0,-200D)")</f>
        <v>84.19</v>
      </c>
      <c r="AB2" cm="1">
        <f t="array" ref="AB2:AB202">_xll.FDS(AB1,"FG_PRICE(0,-200D)")</f>
        <v>59.36</v>
      </c>
      <c r="AC2" cm="1">
        <f t="array" ref="AC2:AC202">_xll.FDS(AC1,"FG_PRICE(0,-200D)")</f>
        <v>45.88</v>
      </c>
      <c r="AD2" cm="1">
        <f t="array" ref="AD2:AD202">_xll.FDS(AD1,"FG_PRICE(0,-200D)")</f>
        <v>597.26</v>
      </c>
      <c r="AE2" cm="1">
        <f t="array" ref="AE2:AE202">_xll.FDS(AE1,"FG_PRICE(0,-200D)")</f>
        <v>666.06</v>
      </c>
      <c r="AF2" cm="1">
        <f t="array" ref="AF2:AF202">_xll.FDS(AF1,"FG_PRICE(0,-200D)")</f>
        <v>43.58</v>
      </c>
      <c r="AG2" cm="1">
        <f t="array" ref="AG2:AG202">_xll.FDS(AG1,"FG_PRICE(0,-200D)")</f>
        <v>58.96</v>
      </c>
      <c r="AH2" cm="1">
        <f t="array" ref="AH2:AH202">_xll.FDS(AH1,"FG_PRICE(0,-200D)")</f>
        <v>50.53</v>
      </c>
      <c r="AI2" cm="1">
        <f t="array" ref="AI2:AI202">_xll.FDS(AI1,"FG_PRICE(0,-200D)")</f>
        <v>52.65</v>
      </c>
    </row>
    <row r="3" spans="1:35" x14ac:dyDescent="0.45">
      <c r="A3" s="2">
        <v>46092</v>
      </c>
      <c r="B3">
        <v>35.82</v>
      </c>
      <c r="C3">
        <v>40.64</v>
      </c>
      <c r="D3">
        <v>16.170000000000002</v>
      </c>
      <c r="E3">
        <v>25.38</v>
      </c>
      <c r="F3">
        <v>35.729999999999997</v>
      </c>
      <c r="G3">
        <v>84.67</v>
      </c>
      <c r="H3">
        <v>28.78</v>
      </c>
      <c r="I3">
        <v>71.91</v>
      </c>
      <c r="J3">
        <v>74.69</v>
      </c>
      <c r="K3">
        <v>132.85</v>
      </c>
      <c r="L3">
        <v>37.61</v>
      </c>
      <c r="M3">
        <v>71.05</v>
      </c>
      <c r="N3">
        <v>66.58</v>
      </c>
      <c r="O3">
        <v>49.27</v>
      </c>
      <c r="P3">
        <v>58.31</v>
      </c>
      <c r="Q3">
        <v>18.8</v>
      </c>
      <c r="R3">
        <v>1407.34</v>
      </c>
      <c r="S3">
        <v>39.29</v>
      </c>
      <c r="T3">
        <v>18.68</v>
      </c>
      <c r="U3">
        <v>17.41</v>
      </c>
      <c r="V3">
        <v>38.11</v>
      </c>
      <c r="W3">
        <v>45.1753</v>
      </c>
      <c r="X3">
        <v>29</v>
      </c>
      <c r="Y3">
        <v>56.48</v>
      </c>
      <c r="Z3">
        <v>40.799999999999997</v>
      </c>
      <c r="AA3">
        <v>85.73</v>
      </c>
      <c r="AB3">
        <v>60.09</v>
      </c>
      <c r="AC3">
        <v>46.31</v>
      </c>
      <c r="AD3">
        <v>607.69000000000005</v>
      </c>
      <c r="AE3">
        <v>676.33</v>
      </c>
      <c r="AF3">
        <v>44.2</v>
      </c>
      <c r="AG3">
        <v>60.03</v>
      </c>
      <c r="AH3">
        <v>51.41</v>
      </c>
      <c r="AI3">
        <v>53.56</v>
      </c>
    </row>
    <row r="4" spans="1:35" x14ac:dyDescent="0.45">
      <c r="A4" s="2">
        <v>46091</v>
      </c>
      <c r="B4">
        <v>35.619999999999997</v>
      </c>
      <c r="C4">
        <v>40.68</v>
      </c>
      <c r="D4">
        <v>16.32</v>
      </c>
      <c r="E4">
        <v>25.54</v>
      </c>
      <c r="F4">
        <v>35.68</v>
      </c>
      <c r="G4">
        <v>86.87</v>
      </c>
      <c r="H4">
        <v>28.58</v>
      </c>
      <c r="I4">
        <v>70.44</v>
      </c>
      <c r="J4">
        <v>74.760000000000005</v>
      </c>
      <c r="K4">
        <v>130.30000000000001</v>
      </c>
      <c r="L4">
        <v>37.53</v>
      </c>
      <c r="M4">
        <v>73.040000000000006</v>
      </c>
      <c r="N4">
        <v>66.37</v>
      </c>
      <c r="O4">
        <v>49.93</v>
      </c>
      <c r="P4">
        <v>58.7</v>
      </c>
      <c r="Q4">
        <v>18.93</v>
      </c>
      <c r="R4">
        <v>1405.76</v>
      </c>
      <c r="S4">
        <v>39.18</v>
      </c>
      <c r="T4">
        <v>19.11</v>
      </c>
      <c r="U4">
        <v>17.059999999999999</v>
      </c>
      <c r="V4">
        <v>38.28</v>
      </c>
      <c r="W4">
        <v>44.983600000000003</v>
      </c>
      <c r="X4">
        <v>28.95</v>
      </c>
      <c r="Y4">
        <v>56.7</v>
      </c>
      <c r="Z4">
        <v>41.1</v>
      </c>
      <c r="AA4">
        <v>86.46</v>
      </c>
      <c r="AB4">
        <v>60.24</v>
      </c>
      <c r="AC4">
        <v>46.41</v>
      </c>
      <c r="AD4">
        <v>607.77</v>
      </c>
      <c r="AE4">
        <v>677.18</v>
      </c>
      <c r="AF4">
        <v>44.08</v>
      </c>
      <c r="AG4">
        <v>59.71</v>
      </c>
      <c r="AH4">
        <v>51.76</v>
      </c>
      <c r="AI4">
        <v>53.79</v>
      </c>
    </row>
    <row r="5" spans="1:35" x14ac:dyDescent="0.45">
      <c r="A5" s="2">
        <v>46090</v>
      </c>
      <c r="B5">
        <v>35.4</v>
      </c>
      <c r="C5">
        <v>39.729999999999997</v>
      </c>
      <c r="D5">
        <v>16.399999999999999</v>
      </c>
      <c r="E5">
        <v>25.28</v>
      </c>
      <c r="F5">
        <v>35.659999999999997</v>
      </c>
      <c r="G5">
        <v>83.97</v>
      </c>
      <c r="H5">
        <v>28.27</v>
      </c>
      <c r="I5">
        <v>70.760000000000005</v>
      </c>
      <c r="J5">
        <v>73.89</v>
      </c>
      <c r="K5">
        <v>133.88999999999999</v>
      </c>
      <c r="L5">
        <v>37.1</v>
      </c>
      <c r="M5">
        <v>72</v>
      </c>
      <c r="N5">
        <v>65.08</v>
      </c>
      <c r="O5">
        <v>49.98</v>
      </c>
      <c r="P5">
        <v>57.67</v>
      </c>
      <c r="Q5">
        <v>18.809999999999999</v>
      </c>
      <c r="R5">
        <v>1382.97</v>
      </c>
      <c r="S5">
        <v>38.74</v>
      </c>
      <c r="T5">
        <v>19.170000000000002</v>
      </c>
      <c r="U5">
        <v>17.23</v>
      </c>
      <c r="V5">
        <v>38.25</v>
      </c>
      <c r="W5">
        <v>45.21</v>
      </c>
      <c r="X5">
        <v>28.86</v>
      </c>
      <c r="Y5">
        <v>56.61</v>
      </c>
      <c r="Z5">
        <v>41.09</v>
      </c>
      <c r="AA5">
        <v>85.64</v>
      </c>
      <c r="AB5">
        <v>61.01</v>
      </c>
      <c r="AC5">
        <v>46.29</v>
      </c>
      <c r="AD5">
        <v>607.76</v>
      </c>
      <c r="AE5">
        <v>678.27</v>
      </c>
      <c r="AF5">
        <v>44.2</v>
      </c>
      <c r="AG5">
        <v>59.23</v>
      </c>
      <c r="AH5">
        <v>51.37</v>
      </c>
      <c r="AI5">
        <v>53.54</v>
      </c>
    </row>
    <row r="6" spans="1:35" x14ac:dyDescent="0.45">
      <c r="A6" s="2">
        <v>46087</v>
      </c>
      <c r="B6">
        <v>34.94</v>
      </c>
      <c r="C6">
        <v>38.99</v>
      </c>
      <c r="D6">
        <v>16.21</v>
      </c>
      <c r="E6">
        <v>25.32</v>
      </c>
      <c r="F6">
        <v>35.369999999999997</v>
      </c>
      <c r="G6">
        <v>83.19</v>
      </c>
      <c r="H6">
        <v>28.49</v>
      </c>
      <c r="I6">
        <v>69.52</v>
      </c>
      <c r="J6">
        <v>73.72</v>
      </c>
      <c r="K6">
        <v>126.73</v>
      </c>
      <c r="L6">
        <v>36.28</v>
      </c>
      <c r="M6">
        <v>70.52</v>
      </c>
      <c r="N6">
        <v>65.150000000000006</v>
      </c>
      <c r="O6">
        <v>49.99</v>
      </c>
      <c r="P6">
        <v>56.72</v>
      </c>
      <c r="Q6">
        <v>18.75</v>
      </c>
      <c r="R6">
        <v>1410.37</v>
      </c>
      <c r="S6">
        <v>37.22</v>
      </c>
      <c r="T6">
        <v>19.079999999999998</v>
      </c>
      <c r="U6">
        <v>17.45</v>
      </c>
      <c r="V6">
        <v>37.090000000000003</v>
      </c>
      <c r="W6">
        <v>45.713799999999999</v>
      </c>
      <c r="X6">
        <v>28.33</v>
      </c>
      <c r="Y6">
        <v>56.35</v>
      </c>
      <c r="Z6">
        <v>40.82</v>
      </c>
      <c r="AA6">
        <v>84.77</v>
      </c>
      <c r="AB6">
        <v>61.14</v>
      </c>
      <c r="AC6">
        <v>46.02</v>
      </c>
      <c r="AD6">
        <v>599.75</v>
      </c>
      <c r="AE6">
        <v>672.38</v>
      </c>
      <c r="AF6">
        <v>44.14</v>
      </c>
      <c r="AG6">
        <v>58.13</v>
      </c>
      <c r="AH6">
        <v>51.74</v>
      </c>
      <c r="AI6">
        <v>52.96</v>
      </c>
    </row>
    <row r="7" spans="1:35" x14ac:dyDescent="0.45">
      <c r="A7" s="2">
        <v>46086</v>
      </c>
      <c r="B7">
        <v>35.090000000000003</v>
      </c>
      <c r="C7">
        <v>38.97</v>
      </c>
      <c r="D7">
        <v>16.66</v>
      </c>
      <c r="E7">
        <v>26.13</v>
      </c>
      <c r="F7">
        <v>35.799999999999997</v>
      </c>
      <c r="G7">
        <v>84.72</v>
      </c>
      <c r="H7">
        <v>28.54</v>
      </c>
      <c r="I7">
        <v>70.400000000000006</v>
      </c>
      <c r="J7">
        <v>75.25</v>
      </c>
      <c r="K7">
        <v>125.74</v>
      </c>
      <c r="L7">
        <v>36.36</v>
      </c>
      <c r="M7">
        <v>71.42</v>
      </c>
      <c r="N7">
        <v>65.87</v>
      </c>
      <c r="O7">
        <v>50.37</v>
      </c>
      <c r="P7">
        <v>56.18</v>
      </c>
      <c r="Q7">
        <v>18.86</v>
      </c>
      <c r="R7">
        <v>1417.29</v>
      </c>
      <c r="S7">
        <v>38.729999999999997</v>
      </c>
      <c r="T7">
        <v>19.399999999999999</v>
      </c>
      <c r="U7">
        <v>18.02</v>
      </c>
      <c r="V7">
        <v>37.25</v>
      </c>
      <c r="W7">
        <v>46.06</v>
      </c>
      <c r="X7">
        <v>28.61</v>
      </c>
      <c r="Y7">
        <v>56.91</v>
      </c>
      <c r="Z7">
        <v>41.18</v>
      </c>
      <c r="AA7">
        <v>85.89</v>
      </c>
      <c r="AB7">
        <v>61.05</v>
      </c>
      <c r="AC7">
        <v>46.24</v>
      </c>
      <c r="AD7">
        <v>608.91</v>
      </c>
      <c r="AE7">
        <v>681.31</v>
      </c>
      <c r="AF7">
        <v>44.28</v>
      </c>
      <c r="AG7">
        <v>59.54</v>
      </c>
      <c r="AH7">
        <v>52.04</v>
      </c>
      <c r="AI7">
        <v>53.43</v>
      </c>
    </row>
    <row r="8" spans="1:35" x14ac:dyDescent="0.45">
      <c r="A8" s="2">
        <v>46085</v>
      </c>
      <c r="B8">
        <v>35.29</v>
      </c>
      <c r="C8">
        <v>40.31</v>
      </c>
      <c r="D8">
        <v>16.87</v>
      </c>
      <c r="E8">
        <v>26.39</v>
      </c>
      <c r="F8">
        <v>36.21</v>
      </c>
      <c r="G8">
        <v>88.67</v>
      </c>
      <c r="H8">
        <v>28.82</v>
      </c>
      <c r="I8">
        <v>71.62</v>
      </c>
      <c r="J8">
        <v>77.91</v>
      </c>
      <c r="K8">
        <v>134.37</v>
      </c>
      <c r="L8">
        <v>37.49</v>
      </c>
      <c r="M8">
        <v>74.34</v>
      </c>
      <c r="N8">
        <v>66.739999999999995</v>
      </c>
      <c r="O8">
        <v>50.27</v>
      </c>
      <c r="P8">
        <v>57.13</v>
      </c>
      <c r="Q8">
        <v>18.89</v>
      </c>
      <c r="R8">
        <v>1384.61</v>
      </c>
      <c r="S8">
        <v>38.96</v>
      </c>
      <c r="T8">
        <v>19.835000000000001</v>
      </c>
      <c r="U8">
        <v>18.3</v>
      </c>
      <c r="V8">
        <v>37.46</v>
      </c>
      <c r="W8">
        <v>46.58</v>
      </c>
      <c r="X8">
        <v>29.35</v>
      </c>
      <c r="Y8">
        <v>57.47</v>
      </c>
      <c r="Z8">
        <v>42.1</v>
      </c>
      <c r="AA8">
        <v>88.59</v>
      </c>
      <c r="AB8">
        <v>62.56</v>
      </c>
      <c r="AC8">
        <v>47.24</v>
      </c>
      <c r="AD8">
        <v>610.75</v>
      </c>
      <c r="AE8">
        <v>685.13</v>
      </c>
      <c r="AF8">
        <v>45.23</v>
      </c>
      <c r="AG8">
        <v>60.74</v>
      </c>
      <c r="AH8">
        <v>52.91</v>
      </c>
      <c r="AI8">
        <v>54.57</v>
      </c>
    </row>
    <row r="9" spans="1:35" x14ac:dyDescent="0.45">
      <c r="A9" s="2">
        <v>46084</v>
      </c>
      <c r="B9">
        <v>34.9</v>
      </c>
      <c r="C9">
        <v>39.57</v>
      </c>
      <c r="D9">
        <v>17.149999999999999</v>
      </c>
      <c r="E9">
        <v>26.64</v>
      </c>
      <c r="F9">
        <v>35.53</v>
      </c>
      <c r="G9">
        <v>87.55</v>
      </c>
      <c r="H9">
        <v>28.36</v>
      </c>
      <c r="I9">
        <v>71.290000000000006</v>
      </c>
      <c r="J9">
        <v>75.37</v>
      </c>
      <c r="K9">
        <v>132.34</v>
      </c>
      <c r="L9">
        <v>36.82</v>
      </c>
      <c r="M9">
        <v>73.56</v>
      </c>
      <c r="N9">
        <v>63.86</v>
      </c>
      <c r="O9">
        <v>50.22</v>
      </c>
      <c r="P9">
        <v>56.9</v>
      </c>
      <c r="Q9">
        <v>19.010000000000002</v>
      </c>
      <c r="R9">
        <v>1466.51</v>
      </c>
      <c r="S9">
        <v>38.78</v>
      </c>
      <c r="T9">
        <v>19.690000000000001</v>
      </c>
      <c r="U9">
        <v>18.12</v>
      </c>
      <c r="V9">
        <v>36.68</v>
      </c>
      <c r="W9">
        <v>46.05</v>
      </c>
      <c r="X9">
        <v>29.09</v>
      </c>
      <c r="Y9">
        <v>57.07</v>
      </c>
      <c r="Z9">
        <v>41.57</v>
      </c>
      <c r="AA9">
        <v>86.83</v>
      </c>
      <c r="AB9">
        <v>62.21</v>
      </c>
      <c r="AC9">
        <v>46.76</v>
      </c>
      <c r="AD9">
        <v>601.58000000000004</v>
      </c>
      <c r="AE9">
        <v>680.33</v>
      </c>
      <c r="AF9">
        <v>45.07</v>
      </c>
      <c r="AG9">
        <v>59.67</v>
      </c>
      <c r="AH9">
        <v>51.87</v>
      </c>
      <c r="AI9">
        <v>53.89</v>
      </c>
    </row>
    <row r="10" spans="1:35" x14ac:dyDescent="0.45">
      <c r="A10" s="2">
        <v>46083</v>
      </c>
      <c r="B10">
        <v>36.130000000000003</v>
      </c>
      <c r="C10">
        <v>41.56</v>
      </c>
      <c r="D10">
        <v>17.52</v>
      </c>
      <c r="E10">
        <v>26.91</v>
      </c>
      <c r="F10">
        <v>37.31</v>
      </c>
      <c r="G10">
        <v>93.38</v>
      </c>
      <c r="H10">
        <v>28.69</v>
      </c>
      <c r="I10">
        <v>75.069999999999993</v>
      </c>
      <c r="J10">
        <v>79.459999999999994</v>
      </c>
      <c r="K10">
        <v>147.54</v>
      </c>
      <c r="L10">
        <v>38.64</v>
      </c>
      <c r="M10">
        <v>79.900000000000006</v>
      </c>
      <c r="N10">
        <v>67.67</v>
      </c>
      <c r="O10">
        <v>50.95</v>
      </c>
      <c r="P10">
        <v>58.51</v>
      </c>
      <c r="Q10">
        <v>18.87</v>
      </c>
      <c r="R10">
        <v>1466.51</v>
      </c>
      <c r="S10">
        <v>39.590000000000003</v>
      </c>
      <c r="T10">
        <v>20.309999999999999</v>
      </c>
      <c r="U10">
        <v>18.63</v>
      </c>
      <c r="V10">
        <v>36.58</v>
      </c>
      <c r="W10">
        <v>47.115299999999998</v>
      </c>
      <c r="X10">
        <v>29.93</v>
      </c>
      <c r="Y10">
        <v>58.16</v>
      </c>
      <c r="Z10">
        <v>42.91</v>
      </c>
      <c r="AA10">
        <v>90.2</v>
      </c>
      <c r="AB10">
        <v>63.59</v>
      </c>
      <c r="AC10">
        <v>48.12</v>
      </c>
      <c r="AD10">
        <v>608.09</v>
      </c>
      <c r="AE10">
        <v>686.38</v>
      </c>
      <c r="AF10">
        <v>46.57</v>
      </c>
      <c r="AG10">
        <v>61.33</v>
      </c>
      <c r="AH10">
        <v>53.17</v>
      </c>
      <c r="AI10">
        <v>55.95</v>
      </c>
    </row>
    <row r="11" spans="1:35" x14ac:dyDescent="0.45">
      <c r="A11" s="2">
        <v>46080</v>
      </c>
      <c r="B11">
        <v>36.15</v>
      </c>
      <c r="C11">
        <v>43.5</v>
      </c>
      <c r="D11">
        <v>17.82</v>
      </c>
      <c r="E11">
        <v>27.91</v>
      </c>
      <c r="F11">
        <v>38.130000000000003</v>
      </c>
      <c r="G11">
        <v>93.84</v>
      </c>
      <c r="H11">
        <v>29.22</v>
      </c>
      <c r="I11">
        <v>75.67</v>
      </c>
      <c r="J11">
        <v>80.94</v>
      </c>
      <c r="K11">
        <v>151.37</v>
      </c>
      <c r="L11">
        <v>38.729999999999997</v>
      </c>
      <c r="M11">
        <v>81.599999999999994</v>
      </c>
      <c r="N11">
        <v>70.680000000000007</v>
      </c>
      <c r="O11">
        <v>52.27</v>
      </c>
      <c r="P11">
        <v>59.06</v>
      </c>
      <c r="Q11">
        <v>19.46</v>
      </c>
      <c r="R11">
        <v>1528.26</v>
      </c>
      <c r="S11">
        <v>40.630000000000003</v>
      </c>
      <c r="T11">
        <v>21.35</v>
      </c>
      <c r="U11">
        <v>19.079999999999998</v>
      </c>
      <c r="V11">
        <v>37.17</v>
      </c>
      <c r="W11">
        <v>47.477600000000002</v>
      </c>
      <c r="X11">
        <v>30.09</v>
      </c>
      <c r="Y11">
        <v>57.98</v>
      </c>
      <c r="Z11">
        <v>44.34</v>
      </c>
      <c r="AA11">
        <v>92.37</v>
      </c>
      <c r="AB11">
        <v>65.08</v>
      </c>
      <c r="AC11">
        <v>48.68</v>
      </c>
      <c r="AD11">
        <v>607.29</v>
      </c>
      <c r="AE11">
        <v>685.99</v>
      </c>
      <c r="AF11">
        <v>47.87</v>
      </c>
      <c r="AG11">
        <v>62.8</v>
      </c>
      <c r="AH11">
        <v>54.72</v>
      </c>
      <c r="AI11">
        <v>57.33</v>
      </c>
    </row>
    <row r="12" spans="1:35" x14ac:dyDescent="0.45">
      <c r="A12" s="2">
        <v>46079</v>
      </c>
      <c r="B12">
        <v>35.96</v>
      </c>
      <c r="C12">
        <v>44.34</v>
      </c>
      <c r="D12">
        <v>17.89</v>
      </c>
      <c r="E12">
        <v>28.15</v>
      </c>
      <c r="F12">
        <v>38.19</v>
      </c>
      <c r="G12">
        <v>93.46</v>
      </c>
      <c r="H12">
        <v>29.65</v>
      </c>
      <c r="I12">
        <v>76.14</v>
      </c>
      <c r="J12">
        <v>80.66</v>
      </c>
      <c r="K12">
        <v>150.41</v>
      </c>
      <c r="L12">
        <v>39.1</v>
      </c>
      <c r="M12">
        <v>80.760000000000005</v>
      </c>
      <c r="N12">
        <v>72.03</v>
      </c>
      <c r="O12">
        <v>52.58</v>
      </c>
      <c r="P12">
        <v>59.23</v>
      </c>
      <c r="Q12">
        <v>19.52</v>
      </c>
      <c r="R12">
        <v>1533.64</v>
      </c>
      <c r="S12">
        <v>41.23</v>
      </c>
      <c r="T12">
        <v>21.54</v>
      </c>
      <c r="U12">
        <v>19.16</v>
      </c>
      <c r="V12">
        <v>37.130000000000003</v>
      </c>
      <c r="W12">
        <v>47.225000000000001</v>
      </c>
      <c r="X12">
        <v>30.14</v>
      </c>
      <c r="Y12">
        <v>58.15</v>
      </c>
      <c r="Z12">
        <v>44.56</v>
      </c>
      <c r="AA12">
        <v>92.48</v>
      </c>
      <c r="AB12">
        <v>64.63</v>
      </c>
      <c r="AC12">
        <v>48.61</v>
      </c>
      <c r="AD12">
        <v>609.24</v>
      </c>
      <c r="AE12">
        <v>689.3</v>
      </c>
      <c r="AF12">
        <v>48.35</v>
      </c>
      <c r="AG12">
        <v>63.05</v>
      </c>
      <c r="AH12">
        <v>54.56</v>
      </c>
      <c r="AI12">
        <v>57.93</v>
      </c>
    </row>
    <row r="13" spans="1:35" x14ac:dyDescent="0.45">
      <c r="A13" s="2">
        <v>46078</v>
      </c>
      <c r="B13">
        <v>36.36</v>
      </c>
      <c r="C13">
        <v>44.73</v>
      </c>
      <c r="D13">
        <v>18.22</v>
      </c>
      <c r="E13">
        <v>28.37</v>
      </c>
      <c r="F13">
        <v>38.71</v>
      </c>
      <c r="G13">
        <v>93.37</v>
      </c>
      <c r="H13">
        <v>30.01</v>
      </c>
      <c r="I13">
        <v>77.06</v>
      </c>
      <c r="J13">
        <v>80.45</v>
      </c>
      <c r="K13">
        <v>148.88999999999999</v>
      </c>
      <c r="L13">
        <v>39.590000000000003</v>
      </c>
      <c r="M13">
        <v>80.27</v>
      </c>
      <c r="N13">
        <v>71.510000000000005</v>
      </c>
      <c r="O13">
        <v>52.74</v>
      </c>
      <c r="P13">
        <v>60.67</v>
      </c>
      <c r="Q13">
        <v>19.89</v>
      </c>
      <c r="R13">
        <v>1516.01</v>
      </c>
      <c r="S13">
        <v>41.19</v>
      </c>
      <c r="T13">
        <v>22</v>
      </c>
      <c r="U13">
        <v>19.085000000000001</v>
      </c>
      <c r="V13">
        <v>37.92</v>
      </c>
      <c r="W13">
        <v>47.164499999999997</v>
      </c>
      <c r="X13">
        <v>30.16</v>
      </c>
      <c r="Y13">
        <v>57.59</v>
      </c>
      <c r="Z13">
        <v>44.35</v>
      </c>
      <c r="AA13">
        <v>92.44</v>
      </c>
      <c r="AB13">
        <v>64.849999999999994</v>
      </c>
      <c r="AC13">
        <v>48.66</v>
      </c>
      <c r="AD13">
        <v>616.67999999999995</v>
      </c>
      <c r="AE13">
        <v>693.15</v>
      </c>
      <c r="AF13">
        <v>48.02</v>
      </c>
      <c r="AG13">
        <v>63.77</v>
      </c>
      <c r="AH13">
        <v>54.13</v>
      </c>
      <c r="AI13">
        <v>57.61</v>
      </c>
    </row>
    <row r="14" spans="1:35" x14ac:dyDescent="0.45">
      <c r="A14" s="2">
        <v>46077</v>
      </c>
      <c r="B14">
        <v>35.94</v>
      </c>
      <c r="C14">
        <v>44.54</v>
      </c>
      <c r="D14">
        <v>17.95</v>
      </c>
      <c r="E14">
        <v>27.73</v>
      </c>
      <c r="F14">
        <v>37.950000000000003</v>
      </c>
      <c r="G14">
        <v>92.18</v>
      </c>
      <c r="H14">
        <v>30.02</v>
      </c>
      <c r="I14">
        <v>75.73</v>
      </c>
      <c r="J14">
        <v>80.37</v>
      </c>
      <c r="K14">
        <v>144.55000000000001</v>
      </c>
      <c r="L14">
        <v>39.47</v>
      </c>
      <c r="M14">
        <v>79.25</v>
      </c>
      <c r="N14">
        <v>70.34</v>
      </c>
      <c r="O14">
        <v>52.67</v>
      </c>
      <c r="P14">
        <v>60.43</v>
      </c>
      <c r="Q14">
        <v>19.989999999999998</v>
      </c>
      <c r="R14">
        <v>1490.4</v>
      </c>
      <c r="S14">
        <v>41.93</v>
      </c>
      <c r="T14">
        <v>22</v>
      </c>
      <c r="U14">
        <v>19.25</v>
      </c>
      <c r="V14">
        <v>38.18</v>
      </c>
      <c r="W14">
        <v>46.72</v>
      </c>
      <c r="X14">
        <v>29.58</v>
      </c>
      <c r="Y14">
        <v>57.15</v>
      </c>
      <c r="Z14">
        <v>43.95</v>
      </c>
      <c r="AA14">
        <v>91.23</v>
      </c>
      <c r="AB14">
        <v>64.819999999999993</v>
      </c>
      <c r="AC14">
        <v>47.98</v>
      </c>
      <c r="AD14">
        <v>607.87</v>
      </c>
      <c r="AE14">
        <v>687.35</v>
      </c>
      <c r="AF14">
        <v>47.62</v>
      </c>
      <c r="AG14">
        <v>63</v>
      </c>
      <c r="AH14">
        <v>54.01</v>
      </c>
      <c r="AI14">
        <v>56.94</v>
      </c>
    </row>
    <row r="15" spans="1:35" x14ac:dyDescent="0.45">
      <c r="A15" s="2">
        <v>46076</v>
      </c>
      <c r="B15">
        <v>35.85</v>
      </c>
      <c r="C15">
        <v>43.51</v>
      </c>
      <c r="D15">
        <v>18.11</v>
      </c>
      <c r="E15">
        <v>27.53</v>
      </c>
      <c r="F15">
        <v>38.1</v>
      </c>
      <c r="G15">
        <v>90.66</v>
      </c>
      <c r="H15">
        <v>30.01</v>
      </c>
      <c r="I15">
        <v>73.180000000000007</v>
      </c>
      <c r="J15">
        <v>79.540000000000006</v>
      </c>
      <c r="K15">
        <v>139.30000000000001</v>
      </c>
      <c r="L15">
        <v>38.770000000000003</v>
      </c>
      <c r="M15">
        <v>77.89</v>
      </c>
      <c r="N15">
        <v>71.040000000000006</v>
      </c>
      <c r="O15">
        <v>52.61</v>
      </c>
      <c r="P15">
        <v>60.76</v>
      </c>
      <c r="Q15">
        <v>19.920000000000002</v>
      </c>
      <c r="R15">
        <v>1480.24</v>
      </c>
      <c r="S15">
        <v>41.76</v>
      </c>
      <c r="T15">
        <v>21.96</v>
      </c>
      <c r="U15">
        <v>19.23</v>
      </c>
      <c r="V15">
        <v>38.299999999999997</v>
      </c>
      <c r="W15">
        <v>45.933500000000002</v>
      </c>
      <c r="X15">
        <v>29.45</v>
      </c>
      <c r="Y15">
        <v>56.95</v>
      </c>
      <c r="Z15">
        <v>43.9</v>
      </c>
      <c r="AA15">
        <v>91.39</v>
      </c>
      <c r="AB15">
        <v>64.31</v>
      </c>
      <c r="AC15">
        <v>47.89</v>
      </c>
      <c r="AD15">
        <v>601.41</v>
      </c>
      <c r="AE15">
        <v>682.39</v>
      </c>
      <c r="AF15">
        <v>47.49</v>
      </c>
      <c r="AG15">
        <v>62.95</v>
      </c>
      <c r="AH15">
        <v>53.49</v>
      </c>
      <c r="AI15">
        <v>56.94</v>
      </c>
    </row>
    <row r="16" spans="1:35" x14ac:dyDescent="0.45">
      <c r="A16" s="2">
        <v>46073</v>
      </c>
      <c r="B16">
        <v>35.79</v>
      </c>
      <c r="C16">
        <v>43.58</v>
      </c>
      <c r="D16">
        <v>18.059999999999999</v>
      </c>
      <c r="E16">
        <v>27.16</v>
      </c>
      <c r="F16">
        <v>37.81</v>
      </c>
      <c r="G16">
        <v>89.66</v>
      </c>
      <c r="H16">
        <v>30.13</v>
      </c>
      <c r="I16">
        <v>74.38</v>
      </c>
      <c r="J16">
        <v>81.23</v>
      </c>
      <c r="K16">
        <v>141.88</v>
      </c>
      <c r="L16">
        <v>39.369999999999997</v>
      </c>
      <c r="M16">
        <v>77.25</v>
      </c>
      <c r="N16">
        <v>70.900000000000006</v>
      </c>
      <c r="O16">
        <v>53.42</v>
      </c>
      <c r="P16">
        <v>61.01</v>
      </c>
      <c r="Q16">
        <v>19.844999999999999</v>
      </c>
      <c r="R16">
        <v>1479.71</v>
      </c>
      <c r="S16">
        <v>41.65</v>
      </c>
      <c r="T16">
        <v>21.63</v>
      </c>
      <c r="U16">
        <v>19.285</v>
      </c>
      <c r="V16">
        <v>38.630000000000003</v>
      </c>
      <c r="W16">
        <v>45.835500000000003</v>
      </c>
      <c r="X16">
        <v>29.7</v>
      </c>
      <c r="Y16">
        <v>57.16</v>
      </c>
      <c r="Z16">
        <v>44.32</v>
      </c>
      <c r="AA16">
        <v>91.47</v>
      </c>
      <c r="AB16">
        <v>64.38</v>
      </c>
      <c r="AC16">
        <v>48.04</v>
      </c>
      <c r="AD16">
        <v>608.80999999999995</v>
      </c>
      <c r="AE16">
        <v>689.43</v>
      </c>
      <c r="AF16">
        <v>47.68</v>
      </c>
      <c r="AG16">
        <v>63.18</v>
      </c>
      <c r="AH16">
        <v>54</v>
      </c>
      <c r="AI16">
        <v>56.81</v>
      </c>
    </row>
    <row r="17" spans="1:35" x14ac:dyDescent="0.45">
      <c r="A17" s="2">
        <v>46072</v>
      </c>
      <c r="B17">
        <v>35.622</v>
      </c>
      <c r="C17">
        <v>43.52</v>
      </c>
      <c r="D17">
        <v>17.829999999999998</v>
      </c>
      <c r="E17">
        <v>26.83</v>
      </c>
      <c r="F17">
        <v>37.65</v>
      </c>
      <c r="G17">
        <v>88.13</v>
      </c>
      <c r="H17">
        <v>29.82</v>
      </c>
      <c r="I17">
        <v>72.67</v>
      </c>
      <c r="J17">
        <v>79.94</v>
      </c>
      <c r="K17">
        <v>135.21</v>
      </c>
      <c r="L17">
        <v>38.61</v>
      </c>
      <c r="M17">
        <v>75.010000000000005</v>
      </c>
      <c r="N17">
        <v>71.040000000000006</v>
      </c>
      <c r="O17">
        <v>52.3</v>
      </c>
      <c r="P17">
        <v>60.72</v>
      </c>
      <c r="Q17">
        <v>19.855599999999999</v>
      </c>
      <c r="R17">
        <v>1493.91</v>
      </c>
      <c r="S17">
        <v>41.26</v>
      </c>
      <c r="T17">
        <v>21.69</v>
      </c>
      <c r="U17">
        <v>18.760000000000002</v>
      </c>
      <c r="V17">
        <v>38.130000000000003</v>
      </c>
      <c r="W17">
        <v>46.017200000000003</v>
      </c>
      <c r="X17">
        <v>29.37</v>
      </c>
      <c r="Y17">
        <v>56.75</v>
      </c>
      <c r="Z17">
        <v>43.88</v>
      </c>
      <c r="AA17">
        <v>91.2</v>
      </c>
      <c r="AB17">
        <v>64.16</v>
      </c>
      <c r="AC17">
        <v>47.68</v>
      </c>
      <c r="AD17">
        <v>603.47</v>
      </c>
      <c r="AE17">
        <v>684.48</v>
      </c>
      <c r="AF17">
        <v>46.91</v>
      </c>
      <c r="AG17">
        <v>62.66</v>
      </c>
      <c r="AH17">
        <v>53.4</v>
      </c>
      <c r="AI17">
        <v>55.89</v>
      </c>
    </row>
    <row r="18" spans="1:35" x14ac:dyDescent="0.45">
      <c r="A18" s="2">
        <v>46071</v>
      </c>
      <c r="B18">
        <v>35.799999999999997</v>
      </c>
      <c r="C18">
        <v>43.69</v>
      </c>
      <c r="D18">
        <v>17.87</v>
      </c>
      <c r="E18">
        <v>26.78</v>
      </c>
      <c r="F18">
        <v>37.729999999999997</v>
      </c>
      <c r="G18">
        <v>86.570999999999998</v>
      </c>
      <c r="H18">
        <v>29.67</v>
      </c>
      <c r="I18">
        <v>72.98</v>
      </c>
      <c r="J18">
        <v>80.150000000000006</v>
      </c>
      <c r="K18">
        <v>132.93</v>
      </c>
      <c r="L18">
        <v>38.03</v>
      </c>
      <c r="M18">
        <v>75.569999999999993</v>
      </c>
      <c r="N18">
        <v>72.89</v>
      </c>
      <c r="O18">
        <v>53.32</v>
      </c>
      <c r="P18">
        <v>60.95</v>
      </c>
      <c r="Q18">
        <v>20.114999999999998</v>
      </c>
      <c r="R18">
        <v>1466.67</v>
      </c>
      <c r="S18">
        <v>42.41</v>
      </c>
      <c r="T18">
        <v>22.23</v>
      </c>
      <c r="U18">
        <v>18.77</v>
      </c>
      <c r="V18">
        <v>39.119999999999997</v>
      </c>
      <c r="W18">
        <v>45.25</v>
      </c>
      <c r="X18">
        <v>29.31</v>
      </c>
      <c r="Y18">
        <v>56.46</v>
      </c>
      <c r="Z18">
        <v>44.12</v>
      </c>
      <c r="AA18">
        <v>91.38</v>
      </c>
      <c r="AB18">
        <v>64.260000000000005</v>
      </c>
      <c r="AC18">
        <v>47.88</v>
      </c>
      <c r="AD18">
        <v>605.79</v>
      </c>
      <c r="AE18">
        <v>686.29</v>
      </c>
      <c r="AF18">
        <v>47.03</v>
      </c>
      <c r="AG18">
        <v>62.94</v>
      </c>
      <c r="AH18">
        <v>53.5</v>
      </c>
      <c r="AI18">
        <v>56.32</v>
      </c>
    </row>
    <row r="19" spans="1:35" x14ac:dyDescent="0.45">
      <c r="A19" s="2">
        <v>46070</v>
      </c>
      <c r="B19">
        <v>35.65</v>
      </c>
      <c r="C19">
        <v>43.8</v>
      </c>
      <c r="D19">
        <v>17.82</v>
      </c>
      <c r="E19">
        <v>26.68</v>
      </c>
      <c r="F19">
        <v>37.5</v>
      </c>
      <c r="G19">
        <v>84.91</v>
      </c>
      <c r="H19">
        <v>29.65</v>
      </c>
      <c r="I19">
        <v>72.89</v>
      </c>
      <c r="J19">
        <v>80.760000000000005</v>
      </c>
      <c r="K19">
        <v>130.68</v>
      </c>
      <c r="L19">
        <v>37.74</v>
      </c>
      <c r="M19">
        <v>74.709999999999994</v>
      </c>
      <c r="N19">
        <v>70.66</v>
      </c>
      <c r="O19">
        <v>53.27</v>
      </c>
      <c r="P19">
        <v>60.61</v>
      </c>
      <c r="Q19">
        <v>19.98</v>
      </c>
      <c r="R19">
        <v>1459.68</v>
      </c>
      <c r="S19">
        <v>42.34</v>
      </c>
      <c r="T19">
        <v>21.85</v>
      </c>
      <c r="U19">
        <v>18.73</v>
      </c>
      <c r="V19">
        <v>38.94</v>
      </c>
      <c r="W19">
        <v>44.905000000000001</v>
      </c>
      <c r="X19">
        <v>29.32</v>
      </c>
      <c r="Y19">
        <v>55.86</v>
      </c>
      <c r="Z19">
        <v>44.04</v>
      </c>
      <c r="AA19">
        <v>91.87</v>
      </c>
      <c r="AB19">
        <v>64.44</v>
      </c>
      <c r="AC19">
        <v>47.42</v>
      </c>
      <c r="AD19">
        <v>601.29999999999995</v>
      </c>
      <c r="AE19">
        <v>682.85</v>
      </c>
      <c r="AF19">
        <v>47.05</v>
      </c>
      <c r="AG19">
        <v>62.23</v>
      </c>
      <c r="AH19">
        <v>53.26</v>
      </c>
      <c r="AI19">
        <v>56.02</v>
      </c>
    </row>
    <row r="20" spans="1:35" x14ac:dyDescent="0.45">
      <c r="A20" s="2">
        <v>46069</v>
      </c>
      <c r="B20">
        <v>35.368400000000001</v>
      </c>
      <c r="C20">
        <v>43.81</v>
      </c>
      <c r="D20">
        <v>17.77</v>
      </c>
      <c r="E20">
        <v>26.97</v>
      </c>
      <c r="F20">
        <v>37.67</v>
      </c>
      <c r="G20">
        <v>86.67</v>
      </c>
      <c r="H20">
        <v>29.72</v>
      </c>
      <c r="I20">
        <v>73.05</v>
      </c>
      <c r="J20">
        <v>81.03</v>
      </c>
      <c r="K20">
        <v>133.97</v>
      </c>
      <c r="L20">
        <v>38.06</v>
      </c>
      <c r="M20">
        <v>75.319999999999993</v>
      </c>
      <c r="N20">
        <v>71.900000000000006</v>
      </c>
      <c r="O20">
        <v>52.89</v>
      </c>
      <c r="P20">
        <v>60.35</v>
      </c>
      <c r="Q20">
        <v>20.096699999999998</v>
      </c>
      <c r="R20">
        <v>1438.09</v>
      </c>
      <c r="S20">
        <v>42.22</v>
      </c>
      <c r="T20">
        <v>21.94</v>
      </c>
      <c r="U20">
        <v>18.89</v>
      </c>
      <c r="V20">
        <v>39.159999999999997</v>
      </c>
      <c r="W20">
        <v>46.772100000000002</v>
      </c>
      <c r="X20">
        <v>29.16</v>
      </c>
      <c r="Y20">
        <v>56.17</v>
      </c>
      <c r="Z20">
        <v>43.97</v>
      </c>
      <c r="AA20">
        <v>93.85</v>
      </c>
      <c r="AB20">
        <v>63.79</v>
      </c>
      <c r="AC20">
        <v>47.25</v>
      </c>
      <c r="AD20">
        <v>601.91999999999996</v>
      </c>
      <c r="AE20">
        <v>681.75</v>
      </c>
      <c r="AF20">
        <v>46.7</v>
      </c>
      <c r="AG20">
        <v>61.65</v>
      </c>
      <c r="AH20">
        <v>53.47</v>
      </c>
      <c r="AI20">
        <v>55.54</v>
      </c>
    </row>
    <row r="21" spans="1:35" x14ac:dyDescent="0.45">
      <c r="A21" s="2">
        <v>46066</v>
      </c>
      <c r="B21">
        <v>35.368400000000001</v>
      </c>
      <c r="C21">
        <v>43.81</v>
      </c>
      <c r="D21">
        <v>17.77</v>
      </c>
      <c r="E21">
        <v>26.97</v>
      </c>
      <c r="F21">
        <v>37.67</v>
      </c>
      <c r="G21">
        <v>86.67</v>
      </c>
      <c r="H21">
        <v>29.72</v>
      </c>
      <c r="I21">
        <v>73.05</v>
      </c>
      <c r="J21">
        <v>81.03</v>
      </c>
      <c r="K21">
        <v>133.97</v>
      </c>
      <c r="L21">
        <v>38.06</v>
      </c>
      <c r="M21">
        <v>75.319999999999993</v>
      </c>
      <c r="N21">
        <v>71.900000000000006</v>
      </c>
      <c r="O21">
        <v>52.89</v>
      </c>
      <c r="P21">
        <v>60.35</v>
      </c>
      <c r="Q21">
        <v>20.096699999999998</v>
      </c>
      <c r="R21">
        <v>1430.41</v>
      </c>
      <c r="S21">
        <v>42.22</v>
      </c>
      <c r="T21">
        <v>21.94</v>
      </c>
      <c r="U21">
        <v>18.89</v>
      </c>
      <c r="V21">
        <v>39.159999999999997</v>
      </c>
      <c r="W21">
        <v>46.772100000000002</v>
      </c>
      <c r="X21">
        <v>29.16</v>
      </c>
      <c r="Y21">
        <v>56.17</v>
      </c>
      <c r="Z21">
        <v>43.97</v>
      </c>
      <c r="AA21">
        <v>93.85</v>
      </c>
      <c r="AB21">
        <v>63.79</v>
      </c>
      <c r="AC21">
        <v>47.25</v>
      </c>
      <c r="AD21">
        <v>601.91999999999996</v>
      </c>
      <c r="AE21">
        <v>681.75</v>
      </c>
      <c r="AF21">
        <v>46.7</v>
      </c>
      <c r="AG21">
        <v>61.65</v>
      </c>
      <c r="AH21">
        <v>53.47</v>
      </c>
      <c r="AI21">
        <v>55.54</v>
      </c>
    </row>
    <row r="22" spans="1:35" x14ac:dyDescent="0.45">
      <c r="A22" s="2">
        <v>46065</v>
      </c>
      <c r="B22">
        <v>35.56</v>
      </c>
      <c r="C22">
        <v>44.25</v>
      </c>
      <c r="D22">
        <v>17.89</v>
      </c>
      <c r="E22">
        <v>26.94</v>
      </c>
      <c r="F22">
        <v>37.909999999999997</v>
      </c>
      <c r="G22">
        <v>87.03</v>
      </c>
      <c r="H22">
        <v>29.71</v>
      </c>
      <c r="I22">
        <v>72.56</v>
      </c>
      <c r="J22">
        <v>79.92</v>
      </c>
      <c r="K22">
        <v>130.80000000000001</v>
      </c>
      <c r="L22">
        <v>38.49</v>
      </c>
      <c r="M22">
        <v>74.150000000000006</v>
      </c>
      <c r="N22">
        <v>73.56</v>
      </c>
      <c r="O22">
        <v>53.11</v>
      </c>
      <c r="P22">
        <v>60.58</v>
      </c>
      <c r="Q22">
        <v>20.074999999999999</v>
      </c>
      <c r="R22">
        <v>1441.53</v>
      </c>
      <c r="S22">
        <v>41.91</v>
      </c>
      <c r="T22">
        <v>21.89</v>
      </c>
      <c r="U22">
        <v>18.510000000000002</v>
      </c>
      <c r="V22">
        <v>38.94</v>
      </c>
      <c r="W22">
        <v>47.456800000000001</v>
      </c>
      <c r="X22">
        <v>29.1</v>
      </c>
      <c r="Y22">
        <v>55.26</v>
      </c>
      <c r="Z22">
        <v>43.96</v>
      </c>
      <c r="AA22">
        <v>93.37</v>
      </c>
      <c r="AB22">
        <v>63.46</v>
      </c>
      <c r="AC22">
        <v>47.01</v>
      </c>
      <c r="AD22">
        <v>600.64</v>
      </c>
      <c r="AE22">
        <v>681.27</v>
      </c>
      <c r="AF22">
        <v>46.68</v>
      </c>
      <c r="AG22">
        <v>61.53</v>
      </c>
      <c r="AH22">
        <v>53.42</v>
      </c>
      <c r="AI22">
        <v>56.52</v>
      </c>
    </row>
    <row r="23" spans="1:35" x14ac:dyDescent="0.45">
      <c r="A23" s="2">
        <v>46064</v>
      </c>
      <c r="B23">
        <v>35.76</v>
      </c>
      <c r="C23">
        <v>45.35</v>
      </c>
      <c r="D23">
        <v>18.09</v>
      </c>
      <c r="E23">
        <v>27.25</v>
      </c>
      <c r="F23">
        <v>38.39</v>
      </c>
      <c r="G23">
        <v>90.05</v>
      </c>
      <c r="H23">
        <v>29.98</v>
      </c>
      <c r="I23">
        <v>73.349999999999994</v>
      </c>
      <c r="J23">
        <v>80.7</v>
      </c>
      <c r="K23">
        <v>130.6</v>
      </c>
      <c r="L23">
        <v>39.159999999999997</v>
      </c>
      <c r="M23">
        <v>76.53</v>
      </c>
      <c r="N23">
        <v>73.84</v>
      </c>
      <c r="O23">
        <v>53.53</v>
      </c>
      <c r="P23">
        <v>61.93</v>
      </c>
      <c r="Q23">
        <v>20.125</v>
      </c>
      <c r="R23">
        <v>1411.7</v>
      </c>
      <c r="S23">
        <v>41.21</v>
      </c>
      <c r="T23">
        <v>21.83</v>
      </c>
      <c r="U23">
        <v>18.71</v>
      </c>
      <c r="V23">
        <v>39.19</v>
      </c>
      <c r="W23">
        <v>47.898000000000003</v>
      </c>
      <c r="X23">
        <v>29.3</v>
      </c>
      <c r="Y23">
        <v>56.58</v>
      </c>
      <c r="Z23">
        <v>44.05</v>
      </c>
      <c r="AA23">
        <v>93.97</v>
      </c>
      <c r="AB23">
        <v>63.24</v>
      </c>
      <c r="AC23">
        <v>47.43</v>
      </c>
      <c r="AD23">
        <v>613.11</v>
      </c>
      <c r="AE23">
        <v>691.96</v>
      </c>
      <c r="AF23">
        <v>47.08</v>
      </c>
      <c r="AG23">
        <v>63.06</v>
      </c>
      <c r="AH23">
        <v>54.56</v>
      </c>
      <c r="AI23">
        <v>56.98</v>
      </c>
    </row>
    <row r="24" spans="1:35" x14ac:dyDescent="0.45">
      <c r="A24" s="2">
        <v>46063</v>
      </c>
      <c r="B24">
        <v>35.715000000000003</v>
      </c>
      <c r="C24">
        <v>44.54</v>
      </c>
      <c r="D24">
        <v>17.75</v>
      </c>
      <c r="E24">
        <v>26.93</v>
      </c>
      <c r="F24">
        <v>38.11</v>
      </c>
      <c r="G24">
        <v>89.43</v>
      </c>
      <c r="H24">
        <v>29.69</v>
      </c>
      <c r="I24">
        <v>71.44</v>
      </c>
      <c r="J24">
        <v>80.48</v>
      </c>
      <c r="K24">
        <v>124.45</v>
      </c>
      <c r="L24">
        <v>38.32</v>
      </c>
      <c r="M24">
        <v>75.41</v>
      </c>
      <c r="N24">
        <v>74.540000000000006</v>
      </c>
      <c r="O24">
        <v>53.74</v>
      </c>
      <c r="P24">
        <v>61.99</v>
      </c>
      <c r="Q24">
        <v>20.094999999999999</v>
      </c>
      <c r="R24">
        <v>1410.44</v>
      </c>
      <c r="S24">
        <v>40.97</v>
      </c>
      <c r="T24">
        <v>21.9</v>
      </c>
      <c r="U24">
        <v>18.079999999999998</v>
      </c>
      <c r="V24">
        <v>39.229999999999997</v>
      </c>
      <c r="W24">
        <v>47.994999999999997</v>
      </c>
      <c r="X24">
        <v>28.64</v>
      </c>
      <c r="Y24">
        <v>56.72</v>
      </c>
      <c r="Z24">
        <v>44.22</v>
      </c>
      <c r="AA24">
        <v>93.1</v>
      </c>
      <c r="AB24">
        <v>63.43</v>
      </c>
      <c r="AC24">
        <v>46.74</v>
      </c>
      <c r="AD24">
        <v>611.47</v>
      </c>
      <c r="AE24">
        <v>692.12</v>
      </c>
      <c r="AF24">
        <v>46.83</v>
      </c>
      <c r="AG24">
        <v>63.07</v>
      </c>
      <c r="AH24">
        <v>54.17</v>
      </c>
      <c r="AI24">
        <v>57.32</v>
      </c>
    </row>
    <row r="25" spans="1:35" x14ac:dyDescent="0.45">
      <c r="A25" s="2">
        <v>46062</v>
      </c>
      <c r="B25">
        <v>35.82</v>
      </c>
      <c r="C25">
        <v>46.17</v>
      </c>
      <c r="D25">
        <v>17.600000000000001</v>
      </c>
      <c r="E25">
        <v>26.42</v>
      </c>
      <c r="F25">
        <v>38.76</v>
      </c>
      <c r="G25">
        <v>91.08</v>
      </c>
      <c r="H25">
        <v>29.83</v>
      </c>
      <c r="I25">
        <v>70.760000000000005</v>
      </c>
      <c r="J25">
        <v>80.67</v>
      </c>
      <c r="K25">
        <v>126.05</v>
      </c>
      <c r="L25">
        <v>38.42</v>
      </c>
      <c r="M25">
        <v>75.72</v>
      </c>
      <c r="N25">
        <v>74.77</v>
      </c>
      <c r="O25">
        <v>53.44</v>
      </c>
      <c r="P25">
        <v>61.97</v>
      </c>
      <c r="Q25">
        <v>20.100000000000001</v>
      </c>
      <c r="R25">
        <v>1400.89</v>
      </c>
      <c r="S25">
        <v>41.54</v>
      </c>
      <c r="T25">
        <v>21.89</v>
      </c>
      <c r="U25">
        <v>18.045000000000002</v>
      </c>
      <c r="V25">
        <v>39.46</v>
      </c>
      <c r="W25">
        <v>47.975000000000001</v>
      </c>
      <c r="X25">
        <v>28.83</v>
      </c>
      <c r="Y25">
        <v>56.27</v>
      </c>
      <c r="Z25">
        <v>44.32</v>
      </c>
      <c r="AA25">
        <v>91.29</v>
      </c>
      <c r="AB25">
        <v>63.45</v>
      </c>
      <c r="AC25">
        <v>47.02</v>
      </c>
      <c r="AD25">
        <v>614.32000000000005</v>
      </c>
      <c r="AE25">
        <v>693.95</v>
      </c>
      <c r="AF25">
        <v>46.99</v>
      </c>
      <c r="AG25">
        <v>62.99</v>
      </c>
      <c r="AH25">
        <v>53.38</v>
      </c>
      <c r="AI25">
        <v>57.61</v>
      </c>
    </row>
    <row r="26" spans="1:35" x14ac:dyDescent="0.45">
      <c r="A26" s="2">
        <v>46059</v>
      </c>
      <c r="B26">
        <v>35.409999999999997</v>
      </c>
      <c r="C26">
        <v>45.24</v>
      </c>
      <c r="D26">
        <v>17.600000000000001</v>
      </c>
      <c r="E26">
        <v>26.73</v>
      </c>
      <c r="F26">
        <v>37.92</v>
      </c>
      <c r="G26">
        <v>88.15</v>
      </c>
      <c r="H26">
        <v>29.57</v>
      </c>
      <c r="I26">
        <v>70.05</v>
      </c>
      <c r="J26">
        <v>79.87</v>
      </c>
      <c r="K26">
        <v>124.71</v>
      </c>
      <c r="L26">
        <v>37.56</v>
      </c>
      <c r="M26">
        <v>74.77</v>
      </c>
      <c r="N26">
        <v>75.17</v>
      </c>
      <c r="O26">
        <v>53.28</v>
      </c>
      <c r="P26">
        <v>61.67</v>
      </c>
      <c r="Q26">
        <v>19.940000000000001</v>
      </c>
      <c r="R26">
        <v>1354.01</v>
      </c>
      <c r="S26">
        <v>40.840000000000003</v>
      </c>
      <c r="T26">
        <v>21.73</v>
      </c>
      <c r="U26">
        <v>18.03</v>
      </c>
      <c r="V26">
        <v>39.75</v>
      </c>
      <c r="W26">
        <v>47.6</v>
      </c>
      <c r="X26">
        <v>28.23</v>
      </c>
      <c r="Y26">
        <v>55.01</v>
      </c>
      <c r="Z26">
        <v>43.53</v>
      </c>
      <c r="AA26">
        <v>89.4</v>
      </c>
      <c r="AB26">
        <v>63.09</v>
      </c>
      <c r="AC26">
        <v>46.9</v>
      </c>
      <c r="AD26">
        <v>609.65</v>
      </c>
      <c r="AE26">
        <v>690.62</v>
      </c>
      <c r="AF26">
        <v>46.4</v>
      </c>
      <c r="AG26">
        <v>62.03</v>
      </c>
      <c r="AH26">
        <v>52.93</v>
      </c>
      <c r="AI26">
        <v>56.28</v>
      </c>
    </row>
    <row r="27" spans="1:35" x14ac:dyDescent="0.45">
      <c r="A27" s="2">
        <v>46058</v>
      </c>
      <c r="B27">
        <v>34.840000000000003</v>
      </c>
      <c r="C27">
        <v>45.19</v>
      </c>
      <c r="D27">
        <v>17.510000000000002</v>
      </c>
      <c r="E27">
        <v>26.45</v>
      </c>
      <c r="F27">
        <v>37.369999999999997</v>
      </c>
      <c r="G27">
        <v>85.17</v>
      </c>
      <c r="H27">
        <v>29.18</v>
      </c>
      <c r="I27">
        <v>67.86</v>
      </c>
      <c r="J27">
        <v>76.83</v>
      </c>
      <c r="K27">
        <v>120.21</v>
      </c>
      <c r="L27">
        <v>36.909999999999997</v>
      </c>
      <c r="M27">
        <v>71.599999999999994</v>
      </c>
      <c r="N27">
        <v>74.650000000000006</v>
      </c>
      <c r="O27">
        <v>52.95</v>
      </c>
      <c r="P27">
        <v>60.1</v>
      </c>
      <c r="Q27">
        <v>19.82</v>
      </c>
      <c r="R27">
        <v>1346.23</v>
      </c>
      <c r="S27">
        <v>40.659999999999997</v>
      </c>
      <c r="T27">
        <v>21.39</v>
      </c>
      <c r="U27">
        <v>18.12</v>
      </c>
      <c r="V27">
        <v>39.22</v>
      </c>
      <c r="W27">
        <v>47.11</v>
      </c>
      <c r="X27">
        <v>27.84</v>
      </c>
      <c r="Y27">
        <v>54.14</v>
      </c>
      <c r="Z27">
        <v>42.84</v>
      </c>
      <c r="AA27">
        <v>86.1</v>
      </c>
      <c r="AB27">
        <v>62.24</v>
      </c>
      <c r="AC27">
        <v>45.94</v>
      </c>
      <c r="AD27">
        <v>597.03</v>
      </c>
      <c r="AE27">
        <v>677.62</v>
      </c>
      <c r="AF27">
        <v>45.73</v>
      </c>
      <c r="AG27">
        <v>60.56</v>
      </c>
      <c r="AH27">
        <v>51.86</v>
      </c>
      <c r="AI27">
        <v>55.7</v>
      </c>
    </row>
    <row r="28" spans="1:35" x14ac:dyDescent="0.45">
      <c r="A28" s="2">
        <v>46057</v>
      </c>
      <c r="B28">
        <v>35.14</v>
      </c>
      <c r="C28">
        <v>45.66</v>
      </c>
      <c r="D28">
        <v>17.79</v>
      </c>
      <c r="E28">
        <v>26.33</v>
      </c>
      <c r="F28">
        <v>38.28</v>
      </c>
      <c r="G28">
        <v>88.38</v>
      </c>
      <c r="H28">
        <v>29.49</v>
      </c>
      <c r="I28">
        <v>68.150000000000006</v>
      </c>
      <c r="J28">
        <v>77.22</v>
      </c>
      <c r="K28">
        <v>120.26</v>
      </c>
      <c r="L28">
        <v>36.979999999999997</v>
      </c>
      <c r="M28">
        <v>73.98</v>
      </c>
      <c r="N28">
        <v>76.09</v>
      </c>
      <c r="O28">
        <v>53.44</v>
      </c>
      <c r="P28">
        <v>60.31</v>
      </c>
      <c r="Q28">
        <v>19.96</v>
      </c>
      <c r="R28">
        <v>1346.54</v>
      </c>
      <c r="S28">
        <v>41.37</v>
      </c>
      <c r="T28">
        <v>21.29</v>
      </c>
      <c r="U28">
        <v>18.61</v>
      </c>
      <c r="V28">
        <v>39.630000000000003</v>
      </c>
      <c r="W28">
        <v>46.72</v>
      </c>
      <c r="X28">
        <v>28.35</v>
      </c>
      <c r="Y28">
        <v>55.01</v>
      </c>
      <c r="Z28">
        <v>43.25</v>
      </c>
      <c r="AA28">
        <v>87.49</v>
      </c>
      <c r="AB28">
        <v>62.47</v>
      </c>
      <c r="AC28">
        <v>47.05</v>
      </c>
      <c r="AD28">
        <v>605.75</v>
      </c>
      <c r="AE28">
        <v>686.19</v>
      </c>
      <c r="AF28">
        <v>46.03</v>
      </c>
      <c r="AG28">
        <v>61.07</v>
      </c>
      <c r="AH28">
        <v>52.92</v>
      </c>
      <c r="AI28">
        <v>56.95</v>
      </c>
    </row>
    <row r="29" spans="1:35" x14ac:dyDescent="0.45">
      <c r="A29" s="2">
        <v>46056</v>
      </c>
      <c r="B29">
        <v>35</v>
      </c>
      <c r="C29">
        <v>47.19</v>
      </c>
      <c r="D29">
        <v>17.59</v>
      </c>
      <c r="E29">
        <v>26.45</v>
      </c>
      <c r="F29">
        <v>38.35</v>
      </c>
      <c r="G29">
        <v>91.33</v>
      </c>
      <c r="H29">
        <v>29.42</v>
      </c>
      <c r="I29">
        <v>68.83</v>
      </c>
      <c r="J29">
        <v>78.760000000000005</v>
      </c>
      <c r="K29">
        <v>124.32</v>
      </c>
      <c r="L29">
        <v>38.04</v>
      </c>
      <c r="M29">
        <v>74.56</v>
      </c>
      <c r="N29">
        <v>76.02</v>
      </c>
      <c r="O29">
        <v>53.15</v>
      </c>
      <c r="P29">
        <v>61.07</v>
      </c>
      <c r="Q29">
        <v>19.916899999999998</v>
      </c>
      <c r="R29">
        <v>1336.11</v>
      </c>
      <c r="S29">
        <v>41.54</v>
      </c>
      <c r="T29">
        <v>21.11</v>
      </c>
      <c r="U29">
        <v>18.45</v>
      </c>
      <c r="V29">
        <v>39.57</v>
      </c>
      <c r="W29">
        <v>47.241999999999997</v>
      </c>
      <c r="X29">
        <v>28.12</v>
      </c>
      <c r="Y29">
        <v>54.84</v>
      </c>
      <c r="Z29">
        <v>43.51</v>
      </c>
      <c r="AA29">
        <v>86.68</v>
      </c>
      <c r="AB29">
        <v>61.89</v>
      </c>
      <c r="AC29">
        <v>46.47</v>
      </c>
      <c r="AD29">
        <v>616.52</v>
      </c>
      <c r="AE29">
        <v>689.53</v>
      </c>
      <c r="AF29">
        <v>45.69</v>
      </c>
      <c r="AG29">
        <v>61.9</v>
      </c>
      <c r="AH29">
        <v>53.23</v>
      </c>
      <c r="AI29">
        <v>56.93</v>
      </c>
    </row>
    <row r="30" spans="1:35" x14ac:dyDescent="0.45">
      <c r="A30" s="2">
        <v>46055</v>
      </c>
      <c r="B30">
        <v>34.72</v>
      </c>
      <c r="C30">
        <v>46.05</v>
      </c>
      <c r="D30">
        <v>17.41</v>
      </c>
      <c r="E30">
        <v>26.24</v>
      </c>
      <c r="F30">
        <v>37.659999999999997</v>
      </c>
      <c r="G30">
        <v>87.4</v>
      </c>
      <c r="H30">
        <v>29.32</v>
      </c>
      <c r="I30">
        <v>68.94</v>
      </c>
      <c r="J30">
        <v>75.430000000000007</v>
      </c>
      <c r="K30">
        <v>120.93</v>
      </c>
      <c r="L30">
        <v>37.450000000000003</v>
      </c>
      <c r="M30">
        <v>73.25</v>
      </c>
      <c r="N30">
        <v>74.66</v>
      </c>
      <c r="O30">
        <v>53.28</v>
      </c>
      <c r="P30">
        <v>61.61</v>
      </c>
      <c r="Q30">
        <v>19.97</v>
      </c>
      <c r="R30">
        <v>1321.42</v>
      </c>
      <c r="S30">
        <v>41.14</v>
      </c>
      <c r="T30">
        <v>20.94</v>
      </c>
      <c r="U30">
        <v>18.77</v>
      </c>
      <c r="V30">
        <v>39.79</v>
      </c>
      <c r="W30">
        <v>47.117699999999999</v>
      </c>
      <c r="X30">
        <v>27.95</v>
      </c>
      <c r="Y30">
        <v>54.55</v>
      </c>
      <c r="Z30">
        <v>43.48</v>
      </c>
      <c r="AA30">
        <v>85.89</v>
      </c>
      <c r="AB30">
        <v>62.25</v>
      </c>
      <c r="AC30">
        <v>46.54</v>
      </c>
      <c r="AD30">
        <v>626.14</v>
      </c>
      <c r="AE30">
        <v>695.41</v>
      </c>
      <c r="AF30">
        <v>45.68</v>
      </c>
      <c r="AG30">
        <v>62.77</v>
      </c>
      <c r="AH30">
        <v>52.88</v>
      </c>
      <c r="AI30">
        <v>56.37</v>
      </c>
    </row>
    <row r="31" spans="1:35" x14ac:dyDescent="0.45">
      <c r="A31" s="2">
        <v>46052</v>
      </c>
      <c r="B31">
        <v>35.11</v>
      </c>
      <c r="C31">
        <v>45.24</v>
      </c>
      <c r="D31">
        <v>17.649999999999999</v>
      </c>
      <c r="E31">
        <v>25.97</v>
      </c>
      <c r="F31">
        <v>37.590000000000003</v>
      </c>
      <c r="G31">
        <v>86.6</v>
      </c>
      <c r="H31">
        <v>29.18</v>
      </c>
      <c r="I31">
        <v>68.06</v>
      </c>
      <c r="J31">
        <v>75.12</v>
      </c>
      <c r="K31">
        <v>122.41</v>
      </c>
      <c r="L31">
        <v>37.04</v>
      </c>
      <c r="M31">
        <v>73.2</v>
      </c>
      <c r="N31">
        <v>73.75</v>
      </c>
      <c r="O31">
        <v>51.74</v>
      </c>
      <c r="P31">
        <v>62.4</v>
      </c>
      <c r="Q31">
        <v>19.71</v>
      </c>
      <c r="R31">
        <v>1325.62</v>
      </c>
      <c r="S31">
        <v>41.25</v>
      </c>
      <c r="T31">
        <v>20.49</v>
      </c>
      <c r="U31">
        <v>19.07</v>
      </c>
      <c r="V31">
        <v>39.86</v>
      </c>
      <c r="W31">
        <v>46.940800000000003</v>
      </c>
      <c r="X31">
        <v>27.75</v>
      </c>
      <c r="Y31">
        <v>54.26</v>
      </c>
      <c r="Z31">
        <v>43.11</v>
      </c>
      <c r="AA31">
        <v>85.72</v>
      </c>
      <c r="AB31">
        <v>61.54</v>
      </c>
      <c r="AC31">
        <v>46.16</v>
      </c>
      <c r="AD31">
        <v>621.87</v>
      </c>
      <c r="AE31">
        <v>691.97</v>
      </c>
      <c r="AF31">
        <v>45.35</v>
      </c>
      <c r="AG31">
        <v>62.27</v>
      </c>
      <c r="AH31">
        <v>52.27</v>
      </c>
      <c r="AI31">
        <v>55.88</v>
      </c>
    </row>
    <row r="32" spans="1:35" x14ac:dyDescent="0.45">
      <c r="A32" s="2">
        <v>46051</v>
      </c>
      <c r="B32">
        <v>35.89</v>
      </c>
      <c r="C32">
        <v>46.875</v>
      </c>
      <c r="D32">
        <v>17.579999999999998</v>
      </c>
      <c r="E32">
        <v>25.65</v>
      </c>
      <c r="F32">
        <v>38.380000000000003</v>
      </c>
      <c r="G32">
        <v>92.57</v>
      </c>
      <c r="H32">
        <v>29.27</v>
      </c>
      <c r="I32">
        <v>69.83</v>
      </c>
      <c r="J32">
        <v>78.45</v>
      </c>
      <c r="K32">
        <v>124.5</v>
      </c>
      <c r="L32">
        <v>38.119999999999997</v>
      </c>
      <c r="M32">
        <v>79.58</v>
      </c>
      <c r="N32">
        <v>75.62</v>
      </c>
      <c r="O32">
        <v>51.61</v>
      </c>
      <c r="P32">
        <v>64.23</v>
      </c>
      <c r="Q32">
        <v>19.82</v>
      </c>
      <c r="R32">
        <v>1331.07</v>
      </c>
      <c r="S32">
        <v>41.58</v>
      </c>
      <c r="T32">
        <v>20.66</v>
      </c>
      <c r="U32">
        <v>18.809999999999999</v>
      </c>
      <c r="V32">
        <v>39.869999999999997</v>
      </c>
      <c r="W32">
        <v>47.234000000000002</v>
      </c>
      <c r="X32">
        <v>28.42</v>
      </c>
      <c r="Y32">
        <v>56.53</v>
      </c>
      <c r="Z32">
        <v>43.44</v>
      </c>
      <c r="AA32">
        <v>86.09</v>
      </c>
      <c r="AB32">
        <v>62.22</v>
      </c>
      <c r="AC32">
        <v>46.44</v>
      </c>
      <c r="AD32">
        <v>629.42999999999995</v>
      </c>
      <c r="AE32">
        <v>694.04</v>
      </c>
      <c r="AF32">
        <v>45.82</v>
      </c>
      <c r="AG32">
        <v>63.48</v>
      </c>
      <c r="AH32">
        <v>53.45</v>
      </c>
      <c r="AI32">
        <v>56.17</v>
      </c>
    </row>
    <row r="33" spans="1:35" x14ac:dyDescent="0.45">
      <c r="A33" s="2">
        <v>46050</v>
      </c>
      <c r="B33">
        <v>35.520000000000003</v>
      </c>
      <c r="C33">
        <v>47.06</v>
      </c>
      <c r="D33">
        <v>17.260000000000002</v>
      </c>
      <c r="E33">
        <v>26.33</v>
      </c>
      <c r="F33">
        <v>38.25</v>
      </c>
      <c r="G33">
        <v>92.07</v>
      </c>
      <c r="H33">
        <v>29.84</v>
      </c>
      <c r="I33">
        <v>71.19</v>
      </c>
      <c r="J33">
        <v>78.73</v>
      </c>
      <c r="K33">
        <v>125.56</v>
      </c>
      <c r="L33">
        <v>38.33</v>
      </c>
      <c r="M33">
        <v>80.14</v>
      </c>
      <c r="N33">
        <v>77.2</v>
      </c>
      <c r="O33">
        <v>51.49</v>
      </c>
      <c r="P33">
        <v>63.91</v>
      </c>
      <c r="Q33">
        <v>20</v>
      </c>
      <c r="R33">
        <v>1338.9</v>
      </c>
      <c r="S33">
        <v>40.39</v>
      </c>
      <c r="T33">
        <v>20.75</v>
      </c>
      <c r="U33">
        <v>18.5</v>
      </c>
      <c r="V33">
        <v>40.14</v>
      </c>
      <c r="W33">
        <v>47.11</v>
      </c>
      <c r="X33">
        <v>28.17</v>
      </c>
      <c r="Y33">
        <v>56.35</v>
      </c>
      <c r="Z33">
        <v>44.01</v>
      </c>
      <c r="AA33">
        <v>85.21</v>
      </c>
      <c r="AB33">
        <v>61.05</v>
      </c>
      <c r="AC33">
        <v>46.24</v>
      </c>
      <c r="AD33">
        <v>633.22</v>
      </c>
      <c r="AE33">
        <v>695.42</v>
      </c>
      <c r="AF33">
        <v>45.53</v>
      </c>
      <c r="AG33">
        <v>63.05</v>
      </c>
      <c r="AH33">
        <v>52.93</v>
      </c>
      <c r="AI33">
        <v>55.83</v>
      </c>
    </row>
    <row r="34" spans="1:35" x14ac:dyDescent="0.45">
      <c r="A34" s="2">
        <v>46049</v>
      </c>
      <c r="B34">
        <v>35.64</v>
      </c>
      <c r="C34">
        <v>47.37</v>
      </c>
      <c r="D34">
        <v>19.18</v>
      </c>
      <c r="E34">
        <v>26.23</v>
      </c>
      <c r="F34">
        <v>38.44</v>
      </c>
      <c r="G34">
        <v>91.61</v>
      </c>
      <c r="H34">
        <v>30.06</v>
      </c>
      <c r="I34">
        <v>71.319999999999993</v>
      </c>
      <c r="J34">
        <v>77.86</v>
      </c>
      <c r="K34">
        <v>122.7</v>
      </c>
      <c r="L34">
        <v>37.89</v>
      </c>
      <c r="M34">
        <v>79.02</v>
      </c>
      <c r="N34">
        <v>75.349999999999994</v>
      </c>
      <c r="O34">
        <v>51.69</v>
      </c>
      <c r="P34">
        <v>63.29</v>
      </c>
      <c r="Q34">
        <v>19.940000000000001</v>
      </c>
      <c r="R34">
        <v>1334.45</v>
      </c>
      <c r="S34">
        <v>39.56</v>
      </c>
      <c r="T34">
        <v>20.71</v>
      </c>
      <c r="U34">
        <v>18.760000000000002</v>
      </c>
      <c r="V34">
        <v>40.119999999999997</v>
      </c>
      <c r="W34">
        <v>47.52</v>
      </c>
      <c r="X34">
        <v>28.24</v>
      </c>
      <c r="Y34">
        <v>56.18</v>
      </c>
      <c r="Z34">
        <v>44.3</v>
      </c>
      <c r="AA34">
        <v>85.84</v>
      </c>
      <c r="AB34">
        <v>62.57</v>
      </c>
      <c r="AC34">
        <v>46.5</v>
      </c>
      <c r="AD34">
        <v>631.13</v>
      </c>
      <c r="AE34">
        <v>695.49</v>
      </c>
      <c r="AF34">
        <v>46.15</v>
      </c>
      <c r="AG34">
        <v>63.7</v>
      </c>
      <c r="AH34">
        <v>53.64</v>
      </c>
      <c r="AI34">
        <v>56.63</v>
      </c>
    </row>
    <row r="35" spans="1:35" x14ac:dyDescent="0.45">
      <c r="A35" s="2">
        <v>46048</v>
      </c>
      <c r="B35">
        <v>35.58</v>
      </c>
      <c r="C35">
        <v>46.78</v>
      </c>
      <c r="D35">
        <v>19.2</v>
      </c>
      <c r="E35">
        <v>26.03</v>
      </c>
      <c r="F35">
        <v>37.74</v>
      </c>
      <c r="G35">
        <v>90.43</v>
      </c>
      <c r="H35">
        <v>29.5</v>
      </c>
      <c r="I35">
        <v>69.94</v>
      </c>
      <c r="J35">
        <v>76.7</v>
      </c>
      <c r="K35">
        <v>117.32</v>
      </c>
      <c r="L35">
        <v>36.61</v>
      </c>
      <c r="M35">
        <v>77.38</v>
      </c>
      <c r="N35">
        <v>73.06</v>
      </c>
      <c r="O35">
        <v>51.44</v>
      </c>
      <c r="P35">
        <v>62.66</v>
      </c>
      <c r="Q35">
        <v>19.937000000000001</v>
      </c>
      <c r="R35">
        <v>1307.07</v>
      </c>
      <c r="S35">
        <v>39.86</v>
      </c>
      <c r="T35">
        <v>20.41</v>
      </c>
      <c r="U35">
        <v>18.91</v>
      </c>
      <c r="V35">
        <v>39.61</v>
      </c>
      <c r="W35">
        <v>46.87</v>
      </c>
      <c r="X35">
        <v>27.62</v>
      </c>
      <c r="Y35">
        <v>55.69</v>
      </c>
      <c r="Z35">
        <v>43.84</v>
      </c>
      <c r="AA35">
        <v>84.63</v>
      </c>
      <c r="AB35">
        <v>61.19</v>
      </c>
      <c r="AC35">
        <v>45.83</v>
      </c>
      <c r="AD35">
        <v>625.46</v>
      </c>
      <c r="AE35">
        <v>692.73</v>
      </c>
      <c r="AF35">
        <v>45.65</v>
      </c>
      <c r="AG35">
        <v>62.81</v>
      </c>
      <c r="AH35">
        <v>52.72</v>
      </c>
      <c r="AI35">
        <v>55.39</v>
      </c>
    </row>
    <row r="36" spans="1:35" x14ac:dyDescent="0.45">
      <c r="A36" s="2">
        <v>46045</v>
      </c>
      <c r="B36">
        <v>35.549999999999997</v>
      </c>
      <c r="C36">
        <v>46.4</v>
      </c>
      <c r="D36">
        <v>19.010000000000002</v>
      </c>
      <c r="E36">
        <v>26.21</v>
      </c>
      <c r="F36">
        <v>36.89</v>
      </c>
      <c r="G36">
        <v>88.38</v>
      </c>
      <c r="H36">
        <v>28.78</v>
      </c>
      <c r="I36">
        <v>69.709999999999994</v>
      </c>
      <c r="J36">
        <v>76.08</v>
      </c>
      <c r="K36">
        <v>117.97</v>
      </c>
      <c r="L36">
        <v>36.590000000000003</v>
      </c>
      <c r="M36">
        <v>76.34</v>
      </c>
      <c r="N36">
        <v>72.25</v>
      </c>
      <c r="O36">
        <v>51.24</v>
      </c>
      <c r="P36">
        <v>62.74</v>
      </c>
      <c r="Q36">
        <v>19.82</v>
      </c>
      <c r="R36">
        <v>1314.39</v>
      </c>
      <c r="S36">
        <v>39.43</v>
      </c>
      <c r="T36">
        <v>20.46</v>
      </c>
      <c r="U36">
        <v>19.420000000000002</v>
      </c>
      <c r="V36">
        <v>39.01</v>
      </c>
      <c r="W36">
        <v>46.624000000000002</v>
      </c>
      <c r="X36">
        <v>27.38</v>
      </c>
      <c r="Y36">
        <v>55.77</v>
      </c>
      <c r="Z36">
        <v>43.48</v>
      </c>
      <c r="AA36">
        <v>84.56</v>
      </c>
      <c r="AB36">
        <v>60.87</v>
      </c>
      <c r="AC36">
        <v>45.57</v>
      </c>
      <c r="AD36">
        <v>622.72</v>
      </c>
      <c r="AE36">
        <v>689.23</v>
      </c>
      <c r="AF36">
        <v>45.51</v>
      </c>
      <c r="AG36">
        <v>62.33</v>
      </c>
      <c r="AH36">
        <v>52.38</v>
      </c>
      <c r="AI36">
        <v>54.91</v>
      </c>
    </row>
    <row r="37" spans="1:35" x14ac:dyDescent="0.45">
      <c r="A37" s="2">
        <v>46044</v>
      </c>
      <c r="B37">
        <v>35.78</v>
      </c>
      <c r="C37">
        <v>46.174999999999997</v>
      </c>
      <c r="D37">
        <v>19.05</v>
      </c>
      <c r="E37">
        <v>26.35</v>
      </c>
      <c r="F37">
        <v>37.26</v>
      </c>
      <c r="G37">
        <v>86.2</v>
      </c>
      <c r="H37">
        <v>28.43</v>
      </c>
      <c r="I37">
        <v>68.25</v>
      </c>
      <c r="J37">
        <v>75.75</v>
      </c>
      <c r="K37">
        <v>115.99</v>
      </c>
      <c r="L37">
        <v>35.950000000000003</v>
      </c>
      <c r="M37">
        <v>75.56</v>
      </c>
      <c r="N37">
        <v>72.2</v>
      </c>
      <c r="O37">
        <v>51.795000000000002</v>
      </c>
      <c r="P37">
        <v>62.78</v>
      </c>
      <c r="Q37">
        <v>19.899999999999999</v>
      </c>
      <c r="R37">
        <v>1311.64</v>
      </c>
      <c r="S37">
        <v>39.08</v>
      </c>
      <c r="T37">
        <v>20.62</v>
      </c>
      <c r="U37">
        <v>19.625</v>
      </c>
      <c r="V37">
        <v>38.93</v>
      </c>
      <c r="W37">
        <v>46.755000000000003</v>
      </c>
      <c r="X37">
        <v>27.07</v>
      </c>
      <c r="Y37">
        <v>55.2</v>
      </c>
      <c r="Z37">
        <v>43.1</v>
      </c>
      <c r="AA37">
        <v>84.86</v>
      </c>
      <c r="AB37">
        <v>60.59</v>
      </c>
      <c r="AC37">
        <v>45.07</v>
      </c>
      <c r="AD37">
        <v>620.76</v>
      </c>
      <c r="AE37">
        <v>688.98</v>
      </c>
      <c r="AF37">
        <v>45.16</v>
      </c>
      <c r="AG37">
        <v>62.14</v>
      </c>
      <c r="AH37">
        <v>51.74</v>
      </c>
      <c r="AI37">
        <v>54.77</v>
      </c>
    </row>
    <row r="38" spans="1:35" x14ac:dyDescent="0.45">
      <c r="A38" s="2">
        <v>46043</v>
      </c>
      <c r="B38">
        <v>35.805</v>
      </c>
      <c r="C38">
        <v>45.2</v>
      </c>
      <c r="D38">
        <v>18.940000000000001</v>
      </c>
      <c r="E38">
        <v>26.27</v>
      </c>
      <c r="F38">
        <v>36.15</v>
      </c>
      <c r="G38">
        <v>85.04</v>
      </c>
      <c r="H38">
        <v>28.26</v>
      </c>
      <c r="I38">
        <v>67.45</v>
      </c>
      <c r="J38">
        <v>75.36</v>
      </c>
      <c r="K38">
        <v>115.66</v>
      </c>
      <c r="L38">
        <v>35.020000000000003</v>
      </c>
      <c r="M38">
        <v>73.52</v>
      </c>
      <c r="N38">
        <v>70.739999999999995</v>
      </c>
      <c r="O38">
        <v>51.55</v>
      </c>
      <c r="P38">
        <v>62.49</v>
      </c>
      <c r="Q38">
        <v>19.71</v>
      </c>
      <c r="R38">
        <v>1317.56</v>
      </c>
      <c r="S38">
        <v>38.64</v>
      </c>
      <c r="T38">
        <v>20.3</v>
      </c>
      <c r="U38">
        <v>19.39</v>
      </c>
      <c r="V38">
        <v>38.299999999999997</v>
      </c>
      <c r="W38">
        <v>46.11</v>
      </c>
      <c r="X38">
        <v>26.7</v>
      </c>
      <c r="Y38">
        <v>55.02</v>
      </c>
      <c r="Z38">
        <v>42.82</v>
      </c>
      <c r="AA38">
        <v>84.78</v>
      </c>
      <c r="AB38">
        <v>60.49</v>
      </c>
      <c r="AC38">
        <v>45.16</v>
      </c>
      <c r="AD38">
        <v>616.28</v>
      </c>
      <c r="AE38">
        <v>685.4</v>
      </c>
      <c r="AF38">
        <v>45.05</v>
      </c>
      <c r="AG38">
        <v>61.539000000000001</v>
      </c>
      <c r="AH38">
        <v>51.52</v>
      </c>
      <c r="AI38">
        <v>54.44</v>
      </c>
    </row>
    <row r="39" spans="1:35" x14ac:dyDescent="0.45">
      <c r="A39" s="2">
        <v>46042</v>
      </c>
      <c r="B39">
        <v>35.5</v>
      </c>
      <c r="C39">
        <v>43.89</v>
      </c>
      <c r="D39">
        <v>19.13</v>
      </c>
      <c r="E39">
        <v>26</v>
      </c>
      <c r="F39">
        <v>35.840000000000003</v>
      </c>
      <c r="G39">
        <v>84.78</v>
      </c>
      <c r="H39">
        <v>27.88</v>
      </c>
      <c r="I39">
        <v>66.540000000000006</v>
      </c>
      <c r="J39">
        <v>74.61</v>
      </c>
      <c r="K39">
        <v>110.97</v>
      </c>
      <c r="L39">
        <v>33.619999999999997</v>
      </c>
      <c r="M39">
        <v>73.44</v>
      </c>
      <c r="N39">
        <v>69.88</v>
      </c>
      <c r="O39">
        <v>51.73</v>
      </c>
      <c r="P39">
        <v>61.65</v>
      </c>
      <c r="Q39">
        <v>19.71</v>
      </c>
      <c r="R39">
        <v>1296.3699999999999</v>
      </c>
      <c r="S39">
        <v>38.869999999999997</v>
      </c>
      <c r="T39">
        <v>20.09</v>
      </c>
      <c r="U39">
        <v>19.510000000000002</v>
      </c>
      <c r="V39">
        <v>37.94</v>
      </c>
      <c r="W39">
        <v>46.09</v>
      </c>
      <c r="X39">
        <v>26.46</v>
      </c>
      <c r="Y39">
        <v>54.75</v>
      </c>
      <c r="Z39">
        <v>42.54</v>
      </c>
      <c r="AA39">
        <v>83.72</v>
      </c>
      <c r="AB39">
        <v>60.16</v>
      </c>
      <c r="AC39">
        <v>44.7</v>
      </c>
      <c r="AD39">
        <v>608.05999999999995</v>
      </c>
      <c r="AE39">
        <v>677.58</v>
      </c>
      <c r="AF39">
        <v>44.55</v>
      </c>
      <c r="AG39">
        <v>60.64</v>
      </c>
      <c r="AH39">
        <v>50.46</v>
      </c>
      <c r="AI39">
        <v>54.02</v>
      </c>
    </row>
    <row r="40" spans="1:35" x14ac:dyDescent="0.45">
      <c r="A40" s="2">
        <v>46041</v>
      </c>
      <c r="B40">
        <v>35.515000000000001</v>
      </c>
      <c r="C40">
        <v>44.09</v>
      </c>
      <c r="D40">
        <v>19.14</v>
      </c>
      <c r="E40">
        <v>26.42</v>
      </c>
      <c r="F40">
        <v>35.92</v>
      </c>
      <c r="G40">
        <v>82.63</v>
      </c>
      <c r="H40">
        <v>28.17</v>
      </c>
      <c r="I40">
        <v>67.34</v>
      </c>
      <c r="J40">
        <v>74</v>
      </c>
      <c r="K40">
        <v>112.22</v>
      </c>
      <c r="L40">
        <v>33.17</v>
      </c>
      <c r="M40">
        <v>72.78</v>
      </c>
      <c r="N40">
        <v>70.03</v>
      </c>
      <c r="O40">
        <v>52.85</v>
      </c>
      <c r="P40">
        <v>62.52</v>
      </c>
      <c r="Q40">
        <v>19.46</v>
      </c>
      <c r="R40">
        <v>1283.2</v>
      </c>
      <c r="S40">
        <v>38.409999999999997</v>
      </c>
      <c r="T40">
        <v>19.87</v>
      </c>
      <c r="U40">
        <v>19.73</v>
      </c>
      <c r="V40">
        <v>37.83</v>
      </c>
      <c r="W40">
        <v>45.755000000000003</v>
      </c>
      <c r="X40">
        <v>26.74</v>
      </c>
      <c r="Y40">
        <v>55.13</v>
      </c>
      <c r="Z40">
        <v>43.34</v>
      </c>
      <c r="AA40">
        <v>85.48</v>
      </c>
      <c r="AB40">
        <v>60.51</v>
      </c>
      <c r="AC40">
        <v>45.18</v>
      </c>
      <c r="AD40">
        <v>621.26</v>
      </c>
      <c r="AE40">
        <v>691.66</v>
      </c>
      <c r="AF40">
        <v>45.29</v>
      </c>
      <c r="AG40">
        <v>61.91</v>
      </c>
      <c r="AH40">
        <v>51.31</v>
      </c>
      <c r="AI40">
        <v>54.92</v>
      </c>
    </row>
    <row r="41" spans="1:35" x14ac:dyDescent="0.45">
      <c r="A41" s="2">
        <v>46038</v>
      </c>
      <c r="B41">
        <v>35.515000000000001</v>
      </c>
      <c r="C41">
        <v>44.09</v>
      </c>
      <c r="D41">
        <v>19.14</v>
      </c>
      <c r="E41">
        <v>26.42</v>
      </c>
      <c r="F41">
        <v>35.92</v>
      </c>
      <c r="G41">
        <v>82.63</v>
      </c>
      <c r="H41">
        <v>28.17</v>
      </c>
      <c r="I41">
        <v>67.34</v>
      </c>
      <c r="J41">
        <v>74</v>
      </c>
      <c r="K41">
        <v>112.22</v>
      </c>
      <c r="L41">
        <v>33.17</v>
      </c>
      <c r="M41">
        <v>72.78</v>
      </c>
      <c r="N41">
        <v>70.03</v>
      </c>
      <c r="O41">
        <v>52.85</v>
      </c>
      <c r="P41">
        <v>62.52</v>
      </c>
      <c r="Q41">
        <v>19.46</v>
      </c>
      <c r="R41">
        <v>1275.5999999999999</v>
      </c>
      <c r="S41">
        <v>38.409999999999997</v>
      </c>
      <c r="T41">
        <v>19.87</v>
      </c>
      <c r="U41">
        <v>19.73</v>
      </c>
      <c r="V41">
        <v>37.83</v>
      </c>
      <c r="W41">
        <v>45.755000000000003</v>
      </c>
      <c r="X41">
        <v>26.74</v>
      </c>
      <c r="Y41">
        <v>55.13</v>
      </c>
      <c r="Z41">
        <v>43.34</v>
      </c>
      <c r="AA41">
        <v>85.48</v>
      </c>
      <c r="AB41">
        <v>60.51</v>
      </c>
      <c r="AC41">
        <v>45.18</v>
      </c>
      <c r="AD41">
        <v>621.26</v>
      </c>
      <c r="AE41">
        <v>691.66</v>
      </c>
      <c r="AF41">
        <v>45.29</v>
      </c>
      <c r="AG41">
        <v>61.91</v>
      </c>
      <c r="AH41">
        <v>51.31</v>
      </c>
      <c r="AI41">
        <v>54.92</v>
      </c>
    </row>
    <row r="42" spans="1:35" x14ac:dyDescent="0.45">
      <c r="A42" s="2">
        <v>46037</v>
      </c>
      <c r="B42">
        <v>35.869999999999997</v>
      </c>
      <c r="C42">
        <v>44.15</v>
      </c>
      <c r="D42">
        <v>19.22</v>
      </c>
      <c r="E42">
        <v>26.38</v>
      </c>
      <c r="F42">
        <v>36.15</v>
      </c>
      <c r="G42">
        <v>83.01</v>
      </c>
      <c r="H42">
        <v>28.28</v>
      </c>
      <c r="I42">
        <v>67.290000000000006</v>
      </c>
      <c r="J42">
        <v>73.25</v>
      </c>
      <c r="K42">
        <v>111.05</v>
      </c>
      <c r="L42">
        <v>33.36</v>
      </c>
      <c r="M42">
        <v>73.739999999999995</v>
      </c>
      <c r="N42">
        <v>69.84</v>
      </c>
      <c r="O42">
        <v>53.22</v>
      </c>
      <c r="P42">
        <v>63.59</v>
      </c>
      <c r="Q42">
        <v>19.425000000000001</v>
      </c>
      <c r="R42">
        <v>1261.3900000000001</v>
      </c>
      <c r="S42">
        <v>37.94</v>
      </c>
      <c r="T42">
        <v>19.73</v>
      </c>
      <c r="U42">
        <v>19.53</v>
      </c>
      <c r="V42">
        <v>37.99</v>
      </c>
      <c r="W42">
        <v>45.630099999999999</v>
      </c>
      <c r="X42">
        <v>26.65</v>
      </c>
      <c r="Y42">
        <v>55.22</v>
      </c>
      <c r="Z42">
        <v>43.24</v>
      </c>
      <c r="AA42">
        <v>85.42</v>
      </c>
      <c r="AB42">
        <v>60.52</v>
      </c>
      <c r="AC42">
        <v>45.09</v>
      </c>
      <c r="AD42">
        <v>621.78</v>
      </c>
      <c r="AE42">
        <v>692.24</v>
      </c>
      <c r="AF42">
        <v>45.4</v>
      </c>
      <c r="AG42">
        <v>61.6</v>
      </c>
      <c r="AH42">
        <v>51.05</v>
      </c>
      <c r="AI42">
        <v>54.8</v>
      </c>
    </row>
    <row r="43" spans="1:35" x14ac:dyDescent="0.45">
      <c r="A43" s="2">
        <v>46036</v>
      </c>
      <c r="B43">
        <v>35.6</v>
      </c>
      <c r="C43">
        <v>44.51</v>
      </c>
      <c r="D43">
        <v>19.14</v>
      </c>
      <c r="E43">
        <v>26.04</v>
      </c>
      <c r="F43">
        <v>36.03</v>
      </c>
      <c r="G43">
        <v>82.26</v>
      </c>
      <c r="H43">
        <v>28.2</v>
      </c>
      <c r="I43">
        <v>66.510000000000005</v>
      </c>
      <c r="J43">
        <v>73.38</v>
      </c>
      <c r="K43">
        <v>109.64</v>
      </c>
      <c r="L43">
        <v>33.159999999999997</v>
      </c>
      <c r="M43">
        <v>73.39</v>
      </c>
      <c r="N43">
        <v>69.150000000000006</v>
      </c>
      <c r="O43">
        <v>53.25</v>
      </c>
      <c r="P43">
        <v>63.55</v>
      </c>
      <c r="Q43">
        <v>19.659600000000001</v>
      </c>
      <c r="R43">
        <v>1244.3</v>
      </c>
      <c r="S43">
        <v>37.590000000000003</v>
      </c>
      <c r="T43">
        <v>19.59</v>
      </c>
      <c r="U43">
        <v>19.690000000000001</v>
      </c>
      <c r="V43">
        <v>38.21</v>
      </c>
      <c r="W43">
        <v>45.89</v>
      </c>
      <c r="X43">
        <v>26.54</v>
      </c>
      <c r="Y43">
        <v>55.18</v>
      </c>
      <c r="Z43">
        <v>43.49</v>
      </c>
      <c r="AA43">
        <v>85.04</v>
      </c>
      <c r="AB43">
        <v>60.87</v>
      </c>
      <c r="AC43">
        <v>45.28</v>
      </c>
      <c r="AD43">
        <v>619.54999999999995</v>
      </c>
      <c r="AE43">
        <v>690.36</v>
      </c>
      <c r="AF43">
        <v>45.87</v>
      </c>
      <c r="AG43">
        <v>60.67</v>
      </c>
      <c r="AH43">
        <v>50.61</v>
      </c>
      <c r="AI43">
        <v>55.04</v>
      </c>
    </row>
    <row r="44" spans="1:35" x14ac:dyDescent="0.45">
      <c r="A44" s="2">
        <v>46035</v>
      </c>
      <c r="B44">
        <v>35.590000000000003</v>
      </c>
      <c r="C44">
        <v>44.34</v>
      </c>
      <c r="D44">
        <v>19.03</v>
      </c>
      <c r="E44">
        <v>26.24</v>
      </c>
      <c r="F44">
        <v>36.090000000000003</v>
      </c>
      <c r="G44">
        <v>80.989999999999995</v>
      </c>
      <c r="H44">
        <v>28.05</v>
      </c>
      <c r="I44">
        <v>66.099999999999994</v>
      </c>
      <c r="J44">
        <v>71.97</v>
      </c>
      <c r="K44">
        <v>107.54</v>
      </c>
      <c r="L44">
        <v>32.630000000000003</v>
      </c>
      <c r="M44">
        <v>73.09</v>
      </c>
      <c r="N44">
        <v>69</v>
      </c>
      <c r="O44">
        <v>53.04</v>
      </c>
      <c r="P44">
        <v>63.52</v>
      </c>
      <c r="Q44">
        <v>19.71</v>
      </c>
      <c r="R44">
        <v>1235.3</v>
      </c>
      <c r="S44">
        <v>37.729999999999997</v>
      </c>
      <c r="T44">
        <v>19.760000000000002</v>
      </c>
      <c r="U44">
        <v>19.8</v>
      </c>
      <c r="V44">
        <v>38.21</v>
      </c>
      <c r="W44">
        <v>45.52</v>
      </c>
      <c r="X44">
        <v>26.41</v>
      </c>
      <c r="Y44">
        <v>55.12</v>
      </c>
      <c r="Z44">
        <v>43.57</v>
      </c>
      <c r="AA44">
        <v>84.45</v>
      </c>
      <c r="AB44">
        <v>60.17</v>
      </c>
      <c r="AC44">
        <v>44.98</v>
      </c>
      <c r="AD44">
        <v>626.24</v>
      </c>
      <c r="AE44">
        <v>693.77</v>
      </c>
      <c r="AF44">
        <v>45.96</v>
      </c>
      <c r="AG44">
        <v>60.78</v>
      </c>
      <c r="AH44">
        <v>50.7</v>
      </c>
      <c r="AI44">
        <v>54.81</v>
      </c>
    </row>
    <row r="45" spans="1:35" x14ac:dyDescent="0.45">
      <c r="A45" s="2">
        <v>46034</v>
      </c>
      <c r="B45">
        <v>36.229999999999997</v>
      </c>
      <c r="C45">
        <v>43.87</v>
      </c>
      <c r="D45">
        <v>18.989999999999998</v>
      </c>
      <c r="E45">
        <v>26.41</v>
      </c>
      <c r="F45">
        <v>36.380000000000003</v>
      </c>
      <c r="G45">
        <v>80.55</v>
      </c>
      <c r="H45">
        <v>27.97</v>
      </c>
      <c r="I45">
        <v>66.62</v>
      </c>
      <c r="J45">
        <v>72.06</v>
      </c>
      <c r="K45">
        <v>108.93</v>
      </c>
      <c r="L45">
        <v>32.93</v>
      </c>
      <c r="M45">
        <v>72.78</v>
      </c>
      <c r="N45">
        <v>69.489999999999995</v>
      </c>
      <c r="O45">
        <v>53.4</v>
      </c>
      <c r="P45">
        <v>64.260000000000005</v>
      </c>
      <c r="Q45">
        <v>19.6099</v>
      </c>
      <c r="R45">
        <v>1242.2</v>
      </c>
      <c r="S45">
        <v>37.54</v>
      </c>
      <c r="T45">
        <v>19.55</v>
      </c>
      <c r="U45">
        <v>19.670000000000002</v>
      </c>
      <c r="V45">
        <v>37.82</v>
      </c>
      <c r="W45">
        <v>46.1</v>
      </c>
      <c r="X45">
        <v>26.45</v>
      </c>
      <c r="Y45">
        <v>55.09</v>
      </c>
      <c r="Z45">
        <v>43.83</v>
      </c>
      <c r="AA45">
        <v>85.29</v>
      </c>
      <c r="AB45">
        <v>60.63</v>
      </c>
      <c r="AC45">
        <v>45.09</v>
      </c>
      <c r="AD45">
        <v>627.16999999999996</v>
      </c>
      <c r="AE45">
        <v>695.16</v>
      </c>
      <c r="AF45">
        <v>46.1</v>
      </c>
      <c r="AG45">
        <v>61.04</v>
      </c>
      <c r="AH45">
        <v>50.91</v>
      </c>
      <c r="AI45">
        <v>55.32</v>
      </c>
    </row>
    <row r="46" spans="1:35" x14ac:dyDescent="0.45">
      <c r="A46" s="2">
        <v>46031</v>
      </c>
      <c r="B46">
        <v>35.83</v>
      </c>
      <c r="C46">
        <v>42.85</v>
      </c>
      <c r="D46">
        <v>19.010000000000002</v>
      </c>
      <c r="E46">
        <v>26.13</v>
      </c>
      <c r="F46">
        <v>36.200000000000003</v>
      </c>
      <c r="G46">
        <v>78.19</v>
      </c>
      <c r="H46">
        <v>27.59</v>
      </c>
      <c r="I46">
        <v>65.92</v>
      </c>
      <c r="J46">
        <v>71.06</v>
      </c>
      <c r="K46">
        <v>108.89</v>
      </c>
      <c r="L46">
        <v>33.06</v>
      </c>
      <c r="M46">
        <v>70.69</v>
      </c>
      <c r="N46">
        <v>68.98</v>
      </c>
      <c r="O46">
        <v>53.174999999999997</v>
      </c>
      <c r="P46">
        <v>62.22</v>
      </c>
      <c r="Q46">
        <v>19.36</v>
      </c>
      <c r="R46">
        <v>1254.0899999999999</v>
      </c>
      <c r="S46">
        <v>37.159999999999997</v>
      </c>
      <c r="T46">
        <v>19.43</v>
      </c>
      <c r="U46">
        <v>19.28</v>
      </c>
      <c r="V46">
        <v>36.869999999999997</v>
      </c>
      <c r="W46">
        <v>45.98</v>
      </c>
      <c r="X46">
        <v>26.26</v>
      </c>
      <c r="Y46">
        <v>54.63</v>
      </c>
      <c r="Z46">
        <v>43.41</v>
      </c>
      <c r="AA46">
        <v>84.61</v>
      </c>
      <c r="AB46">
        <v>60.58</v>
      </c>
      <c r="AC46">
        <v>44.79</v>
      </c>
      <c r="AD46">
        <v>626.65</v>
      </c>
      <c r="AE46">
        <v>694.07</v>
      </c>
      <c r="AF46">
        <v>45.88</v>
      </c>
      <c r="AG46">
        <v>60.4</v>
      </c>
      <c r="AH46">
        <v>50.78</v>
      </c>
      <c r="AI46">
        <v>55.03</v>
      </c>
    </row>
    <row r="47" spans="1:35" x14ac:dyDescent="0.45">
      <c r="A47" s="2">
        <v>46030</v>
      </c>
      <c r="B47">
        <v>35.49</v>
      </c>
      <c r="C47">
        <v>42.75</v>
      </c>
      <c r="D47">
        <v>18.989999999999998</v>
      </c>
      <c r="E47">
        <v>26.08</v>
      </c>
      <c r="F47">
        <v>35.82</v>
      </c>
      <c r="G47">
        <v>76.55</v>
      </c>
      <c r="H47">
        <v>27.36</v>
      </c>
      <c r="I47">
        <v>65.44</v>
      </c>
      <c r="J47">
        <v>70.48</v>
      </c>
      <c r="K47">
        <v>106.59</v>
      </c>
      <c r="L47">
        <v>32.880000000000003</v>
      </c>
      <c r="M47">
        <v>70.34</v>
      </c>
      <c r="N47">
        <v>69.19</v>
      </c>
      <c r="O47">
        <v>53.72</v>
      </c>
      <c r="P47">
        <v>62.28</v>
      </c>
      <c r="Q47">
        <v>19.28</v>
      </c>
      <c r="R47">
        <v>1253.5999999999999</v>
      </c>
      <c r="S47">
        <v>36.729999999999997</v>
      </c>
      <c r="T47">
        <v>19.649999999999999</v>
      </c>
      <c r="U47">
        <v>19.309999999999999</v>
      </c>
      <c r="V47">
        <v>36.82</v>
      </c>
      <c r="W47">
        <v>46.115000000000002</v>
      </c>
      <c r="X47">
        <v>26.37</v>
      </c>
      <c r="Y47">
        <v>54.46</v>
      </c>
      <c r="Z47">
        <v>43.31</v>
      </c>
      <c r="AA47">
        <v>82.86</v>
      </c>
      <c r="AB47">
        <v>60.21</v>
      </c>
      <c r="AC47">
        <v>44.6</v>
      </c>
      <c r="AD47">
        <v>620.47</v>
      </c>
      <c r="AE47">
        <v>689.51</v>
      </c>
      <c r="AF47">
        <v>45.46</v>
      </c>
      <c r="AG47">
        <v>59.21</v>
      </c>
      <c r="AH47">
        <v>50.28</v>
      </c>
      <c r="AI47">
        <v>55.24</v>
      </c>
    </row>
    <row r="48" spans="1:35" x14ac:dyDescent="0.45">
      <c r="A48" s="2">
        <v>46029</v>
      </c>
      <c r="B48">
        <v>35.5</v>
      </c>
      <c r="C48">
        <v>42.39</v>
      </c>
      <c r="D48">
        <v>19.03</v>
      </c>
      <c r="E48">
        <v>25.92</v>
      </c>
      <c r="F48">
        <v>36.6</v>
      </c>
      <c r="G48">
        <v>75.42</v>
      </c>
      <c r="H48">
        <v>27.43</v>
      </c>
      <c r="I48">
        <v>65.59</v>
      </c>
      <c r="J48">
        <v>69.92</v>
      </c>
      <c r="K48">
        <v>107.03</v>
      </c>
      <c r="L48">
        <v>32.700000000000003</v>
      </c>
      <c r="M48">
        <v>71.45</v>
      </c>
      <c r="N48">
        <v>67.98</v>
      </c>
      <c r="O48">
        <v>54.2</v>
      </c>
      <c r="P48">
        <v>61.88</v>
      </c>
      <c r="Q48">
        <v>19.405000000000001</v>
      </c>
      <c r="R48">
        <v>1280.82</v>
      </c>
      <c r="S48">
        <v>36.630000000000003</v>
      </c>
      <c r="T48">
        <v>19.649999999999999</v>
      </c>
      <c r="U48">
        <v>19.440000000000001</v>
      </c>
      <c r="V48">
        <v>36.32</v>
      </c>
      <c r="W48">
        <v>46.295000000000002</v>
      </c>
      <c r="X48">
        <v>26.27</v>
      </c>
      <c r="Y48">
        <v>54.01</v>
      </c>
      <c r="Z48">
        <v>43.26</v>
      </c>
      <c r="AA48">
        <v>82.92</v>
      </c>
      <c r="AB48">
        <v>60.31</v>
      </c>
      <c r="AC48">
        <v>44.49</v>
      </c>
      <c r="AD48">
        <v>624.02</v>
      </c>
      <c r="AE48">
        <v>689.58</v>
      </c>
      <c r="AF48">
        <v>45.4</v>
      </c>
      <c r="AG48">
        <v>59.8</v>
      </c>
      <c r="AH48">
        <v>50.87</v>
      </c>
      <c r="AI48">
        <v>54.97</v>
      </c>
    </row>
    <row r="49" spans="1:35" x14ac:dyDescent="0.45">
      <c r="A49" s="2">
        <v>46028</v>
      </c>
      <c r="B49">
        <v>35.64</v>
      </c>
      <c r="C49">
        <v>42.55</v>
      </c>
      <c r="D49">
        <v>19.079999999999998</v>
      </c>
      <c r="E49">
        <v>25.98</v>
      </c>
      <c r="F49">
        <v>36.26</v>
      </c>
      <c r="G49">
        <v>76.709999999999994</v>
      </c>
      <c r="H49">
        <v>27.63</v>
      </c>
      <c r="I49">
        <v>65.83</v>
      </c>
      <c r="J49">
        <v>70.040000000000006</v>
      </c>
      <c r="K49">
        <v>107.61</v>
      </c>
      <c r="L49">
        <v>33.11</v>
      </c>
      <c r="M49">
        <v>72.739999999999995</v>
      </c>
      <c r="N49">
        <v>67.39</v>
      </c>
      <c r="O49">
        <v>54.08</v>
      </c>
      <c r="P49">
        <v>62.71</v>
      </c>
      <c r="Q49">
        <v>19.3551</v>
      </c>
      <c r="R49">
        <v>1274.75</v>
      </c>
      <c r="S49">
        <v>36.770000000000003</v>
      </c>
      <c r="T49">
        <v>19.425000000000001</v>
      </c>
      <c r="U49">
        <v>19.43</v>
      </c>
      <c r="V49">
        <v>37.03</v>
      </c>
      <c r="W49">
        <v>46.147599999999997</v>
      </c>
      <c r="X49">
        <v>26.49</v>
      </c>
      <c r="Y49">
        <v>54.65</v>
      </c>
      <c r="Z49">
        <v>43.13</v>
      </c>
      <c r="AA49">
        <v>83.07</v>
      </c>
      <c r="AB49">
        <v>60.55</v>
      </c>
      <c r="AC49">
        <v>45.05</v>
      </c>
      <c r="AD49">
        <v>623.41999999999996</v>
      </c>
      <c r="AE49">
        <v>691.81</v>
      </c>
      <c r="AF49">
        <v>45.6</v>
      </c>
      <c r="AG49">
        <v>60.44</v>
      </c>
      <c r="AH49">
        <v>50.11</v>
      </c>
      <c r="AI49">
        <v>55.29</v>
      </c>
    </row>
    <row r="50" spans="1:35" x14ac:dyDescent="0.45">
      <c r="A50" s="2">
        <v>46027</v>
      </c>
      <c r="B50">
        <v>35.21</v>
      </c>
      <c r="C50">
        <v>41.6</v>
      </c>
      <c r="D50">
        <v>19.04</v>
      </c>
      <c r="E50">
        <v>25.46</v>
      </c>
      <c r="F50">
        <v>36.17</v>
      </c>
      <c r="G50">
        <v>74.87</v>
      </c>
      <c r="H50">
        <v>27.61</v>
      </c>
      <c r="I50">
        <v>65.3</v>
      </c>
      <c r="J50">
        <v>70.58</v>
      </c>
      <c r="K50">
        <v>104.83</v>
      </c>
      <c r="L50">
        <v>32.79</v>
      </c>
      <c r="M50">
        <v>70.239999999999995</v>
      </c>
      <c r="N50">
        <v>67.61</v>
      </c>
      <c r="O50">
        <v>54.29</v>
      </c>
      <c r="P50">
        <v>62.67</v>
      </c>
      <c r="Q50">
        <v>19.190000000000001</v>
      </c>
      <c r="R50">
        <v>1280.05</v>
      </c>
      <c r="S50">
        <v>35.81</v>
      </c>
      <c r="T50">
        <v>19.22</v>
      </c>
      <c r="U50">
        <v>19.02</v>
      </c>
      <c r="V50">
        <v>36</v>
      </c>
      <c r="W50">
        <v>45.858400000000003</v>
      </c>
      <c r="X50">
        <v>26.61</v>
      </c>
      <c r="Y50">
        <v>54.59</v>
      </c>
      <c r="Z50">
        <v>43.05</v>
      </c>
      <c r="AA50">
        <v>83.13</v>
      </c>
      <c r="AB50">
        <v>60.43</v>
      </c>
      <c r="AC50">
        <v>44.81</v>
      </c>
      <c r="AD50">
        <v>617.99</v>
      </c>
      <c r="AE50">
        <v>687.72</v>
      </c>
      <c r="AF50">
        <v>45.42</v>
      </c>
      <c r="AG50">
        <v>60.14</v>
      </c>
      <c r="AH50">
        <v>50.39</v>
      </c>
      <c r="AI50">
        <v>55.67</v>
      </c>
    </row>
    <row r="51" spans="1:35" x14ac:dyDescent="0.45">
      <c r="A51" s="2">
        <v>46024</v>
      </c>
      <c r="B51">
        <v>34.909999999999997</v>
      </c>
      <c r="C51">
        <v>40.369999999999997</v>
      </c>
      <c r="D51">
        <v>18.809999999999999</v>
      </c>
      <c r="E51">
        <v>25.3</v>
      </c>
      <c r="F51">
        <v>36.25</v>
      </c>
      <c r="G51">
        <v>72.709999999999994</v>
      </c>
      <c r="H51">
        <v>27.42</v>
      </c>
      <c r="I51">
        <v>64.77</v>
      </c>
      <c r="J51">
        <v>69.66</v>
      </c>
      <c r="K51">
        <v>102.22</v>
      </c>
      <c r="L51">
        <v>32.200000000000003</v>
      </c>
      <c r="M51">
        <v>69.400000000000006</v>
      </c>
      <c r="N51">
        <v>67.444599999999994</v>
      </c>
      <c r="O51">
        <v>54.56</v>
      </c>
      <c r="P51">
        <v>62.24</v>
      </c>
      <c r="Q51">
        <v>18.824999999999999</v>
      </c>
      <c r="R51">
        <v>1259.67</v>
      </c>
      <c r="S51">
        <v>34.92</v>
      </c>
      <c r="T51">
        <v>19.2151</v>
      </c>
      <c r="U51">
        <v>19.11</v>
      </c>
      <c r="V51">
        <v>36.770000000000003</v>
      </c>
      <c r="W51">
        <v>45.471899999999998</v>
      </c>
      <c r="X51">
        <v>26.47</v>
      </c>
      <c r="Y51">
        <v>54.19</v>
      </c>
      <c r="Z51">
        <v>42.56</v>
      </c>
      <c r="AA51">
        <v>81.33</v>
      </c>
      <c r="AB51">
        <v>60.34</v>
      </c>
      <c r="AC51">
        <v>44.46</v>
      </c>
      <c r="AD51">
        <v>613.12</v>
      </c>
      <c r="AE51">
        <v>683.17</v>
      </c>
      <c r="AF51">
        <v>45.31</v>
      </c>
      <c r="AG51">
        <v>58.64</v>
      </c>
      <c r="AH51">
        <v>49.6</v>
      </c>
      <c r="AI51">
        <v>55.16</v>
      </c>
    </row>
    <row r="52" spans="1:35" x14ac:dyDescent="0.45">
      <c r="A52" s="2">
        <v>46023</v>
      </c>
      <c r="B52">
        <v>34.58</v>
      </c>
      <c r="C52">
        <v>40.4</v>
      </c>
      <c r="D52">
        <v>18.7</v>
      </c>
      <c r="E52">
        <v>24.92</v>
      </c>
      <c r="F52">
        <v>35.19</v>
      </c>
      <c r="G52">
        <v>72.349999999999994</v>
      </c>
      <c r="H52">
        <v>27.36</v>
      </c>
      <c r="I52">
        <v>63.53</v>
      </c>
      <c r="J52">
        <v>69.33</v>
      </c>
      <c r="K52">
        <v>97.22</v>
      </c>
      <c r="L52">
        <v>31.77</v>
      </c>
      <c r="M52">
        <v>68.8</v>
      </c>
      <c r="N52">
        <v>65.91</v>
      </c>
      <c r="O52">
        <v>54.05</v>
      </c>
      <c r="P52">
        <v>60.07</v>
      </c>
      <c r="Q52">
        <v>18.818300000000001</v>
      </c>
      <c r="R52">
        <v>1259.67</v>
      </c>
      <c r="S52">
        <v>34.42</v>
      </c>
      <c r="T52">
        <v>19.12</v>
      </c>
      <c r="U52">
        <v>19.079999999999998</v>
      </c>
      <c r="V52">
        <v>36.409999999999997</v>
      </c>
      <c r="W52">
        <v>45.271500000000003</v>
      </c>
      <c r="X52">
        <v>26.19</v>
      </c>
      <c r="Y52">
        <v>53.93</v>
      </c>
      <c r="Z52">
        <v>42.5</v>
      </c>
      <c r="AA52">
        <v>80.739999999999995</v>
      </c>
      <c r="AB52">
        <v>59.96</v>
      </c>
      <c r="AC52">
        <v>43.98</v>
      </c>
      <c r="AD52">
        <v>614.30999999999995</v>
      </c>
      <c r="AE52">
        <v>681.92</v>
      </c>
      <c r="AF52">
        <v>44.99</v>
      </c>
      <c r="AG52">
        <v>57.03</v>
      </c>
      <c r="AH52">
        <v>49.23</v>
      </c>
      <c r="AI52">
        <v>54.33</v>
      </c>
    </row>
    <row r="53" spans="1:35" x14ac:dyDescent="0.45">
      <c r="A53" s="2">
        <v>46022</v>
      </c>
      <c r="B53">
        <v>34.58</v>
      </c>
      <c r="C53">
        <v>40.4</v>
      </c>
      <c r="D53">
        <v>18.7</v>
      </c>
      <c r="E53">
        <v>24.92</v>
      </c>
      <c r="F53">
        <v>35.19</v>
      </c>
      <c r="G53">
        <v>72.349999999999994</v>
      </c>
      <c r="H53">
        <v>27.36</v>
      </c>
      <c r="I53">
        <v>63.53</v>
      </c>
      <c r="J53">
        <v>69.33</v>
      </c>
      <c r="K53">
        <v>97.22</v>
      </c>
      <c r="L53">
        <v>31.77</v>
      </c>
      <c r="M53">
        <v>68.8</v>
      </c>
      <c r="N53">
        <v>65.91</v>
      </c>
      <c r="O53">
        <v>54.05</v>
      </c>
      <c r="P53">
        <v>60.07</v>
      </c>
      <c r="Q53">
        <v>18.818300000000001</v>
      </c>
      <c r="R53">
        <v>1259.67</v>
      </c>
      <c r="S53">
        <v>34.42</v>
      </c>
      <c r="T53">
        <v>19.12</v>
      </c>
      <c r="U53">
        <v>19.079999999999998</v>
      </c>
      <c r="V53">
        <v>36.409999999999997</v>
      </c>
      <c r="W53">
        <v>45.271500000000003</v>
      </c>
      <c r="X53">
        <v>26.19</v>
      </c>
      <c r="Y53">
        <v>53.93</v>
      </c>
      <c r="Z53">
        <v>42.5</v>
      </c>
      <c r="AA53">
        <v>80.739999999999995</v>
      </c>
      <c r="AB53">
        <v>59.96</v>
      </c>
      <c r="AC53">
        <v>43.98</v>
      </c>
      <c r="AD53">
        <v>614.30999999999995</v>
      </c>
      <c r="AE53">
        <v>681.92</v>
      </c>
      <c r="AF53">
        <v>44.99</v>
      </c>
      <c r="AG53">
        <v>57.03</v>
      </c>
      <c r="AH53">
        <v>49.23</v>
      </c>
      <c r="AI53">
        <v>54.33</v>
      </c>
    </row>
    <row r="54" spans="1:35" x14ac:dyDescent="0.45">
      <c r="A54" s="2">
        <v>46021</v>
      </c>
      <c r="B54">
        <v>34.590000000000003</v>
      </c>
      <c r="C54">
        <v>40.54</v>
      </c>
      <c r="D54">
        <v>18.670000000000002</v>
      </c>
      <c r="E54">
        <v>25.06</v>
      </c>
      <c r="F54">
        <v>35.159999999999997</v>
      </c>
      <c r="G54">
        <v>72.91</v>
      </c>
      <c r="H54">
        <v>27.57</v>
      </c>
      <c r="I54">
        <v>63.71</v>
      </c>
      <c r="J54">
        <v>69.489999999999995</v>
      </c>
      <c r="K54">
        <v>98.62</v>
      </c>
      <c r="L54">
        <v>31.99</v>
      </c>
      <c r="M54">
        <v>69.23</v>
      </c>
      <c r="N54">
        <v>66.5</v>
      </c>
      <c r="O54">
        <v>53.64</v>
      </c>
      <c r="P54">
        <v>60.58</v>
      </c>
      <c r="Q54">
        <v>18.95</v>
      </c>
      <c r="R54">
        <v>1259.67</v>
      </c>
      <c r="S54">
        <v>34.42</v>
      </c>
      <c r="T54">
        <v>19.05</v>
      </c>
      <c r="U54">
        <v>19.010000000000002</v>
      </c>
      <c r="V54">
        <v>36.049999999999997</v>
      </c>
      <c r="W54">
        <v>45.41</v>
      </c>
      <c r="X54">
        <v>26.41</v>
      </c>
      <c r="Y54">
        <v>54.3</v>
      </c>
      <c r="Z54">
        <v>42.75</v>
      </c>
      <c r="AA54">
        <v>80.98</v>
      </c>
      <c r="AB54">
        <v>60.17</v>
      </c>
      <c r="AC54">
        <v>44.22</v>
      </c>
      <c r="AD54">
        <v>619.42999999999995</v>
      </c>
      <c r="AE54">
        <v>687.01</v>
      </c>
      <c r="AF54">
        <v>45.14</v>
      </c>
      <c r="AG54">
        <v>57.226999999999997</v>
      </c>
      <c r="AH54">
        <v>49.55</v>
      </c>
      <c r="AI54">
        <v>54.59</v>
      </c>
    </row>
    <row r="55" spans="1:35" x14ac:dyDescent="0.45">
      <c r="A55" s="2">
        <v>46020</v>
      </c>
      <c r="B55">
        <v>34.369999999999997</v>
      </c>
      <c r="C55">
        <v>40.15</v>
      </c>
      <c r="D55">
        <v>18.670000000000002</v>
      </c>
      <c r="E55">
        <v>25.09</v>
      </c>
      <c r="F55">
        <v>34.96</v>
      </c>
      <c r="G55">
        <v>71.95</v>
      </c>
      <c r="H55">
        <v>27.53</v>
      </c>
      <c r="I55">
        <v>63.33</v>
      </c>
      <c r="J55">
        <v>70.510000000000005</v>
      </c>
      <c r="K55">
        <v>98.72</v>
      </c>
      <c r="L55">
        <v>31.42</v>
      </c>
      <c r="M55">
        <v>68.430000000000007</v>
      </c>
      <c r="N55">
        <v>68</v>
      </c>
      <c r="O55">
        <v>53.47</v>
      </c>
      <c r="P55">
        <v>60.37</v>
      </c>
      <c r="Q55">
        <v>18.8751</v>
      </c>
      <c r="R55">
        <v>1254.03</v>
      </c>
      <c r="S55">
        <v>34.409999999999997</v>
      </c>
      <c r="T55">
        <v>19.600000000000001</v>
      </c>
      <c r="U55">
        <v>18.920000000000002</v>
      </c>
      <c r="V55">
        <v>36.39</v>
      </c>
      <c r="W55">
        <v>45.41</v>
      </c>
      <c r="X55">
        <v>26.48</v>
      </c>
      <c r="Y55">
        <v>54.33</v>
      </c>
      <c r="Z55">
        <v>42.51</v>
      </c>
      <c r="AA55">
        <v>81.09</v>
      </c>
      <c r="AB55">
        <v>60.35</v>
      </c>
      <c r="AC55">
        <v>44.02</v>
      </c>
      <c r="AD55">
        <v>620.87</v>
      </c>
      <c r="AE55">
        <v>687.85</v>
      </c>
      <c r="AF55">
        <v>44.99</v>
      </c>
      <c r="AG55">
        <v>57</v>
      </c>
      <c r="AH55">
        <v>49.32</v>
      </c>
      <c r="AI55">
        <v>54.16</v>
      </c>
    </row>
    <row r="56" spans="1:35" x14ac:dyDescent="0.45">
      <c r="A56" s="2">
        <v>46017</v>
      </c>
      <c r="B56">
        <v>34.71</v>
      </c>
      <c r="C56">
        <v>40.29</v>
      </c>
      <c r="D56">
        <v>18.47</v>
      </c>
      <c r="E56">
        <v>25.08</v>
      </c>
      <c r="F56">
        <v>35.200000000000003</v>
      </c>
      <c r="G56">
        <v>73.77</v>
      </c>
      <c r="H56">
        <v>27.64</v>
      </c>
      <c r="I56">
        <v>63.02</v>
      </c>
      <c r="J56">
        <v>71.150000000000006</v>
      </c>
      <c r="K56">
        <v>95.84</v>
      </c>
      <c r="L56">
        <v>31.73</v>
      </c>
      <c r="M56">
        <v>70.31</v>
      </c>
      <c r="N56">
        <v>68.61</v>
      </c>
      <c r="O56">
        <v>53.84</v>
      </c>
      <c r="P56">
        <v>61.27</v>
      </c>
      <c r="Q56">
        <v>18.864999999999998</v>
      </c>
      <c r="R56">
        <v>1259.25</v>
      </c>
      <c r="S56">
        <v>34.76</v>
      </c>
      <c r="T56">
        <v>19.54</v>
      </c>
      <c r="U56">
        <v>18.399999999999999</v>
      </c>
      <c r="V56">
        <v>36.57</v>
      </c>
      <c r="W56">
        <v>45.73</v>
      </c>
      <c r="X56">
        <v>26.68</v>
      </c>
      <c r="Y56">
        <v>54.8</v>
      </c>
      <c r="Z56">
        <v>42.65</v>
      </c>
      <c r="AA56">
        <v>80.97</v>
      </c>
      <c r="AB56">
        <v>60.54</v>
      </c>
      <c r="AC56">
        <v>44.24</v>
      </c>
      <c r="AD56">
        <v>623.89</v>
      </c>
      <c r="AE56">
        <v>690.31</v>
      </c>
      <c r="AF56">
        <v>45.18</v>
      </c>
      <c r="AG56">
        <v>57.16</v>
      </c>
      <c r="AH56">
        <v>49.65</v>
      </c>
      <c r="AI56">
        <v>54.62</v>
      </c>
    </row>
    <row r="57" spans="1:35" x14ac:dyDescent="0.45">
      <c r="A57" s="2">
        <v>46016</v>
      </c>
      <c r="B57">
        <v>34.44</v>
      </c>
      <c r="C57">
        <v>40.03</v>
      </c>
      <c r="D57">
        <v>18.45</v>
      </c>
      <c r="E57">
        <v>24.94</v>
      </c>
      <c r="F57">
        <v>35.15</v>
      </c>
      <c r="G57">
        <v>72.739999999999995</v>
      </c>
      <c r="H57">
        <v>27.69</v>
      </c>
      <c r="I57">
        <v>62.53</v>
      </c>
      <c r="J57">
        <v>70.95</v>
      </c>
      <c r="K57">
        <v>94.6</v>
      </c>
      <c r="L57">
        <v>31.55</v>
      </c>
      <c r="M57">
        <v>69.92</v>
      </c>
      <c r="N57">
        <v>68.16</v>
      </c>
      <c r="O57">
        <v>54.01</v>
      </c>
      <c r="P57">
        <v>60.61</v>
      </c>
      <c r="Q57">
        <v>18.96</v>
      </c>
      <c r="R57">
        <v>1264.77</v>
      </c>
      <c r="S57">
        <v>34.869999999999997</v>
      </c>
      <c r="T57">
        <v>19.52</v>
      </c>
      <c r="U57">
        <v>19.010000000000002</v>
      </c>
      <c r="V57">
        <v>36.6</v>
      </c>
      <c r="W57">
        <v>45.74</v>
      </c>
      <c r="X57">
        <v>26.6</v>
      </c>
      <c r="Y57">
        <v>54.6</v>
      </c>
      <c r="Z57">
        <v>42.57</v>
      </c>
      <c r="AA57">
        <v>81</v>
      </c>
      <c r="AB57">
        <v>60.53</v>
      </c>
      <c r="AC57">
        <v>44.08</v>
      </c>
      <c r="AD57">
        <v>623.92999999999995</v>
      </c>
      <c r="AE57">
        <v>690.38</v>
      </c>
      <c r="AF57">
        <v>44.98</v>
      </c>
      <c r="AG57">
        <v>57.1</v>
      </c>
      <c r="AH57">
        <v>49.31</v>
      </c>
      <c r="AI57">
        <v>54.56</v>
      </c>
    </row>
    <row r="58" spans="1:35" x14ac:dyDescent="0.45">
      <c r="A58" s="2">
        <v>46015</v>
      </c>
      <c r="B58">
        <v>34.44</v>
      </c>
      <c r="C58">
        <v>40.03</v>
      </c>
      <c r="D58">
        <v>18.45</v>
      </c>
      <c r="E58">
        <v>24.94</v>
      </c>
      <c r="F58">
        <v>35.15</v>
      </c>
      <c r="G58">
        <v>72.739999999999995</v>
      </c>
      <c r="H58">
        <v>27.69</v>
      </c>
      <c r="I58">
        <v>62.53</v>
      </c>
      <c r="J58">
        <v>70.95</v>
      </c>
      <c r="K58">
        <v>94.6</v>
      </c>
      <c r="L58">
        <v>31.55</v>
      </c>
      <c r="M58">
        <v>69.92</v>
      </c>
      <c r="N58">
        <v>68.16</v>
      </c>
      <c r="O58">
        <v>54.01</v>
      </c>
      <c r="P58">
        <v>60.61</v>
      </c>
      <c r="Q58">
        <v>18.96</v>
      </c>
      <c r="R58">
        <v>1275.33</v>
      </c>
      <c r="S58">
        <v>34.869999999999997</v>
      </c>
      <c r="T58">
        <v>19.52</v>
      </c>
      <c r="U58">
        <v>19.010000000000002</v>
      </c>
      <c r="V58">
        <v>36.6</v>
      </c>
      <c r="W58">
        <v>45.74</v>
      </c>
      <c r="X58">
        <v>26.6</v>
      </c>
      <c r="Y58">
        <v>54.6</v>
      </c>
      <c r="Z58">
        <v>42.57</v>
      </c>
      <c r="AA58">
        <v>81</v>
      </c>
      <c r="AB58">
        <v>60.53</v>
      </c>
      <c r="AC58">
        <v>44.08</v>
      </c>
      <c r="AD58">
        <v>623.92999999999995</v>
      </c>
      <c r="AE58">
        <v>690.38</v>
      </c>
      <c r="AF58">
        <v>44.98</v>
      </c>
      <c r="AG58">
        <v>57.1</v>
      </c>
      <c r="AH58">
        <v>49.31</v>
      </c>
      <c r="AI58">
        <v>54.56</v>
      </c>
    </row>
    <row r="59" spans="1:35" x14ac:dyDescent="0.45">
      <c r="A59" s="2">
        <v>46014</v>
      </c>
      <c r="B59">
        <v>34.31</v>
      </c>
      <c r="C59">
        <v>39.92</v>
      </c>
      <c r="D59">
        <v>18.559999999999999</v>
      </c>
      <c r="E59">
        <v>24.93</v>
      </c>
      <c r="F59">
        <v>34.99</v>
      </c>
      <c r="G59">
        <v>72.78</v>
      </c>
      <c r="H59">
        <v>27.53</v>
      </c>
      <c r="I59">
        <v>62.5</v>
      </c>
      <c r="J59">
        <v>71.040000000000006</v>
      </c>
      <c r="K59">
        <v>92.7</v>
      </c>
      <c r="L59">
        <v>31.65</v>
      </c>
      <c r="M59">
        <v>69.540000000000006</v>
      </c>
      <c r="N59">
        <v>68.209999999999994</v>
      </c>
      <c r="O59">
        <v>54.47</v>
      </c>
      <c r="P59">
        <v>60.67</v>
      </c>
      <c r="Q59">
        <v>18.930199999999999</v>
      </c>
      <c r="R59">
        <v>1271.1099999999999</v>
      </c>
      <c r="S59">
        <v>34.814999999999998</v>
      </c>
      <c r="T59">
        <v>19.559999999999999</v>
      </c>
      <c r="U59">
        <v>19.079999999999998</v>
      </c>
      <c r="V59">
        <v>36.76</v>
      </c>
      <c r="W59">
        <v>45.54</v>
      </c>
      <c r="X59">
        <v>26.61</v>
      </c>
      <c r="Y59">
        <v>54.54</v>
      </c>
      <c r="Z59">
        <v>42.44</v>
      </c>
      <c r="AA59">
        <v>81.14</v>
      </c>
      <c r="AB59">
        <v>60.4</v>
      </c>
      <c r="AC59">
        <v>43.98</v>
      </c>
      <c r="AD59">
        <v>622.11</v>
      </c>
      <c r="AE59">
        <v>687.96</v>
      </c>
      <c r="AF59">
        <v>44.9</v>
      </c>
      <c r="AG59">
        <v>56.84</v>
      </c>
      <c r="AH59">
        <v>49.21</v>
      </c>
      <c r="AI59">
        <v>54.4</v>
      </c>
    </row>
    <row r="60" spans="1:35" x14ac:dyDescent="0.45">
      <c r="A60" s="2">
        <v>46013</v>
      </c>
      <c r="B60">
        <v>34.24</v>
      </c>
      <c r="C60">
        <v>39.79</v>
      </c>
      <c r="D60">
        <v>18.68</v>
      </c>
      <c r="E60">
        <v>24.96</v>
      </c>
      <c r="F60">
        <v>35.200000000000003</v>
      </c>
      <c r="G60">
        <v>72.08</v>
      </c>
      <c r="H60">
        <v>27.41</v>
      </c>
      <c r="I60">
        <v>61.98</v>
      </c>
      <c r="J60">
        <v>69.95</v>
      </c>
      <c r="K60">
        <v>91.75</v>
      </c>
      <c r="L60">
        <v>30.97</v>
      </c>
      <c r="M60">
        <v>68.790000000000006</v>
      </c>
      <c r="N60">
        <v>68.39</v>
      </c>
      <c r="O60">
        <v>54.19</v>
      </c>
      <c r="P60">
        <v>60.89</v>
      </c>
      <c r="Q60">
        <v>18.839600000000001</v>
      </c>
      <c r="R60">
        <v>1269.68</v>
      </c>
      <c r="S60">
        <v>34.61</v>
      </c>
      <c r="T60">
        <v>19.45</v>
      </c>
      <c r="U60">
        <v>18.61</v>
      </c>
      <c r="V60">
        <v>36.549999999999997</v>
      </c>
      <c r="W60">
        <v>45.18</v>
      </c>
      <c r="X60">
        <v>26.15</v>
      </c>
      <c r="Y60">
        <v>54.17</v>
      </c>
      <c r="Z60">
        <v>42.34</v>
      </c>
      <c r="AA60">
        <v>80.459999999999994</v>
      </c>
      <c r="AB60">
        <v>59.93</v>
      </c>
      <c r="AC60">
        <v>43.79</v>
      </c>
      <c r="AD60">
        <v>619.21</v>
      </c>
      <c r="AE60">
        <v>684.83</v>
      </c>
      <c r="AF60">
        <v>44.96</v>
      </c>
      <c r="AG60">
        <v>57.01</v>
      </c>
      <c r="AH60">
        <v>48.8</v>
      </c>
      <c r="AI60">
        <v>54.24</v>
      </c>
    </row>
    <row r="61" spans="1:35" x14ac:dyDescent="0.45">
      <c r="A61" s="2">
        <v>46010</v>
      </c>
      <c r="B61">
        <v>33.89</v>
      </c>
      <c r="C61">
        <v>39.31</v>
      </c>
      <c r="D61">
        <v>18.579999999999998</v>
      </c>
      <c r="E61">
        <v>24.66</v>
      </c>
      <c r="F61">
        <v>34.78</v>
      </c>
      <c r="G61">
        <v>71.2</v>
      </c>
      <c r="H61">
        <v>27.2</v>
      </c>
      <c r="I61">
        <v>61.64</v>
      </c>
      <c r="J61">
        <v>68.849999999999994</v>
      </c>
      <c r="K61">
        <v>91.34</v>
      </c>
      <c r="L61">
        <v>31.17</v>
      </c>
      <c r="M61">
        <v>67.599999999999994</v>
      </c>
      <c r="N61">
        <v>67.25</v>
      </c>
      <c r="O61">
        <v>54.15</v>
      </c>
      <c r="P61">
        <v>60.63</v>
      </c>
      <c r="Q61">
        <v>18.774999999999999</v>
      </c>
      <c r="R61">
        <v>1252.19</v>
      </c>
      <c r="S61">
        <v>34.86</v>
      </c>
      <c r="T61">
        <v>19.25</v>
      </c>
      <c r="U61">
        <v>18.39</v>
      </c>
      <c r="V61">
        <v>36.36</v>
      </c>
      <c r="W61">
        <v>44.82</v>
      </c>
      <c r="X61">
        <v>25.88</v>
      </c>
      <c r="Y61">
        <v>53.68</v>
      </c>
      <c r="Z61">
        <v>42.1</v>
      </c>
      <c r="AA61">
        <v>80.58</v>
      </c>
      <c r="AB61">
        <v>59.57</v>
      </c>
      <c r="AC61">
        <v>43.54</v>
      </c>
      <c r="AD61">
        <v>617.04999999999995</v>
      </c>
      <c r="AE61">
        <v>680.59</v>
      </c>
      <c r="AF61">
        <v>44.91</v>
      </c>
      <c r="AG61">
        <v>56.61</v>
      </c>
      <c r="AH61">
        <v>48.55</v>
      </c>
      <c r="AI61">
        <v>54.21</v>
      </c>
    </row>
    <row r="62" spans="1:35" x14ac:dyDescent="0.45">
      <c r="A62" s="2">
        <v>46009</v>
      </c>
      <c r="B62">
        <v>33.58</v>
      </c>
      <c r="C62">
        <v>38.69</v>
      </c>
      <c r="D62">
        <v>18.63</v>
      </c>
      <c r="E62">
        <v>25.01</v>
      </c>
      <c r="F62">
        <v>34.409999999999997</v>
      </c>
      <c r="G62">
        <v>69.98</v>
      </c>
      <c r="H62">
        <v>26.88</v>
      </c>
      <c r="I62">
        <v>60.87</v>
      </c>
      <c r="J62">
        <v>68.75</v>
      </c>
      <c r="K62">
        <v>90.07</v>
      </c>
      <c r="L62">
        <v>31.17</v>
      </c>
      <c r="M62">
        <v>67.510000000000005</v>
      </c>
      <c r="N62">
        <v>66.94</v>
      </c>
      <c r="O62">
        <v>53.28</v>
      </c>
      <c r="P62">
        <v>59.99</v>
      </c>
      <c r="Q62">
        <v>18.739999999999998</v>
      </c>
      <c r="R62">
        <v>1250.07</v>
      </c>
      <c r="S62">
        <v>34.82</v>
      </c>
      <c r="T62">
        <v>19.309999999999999</v>
      </c>
      <c r="U62">
        <v>17.88</v>
      </c>
      <c r="V62">
        <v>36.299999999999997</v>
      </c>
      <c r="W62">
        <v>44.6999</v>
      </c>
      <c r="X62">
        <v>25.81</v>
      </c>
      <c r="Y62">
        <v>53.22</v>
      </c>
      <c r="Z62">
        <v>41.94</v>
      </c>
      <c r="AA62">
        <v>79.97</v>
      </c>
      <c r="AB62">
        <v>59.47</v>
      </c>
      <c r="AC62">
        <v>43.13</v>
      </c>
      <c r="AD62">
        <v>609.11</v>
      </c>
      <c r="AE62">
        <v>676.47</v>
      </c>
      <c r="AF62">
        <v>44.8</v>
      </c>
      <c r="AG62">
        <v>56.02</v>
      </c>
      <c r="AH62">
        <v>48.18</v>
      </c>
      <c r="AI62">
        <v>53.81</v>
      </c>
    </row>
    <row r="63" spans="1:35" x14ac:dyDescent="0.45">
      <c r="A63" s="2">
        <v>46008</v>
      </c>
      <c r="B63">
        <v>33.630000000000003</v>
      </c>
      <c r="C63">
        <v>38.28</v>
      </c>
      <c r="D63">
        <v>18.600000000000001</v>
      </c>
      <c r="E63">
        <v>25.1</v>
      </c>
      <c r="F63">
        <v>34.270000000000003</v>
      </c>
      <c r="G63">
        <v>69.180000000000007</v>
      </c>
      <c r="H63">
        <v>26.6</v>
      </c>
      <c r="I63">
        <v>60.03</v>
      </c>
      <c r="J63">
        <v>67.45</v>
      </c>
      <c r="K63">
        <v>88.58</v>
      </c>
      <c r="L63">
        <v>31</v>
      </c>
      <c r="M63">
        <v>66.64</v>
      </c>
      <c r="N63">
        <v>66.25</v>
      </c>
      <c r="O63">
        <v>52.97</v>
      </c>
      <c r="P63">
        <v>59.47</v>
      </c>
      <c r="Q63">
        <v>18.6081</v>
      </c>
      <c r="R63">
        <v>1256.8499999999999</v>
      </c>
      <c r="S63">
        <v>34.734999999999999</v>
      </c>
      <c r="T63">
        <v>19.1129</v>
      </c>
      <c r="U63">
        <v>17.54</v>
      </c>
      <c r="V63">
        <v>35.83</v>
      </c>
      <c r="W63">
        <v>44.634999999999998</v>
      </c>
      <c r="X63">
        <v>25.58</v>
      </c>
      <c r="Y63">
        <v>52.81</v>
      </c>
      <c r="Z63">
        <v>41.61</v>
      </c>
      <c r="AA63">
        <v>79.739999999999995</v>
      </c>
      <c r="AB63">
        <v>58.84</v>
      </c>
      <c r="AC63">
        <v>42.94</v>
      </c>
      <c r="AD63">
        <v>600.41</v>
      </c>
      <c r="AE63">
        <v>671.4</v>
      </c>
      <c r="AF63">
        <v>44.62</v>
      </c>
      <c r="AG63">
        <v>55.57</v>
      </c>
      <c r="AH63">
        <v>47.62</v>
      </c>
      <c r="AI63">
        <v>53.51</v>
      </c>
    </row>
    <row r="64" spans="1:35" x14ac:dyDescent="0.45">
      <c r="A64" s="2">
        <v>46007</v>
      </c>
      <c r="B64">
        <v>33.197000000000003</v>
      </c>
      <c r="C64">
        <v>38.840000000000003</v>
      </c>
      <c r="D64">
        <v>18.670000000000002</v>
      </c>
      <c r="E64">
        <v>25.19</v>
      </c>
      <c r="F64">
        <v>34.409999999999997</v>
      </c>
      <c r="G64">
        <v>69.3</v>
      </c>
      <c r="H64">
        <v>26.79</v>
      </c>
      <c r="I64">
        <v>61.12</v>
      </c>
      <c r="J64">
        <v>68.28</v>
      </c>
      <c r="K64">
        <v>89.52</v>
      </c>
      <c r="L64">
        <v>31.6</v>
      </c>
      <c r="M64">
        <v>65.7</v>
      </c>
      <c r="N64">
        <v>66.81</v>
      </c>
      <c r="O64">
        <v>52.95</v>
      </c>
      <c r="P64">
        <v>59.7</v>
      </c>
      <c r="Q64">
        <v>18.696899999999999</v>
      </c>
      <c r="R64">
        <v>1260.68</v>
      </c>
      <c r="S64">
        <v>34.71</v>
      </c>
      <c r="T64">
        <v>19.239999999999998</v>
      </c>
      <c r="U64">
        <v>17.850000000000001</v>
      </c>
      <c r="V64">
        <v>36.090000000000003</v>
      </c>
      <c r="W64">
        <v>45.1265</v>
      </c>
      <c r="X64">
        <v>25.82</v>
      </c>
      <c r="Y64">
        <v>52.98</v>
      </c>
      <c r="Z64">
        <v>42.03</v>
      </c>
      <c r="AA64">
        <v>80.849999999999994</v>
      </c>
      <c r="AB64">
        <v>59.02</v>
      </c>
      <c r="AC64">
        <v>42.73</v>
      </c>
      <c r="AD64">
        <v>611.75</v>
      </c>
      <c r="AE64">
        <v>678.87</v>
      </c>
      <c r="AF64">
        <v>44.94</v>
      </c>
      <c r="AG64">
        <v>56.41</v>
      </c>
      <c r="AH64">
        <v>48.23</v>
      </c>
      <c r="AI64">
        <v>53.58</v>
      </c>
    </row>
    <row r="65" spans="1:35" x14ac:dyDescent="0.45">
      <c r="A65" s="2">
        <v>46006</v>
      </c>
      <c r="B65">
        <v>34.049999999999997</v>
      </c>
      <c r="C65">
        <v>38.994999999999997</v>
      </c>
      <c r="D65">
        <v>18.86</v>
      </c>
      <c r="E65">
        <v>24.95</v>
      </c>
      <c r="F65">
        <v>35.9</v>
      </c>
      <c r="G65">
        <v>69.25</v>
      </c>
      <c r="H65">
        <v>27.09</v>
      </c>
      <c r="I65">
        <v>64.11</v>
      </c>
      <c r="J65">
        <v>70.48</v>
      </c>
      <c r="K65">
        <v>92.73</v>
      </c>
      <c r="L65">
        <v>33.58</v>
      </c>
      <c r="M65">
        <v>69.61</v>
      </c>
      <c r="N65">
        <v>67.45</v>
      </c>
      <c r="O65">
        <v>53.1</v>
      </c>
      <c r="P65">
        <v>60.87</v>
      </c>
      <c r="Q65">
        <v>19.010000000000002</v>
      </c>
      <c r="R65">
        <v>1273.4000000000001</v>
      </c>
      <c r="S65">
        <v>35.29</v>
      </c>
      <c r="T65">
        <v>19.38</v>
      </c>
      <c r="U65">
        <v>17.420000000000002</v>
      </c>
      <c r="V65">
        <v>36.81</v>
      </c>
      <c r="W65">
        <v>45.75</v>
      </c>
      <c r="X65">
        <v>26.42</v>
      </c>
      <c r="Y65">
        <v>53.8</v>
      </c>
      <c r="Z65">
        <v>42.1</v>
      </c>
      <c r="AA65">
        <v>84.87</v>
      </c>
      <c r="AB65">
        <v>59.06</v>
      </c>
      <c r="AC65">
        <v>43.75</v>
      </c>
      <c r="AD65">
        <v>610.54</v>
      </c>
      <c r="AE65">
        <v>680.73</v>
      </c>
      <c r="AF65">
        <v>45.18</v>
      </c>
      <c r="AG65">
        <v>58.76</v>
      </c>
      <c r="AH65">
        <v>49.11</v>
      </c>
      <c r="AI65">
        <v>54.35</v>
      </c>
    </row>
    <row r="66" spans="1:35" x14ac:dyDescent="0.45">
      <c r="A66" s="2">
        <v>46003</v>
      </c>
      <c r="B66">
        <v>34.08</v>
      </c>
      <c r="C66">
        <v>39.78</v>
      </c>
      <c r="D66">
        <v>18.760000000000002</v>
      </c>
      <c r="E66">
        <v>24.9</v>
      </c>
      <c r="F66">
        <v>35.200000000000003</v>
      </c>
      <c r="G66">
        <v>69.3</v>
      </c>
      <c r="H66">
        <v>26.98</v>
      </c>
      <c r="I66">
        <v>64.099999999999994</v>
      </c>
      <c r="J66">
        <v>70.69</v>
      </c>
      <c r="K66">
        <v>92.67</v>
      </c>
      <c r="L66">
        <v>33.32</v>
      </c>
      <c r="M66">
        <v>68.63</v>
      </c>
      <c r="N66">
        <v>67.239999999999995</v>
      </c>
      <c r="O66">
        <v>53.14</v>
      </c>
      <c r="P66">
        <v>61.52</v>
      </c>
      <c r="Q66">
        <v>19.32</v>
      </c>
      <c r="R66">
        <v>1254.0999999999999</v>
      </c>
      <c r="S66">
        <v>34.82</v>
      </c>
      <c r="T66">
        <v>19.350000000000001</v>
      </c>
      <c r="U66">
        <v>17.489999999999998</v>
      </c>
      <c r="V66">
        <v>37.4</v>
      </c>
      <c r="W66">
        <v>45.71</v>
      </c>
      <c r="X66">
        <v>26.52</v>
      </c>
      <c r="Y66">
        <v>53.89</v>
      </c>
      <c r="Z66">
        <v>42.18</v>
      </c>
      <c r="AA66">
        <v>84</v>
      </c>
      <c r="AB66">
        <v>58.37</v>
      </c>
      <c r="AC66">
        <v>43.28</v>
      </c>
      <c r="AD66">
        <v>613.62</v>
      </c>
      <c r="AE66">
        <v>681.76</v>
      </c>
      <c r="AF66">
        <v>44.88</v>
      </c>
      <c r="AG66">
        <v>58.6</v>
      </c>
      <c r="AH66">
        <v>49.38</v>
      </c>
      <c r="AI66">
        <v>53.66</v>
      </c>
    </row>
    <row r="67" spans="1:35" x14ac:dyDescent="0.45">
      <c r="A67" s="2">
        <v>46002</v>
      </c>
      <c r="B67">
        <v>34.090000000000003</v>
      </c>
      <c r="C67">
        <v>39.28</v>
      </c>
      <c r="D67">
        <v>18.68</v>
      </c>
      <c r="E67">
        <v>25.02</v>
      </c>
      <c r="F67">
        <v>35.270000000000003</v>
      </c>
      <c r="G67">
        <v>69.680000000000007</v>
      </c>
      <c r="H67">
        <v>26.87</v>
      </c>
      <c r="I67">
        <v>65.92</v>
      </c>
      <c r="J67">
        <v>71.06</v>
      </c>
      <c r="K67">
        <v>94.96</v>
      </c>
      <c r="L67">
        <v>33.159999999999997</v>
      </c>
      <c r="M67">
        <v>69.5</v>
      </c>
      <c r="N67">
        <v>67.67</v>
      </c>
      <c r="O67">
        <v>53.57</v>
      </c>
      <c r="P67">
        <v>61.69</v>
      </c>
      <c r="Q67">
        <v>19.315000000000001</v>
      </c>
      <c r="R67">
        <v>1253.54</v>
      </c>
      <c r="S67">
        <v>34.82</v>
      </c>
      <c r="T67">
        <v>19.510000000000002</v>
      </c>
      <c r="U67">
        <v>18.27</v>
      </c>
      <c r="V67">
        <v>37.619999999999997</v>
      </c>
      <c r="W67">
        <v>46.35</v>
      </c>
      <c r="X67">
        <v>26.64</v>
      </c>
      <c r="Y67">
        <v>54.08</v>
      </c>
      <c r="Z67">
        <v>42.39</v>
      </c>
      <c r="AA67">
        <v>84.22</v>
      </c>
      <c r="AB67">
        <v>58.49</v>
      </c>
      <c r="AC67">
        <v>43.65</v>
      </c>
      <c r="AD67">
        <v>625.58000000000004</v>
      </c>
      <c r="AE67">
        <v>689.17</v>
      </c>
      <c r="AF67">
        <v>45</v>
      </c>
      <c r="AG67">
        <v>59.5</v>
      </c>
      <c r="AH67">
        <v>49.67</v>
      </c>
      <c r="AI67">
        <v>53.95</v>
      </c>
    </row>
    <row r="68" spans="1:35" x14ac:dyDescent="0.45">
      <c r="A68" s="2">
        <v>46001</v>
      </c>
      <c r="B68">
        <v>34.340000000000003</v>
      </c>
      <c r="C68">
        <v>38.75</v>
      </c>
      <c r="D68">
        <v>18.86</v>
      </c>
      <c r="E68">
        <v>24.73</v>
      </c>
      <c r="F68">
        <v>34.880000000000003</v>
      </c>
      <c r="G68">
        <v>68.290000000000006</v>
      </c>
      <c r="H68">
        <v>26.52</v>
      </c>
      <c r="I68">
        <v>66.8</v>
      </c>
      <c r="J68">
        <v>69.040000000000006</v>
      </c>
      <c r="K68">
        <v>96.75</v>
      </c>
      <c r="L68">
        <v>32.770000000000003</v>
      </c>
      <c r="M68">
        <v>68.180000000000007</v>
      </c>
      <c r="N68">
        <v>66.77</v>
      </c>
      <c r="O68">
        <v>53.36</v>
      </c>
      <c r="P68">
        <v>61.81</v>
      </c>
      <c r="Q68">
        <v>19.168500000000002</v>
      </c>
      <c r="R68">
        <v>1269.8699999999999</v>
      </c>
      <c r="S68">
        <v>34.729999999999997</v>
      </c>
      <c r="T68">
        <v>19.440100000000001</v>
      </c>
      <c r="U68">
        <v>18.28</v>
      </c>
      <c r="V68">
        <v>37.659999999999997</v>
      </c>
      <c r="W68">
        <v>46.2943</v>
      </c>
      <c r="X68">
        <v>26.65</v>
      </c>
      <c r="Y68">
        <v>53.72</v>
      </c>
      <c r="Z68">
        <v>41.94</v>
      </c>
      <c r="AA68">
        <v>83.91</v>
      </c>
      <c r="AB68">
        <v>58.38</v>
      </c>
      <c r="AC68">
        <v>43.46</v>
      </c>
      <c r="AD68">
        <v>627.61</v>
      </c>
      <c r="AE68">
        <v>687.57</v>
      </c>
      <c r="AF68">
        <v>44.58</v>
      </c>
      <c r="AG68">
        <v>58.8</v>
      </c>
      <c r="AH68">
        <v>49.36</v>
      </c>
      <c r="AI68">
        <v>53.55</v>
      </c>
    </row>
    <row r="69" spans="1:35" x14ac:dyDescent="0.45">
      <c r="A69" s="2">
        <v>46000</v>
      </c>
      <c r="B69">
        <v>34.225000000000001</v>
      </c>
      <c r="C69">
        <v>38.340000000000003</v>
      </c>
      <c r="D69">
        <v>18.68</v>
      </c>
      <c r="E69">
        <v>24.67</v>
      </c>
      <c r="F69">
        <v>34.25</v>
      </c>
      <c r="G69">
        <v>67.48</v>
      </c>
      <c r="H69">
        <v>26.37</v>
      </c>
      <c r="I69">
        <v>65.72</v>
      </c>
      <c r="J69">
        <v>69.27</v>
      </c>
      <c r="K69">
        <v>95.57</v>
      </c>
      <c r="L69">
        <v>32.74</v>
      </c>
      <c r="M69">
        <v>66.91</v>
      </c>
      <c r="N69">
        <v>65.8</v>
      </c>
      <c r="O69">
        <v>53.27</v>
      </c>
      <c r="P69">
        <v>61.35</v>
      </c>
      <c r="Q69">
        <v>19.041399999999999</v>
      </c>
      <c r="R69">
        <v>1269.8699999999999</v>
      </c>
      <c r="S69">
        <v>34.659999999999997</v>
      </c>
      <c r="T69">
        <v>19.38</v>
      </c>
      <c r="U69">
        <v>18.649999999999999</v>
      </c>
      <c r="V69">
        <v>37.43</v>
      </c>
      <c r="W69">
        <v>45.950400000000002</v>
      </c>
      <c r="X69">
        <v>26.35</v>
      </c>
      <c r="Y69">
        <v>53.07</v>
      </c>
      <c r="Z69">
        <v>41.53</v>
      </c>
      <c r="AA69">
        <v>83.31</v>
      </c>
      <c r="AB69">
        <v>57.69</v>
      </c>
      <c r="AC69">
        <v>42.88</v>
      </c>
      <c r="AD69">
        <v>625.04999999999995</v>
      </c>
      <c r="AE69">
        <v>683.04</v>
      </c>
      <c r="AF69">
        <v>44.21</v>
      </c>
      <c r="AG69">
        <v>58.55</v>
      </c>
      <c r="AH69">
        <v>48.55</v>
      </c>
      <c r="AI69">
        <v>53.02</v>
      </c>
    </row>
    <row r="70" spans="1:35" x14ac:dyDescent="0.45">
      <c r="A70" s="2">
        <v>45999</v>
      </c>
      <c r="B70">
        <v>34.36</v>
      </c>
      <c r="C70">
        <v>38.24</v>
      </c>
      <c r="D70">
        <v>18.87</v>
      </c>
      <c r="E70">
        <v>24.58</v>
      </c>
      <c r="F70">
        <v>33.51</v>
      </c>
      <c r="G70">
        <v>66.53</v>
      </c>
      <c r="H70">
        <v>26.32</v>
      </c>
      <c r="I70">
        <v>65.569999999999993</v>
      </c>
      <c r="J70">
        <v>68.64</v>
      </c>
      <c r="K70">
        <v>95.07</v>
      </c>
      <c r="L70">
        <v>32.75</v>
      </c>
      <c r="M70">
        <v>66.39</v>
      </c>
      <c r="N70">
        <v>66.97</v>
      </c>
      <c r="O70">
        <v>53.08</v>
      </c>
      <c r="P70">
        <v>62.22</v>
      </c>
      <c r="Q70">
        <v>18.955400000000001</v>
      </c>
      <c r="R70">
        <v>1261.3900000000001</v>
      </c>
      <c r="S70">
        <v>34.42</v>
      </c>
      <c r="T70">
        <v>19.079999999999998</v>
      </c>
      <c r="U70">
        <v>18.72</v>
      </c>
      <c r="V70">
        <v>37.19</v>
      </c>
      <c r="W70">
        <v>46.026699999999998</v>
      </c>
      <c r="X70">
        <v>26.24</v>
      </c>
      <c r="Y70">
        <v>52.95</v>
      </c>
      <c r="Z70">
        <v>41.34</v>
      </c>
      <c r="AA70">
        <v>83.19</v>
      </c>
      <c r="AB70">
        <v>57.76</v>
      </c>
      <c r="AC70">
        <v>43.08</v>
      </c>
      <c r="AD70">
        <v>624.28</v>
      </c>
      <c r="AE70">
        <v>683.63</v>
      </c>
      <c r="AF70">
        <v>44.65</v>
      </c>
      <c r="AG70">
        <v>58.7224</v>
      </c>
      <c r="AH70">
        <v>48.4</v>
      </c>
      <c r="AI70">
        <v>52.98</v>
      </c>
    </row>
    <row r="71" spans="1:35" x14ac:dyDescent="0.45">
      <c r="A71" s="2">
        <v>45996</v>
      </c>
      <c r="B71">
        <v>34.21</v>
      </c>
      <c r="C71">
        <v>38.18</v>
      </c>
      <c r="D71">
        <v>18.82</v>
      </c>
      <c r="E71">
        <v>24.73</v>
      </c>
      <c r="F71">
        <v>33.44</v>
      </c>
      <c r="G71">
        <v>67.03</v>
      </c>
      <c r="H71">
        <v>26.64</v>
      </c>
      <c r="I71">
        <v>65.349999999999994</v>
      </c>
      <c r="J71">
        <v>68.680000000000007</v>
      </c>
      <c r="K71">
        <v>94.3</v>
      </c>
      <c r="L71">
        <v>32.53</v>
      </c>
      <c r="M71">
        <v>67.88</v>
      </c>
      <c r="N71">
        <v>66.45</v>
      </c>
      <c r="O71">
        <v>53.97</v>
      </c>
      <c r="P71">
        <v>62.66</v>
      </c>
      <c r="Q71">
        <v>18.930399999999999</v>
      </c>
      <c r="R71">
        <v>1273.77</v>
      </c>
      <c r="S71">
        <v>33.840000000000003</v>
      </c>
      <c r="T71">
        <v>19.22</v>
      </c>
      <c r="U71">
        <v>18.649999999999999</v>
      </c>
      <c r="V71">
        <v>37.200000000000003</v>
      </c>
      <c r="W71">
        <v>45.994999999999997</v>
      </c>
      <c r="X71">
        <v>26.34</v>
      </c>
      <c r="Y71">
        <v>53.29</v>
      </c>
      <c r="Z71">
        <v>41.41</v>
      </c>
      <c r="AA71">
        <v>83.7</v>
      </c>
      <c r="AB71">
        <v>58.03</v>
      </c>
      <c r="AC71">
        <v>43.22</v>
      </c>
      <c r="AD71">
        <v>625.48</v>
      </c>
      <c r="AE71">
        <v>685.69</v>
      </c>
      <c r="AF71">
        <v>44.62</v>
      </c>
      <c r="AG71">
        <v>58.55</v>
      </c>
      <c r="AH71">
        <v>48.37</v>
      </c>
      <c r="AI71">
        <v>52.98</v>
      </c>
    </row>
    <row r="72" spans="1:35" x14ac:dyDescent="0.45">
      <c r="A72" s="2">
        <v>45995</v>
      </c>
      <c r="B72">
        <v>33.74</v>
      </c>
      <c r="C72">
        <v>38.51</v>
      </c>
      <c r="D72">
        <v>18.79</v>
      </c>
      <c r="E72">
        <v>24.2</v>
      </c>
      <c r="F72">
        <v>33.53</v>
      </c>
      <c r="G72">
        <v>67</v>
      </c>
      <c r="H72">
        <v>26.59</v>
      </c>
      <c r="I72">
        <v>64.510000000000005</v>
      </c>
      <c r="J72">
        <v>68.819999999999993</v>
      </c>
      <c r="K72">
        <v>91.87</v>
      </c>
      <c r="L72">
        <v>34.72</v>
      </c>
      <c r="M72">
        <v>67.05</v>
      </c>
      <c r="N72">
        <v>66.3</v>
      </c>
      <c r="O72">
        <v>53.76</v>
      </c>
      <c r="P72">
        <v>61.98</v>
      </c>
      <c r="Q72">
        <v>18.940200000000001</v>
      </c>
      <c r="R72">
        <v>1273.77</v>
      </c>
      <c r="S72">
        <v>33.549999999999997</v>
      </c>
      <c r="T72">
        <v>19.05</v>
      </c>
      <c r="U72">
        <v>18.59</v>
      </c>
      <c r="V72">
        <v>37.17</v>
      </c>
      <c r="W72">
        <v>46.005000000000003</v>
      </c>
      <c r="X72">
        <v>26.29</v>
      </c>
      <c r="Y72">
        <v>53.07</v>
      </c>
      <c r="Z72">
        <v>41.14</v>
      </c>
      <c r="AA72">
        <v>83.62</v>
      </c>
      <c r="AB72">
        <v>57.91</v>
      </c>
      <c r="AC72">
        <v>43.42</v>
      </c>
      <c r="AD72">
        <v>622.94000000000005</v>
      </c>
      <c r="AE72">
        <v>684.39</v>
      </c>
      <c r="AF72">
        <v>44.75</v>
      </c>
      <c r="AG72">
        <v>58.78</v>
      </c>
      <c r="AH72">
        <v>48.09</v>
      </c>
      <c r="AI72">
        <v>53.15</v>
      </c>
    </row>
    <row r="73" spans="1:35" x14ac:dyDescent="0.45">
      <c r="A73" s="2">
        <v>45994</v>
      </c>
      <c r="B73">
        <v>33.76</v>
      </c>
      <c r="C73">
        <v>38.619999999999997</v>
      </c>
      <c r="D73">
        <v>18.829999999999998</v>
      </c>
      <c r="E73">
        <v>24.68</v>
      </c>
      <c r="F73">
        <v>33.61</v>
      </c>
      <c r="G73">
        <v>66.03</v>
      </c>
      <c r="H73">
        <v>26.73</v>
      </c>
      <c r="I73">
        <v>64.849999999999994</v>
      </c>
      <c r="J73">
        <v>68.430000000000007</v>
      </c>
      <c r="K73">
        <v>93</v>
      </c>
      <c r="L73">
        <v>34.200000000000003</v>
      </c>
      <c r="M73">
        <v>66.92</v>
      </c>
      <c r="N73">
        <v>66.37</v>
      </c>
      <c r="O73">
        <v>53.41</v>
      </c>
      <c r="P73">
        <v>61.88</v>
      </c>
      <c r="Q73">
        <v>18.930199999999999</v>
      </c>
      <c r="R73">
        <v>1274.82</v>
      </c>
      <c r="S73">
        <v>33.869999999999997</v>
      </c>
      <c r="T73">
        <v>18.850000000000001</v>
      </c>
      <c r="U73">
        <v>18.690000000000001</v>
      </c>
      <c r="V73">
        <v>37.04</v>
      </c>
      <c r="W73">
        <v>46.165599999999998</v>
      </c>
      <c r="X73">
        <v>26.13</v>
      </c>
      <c r="Y73">
        <v>52.47</v>
      </c>
      <c r="Z73">
        <v>40.950000000000003</v>
      </c>
      <c r="AA73">
        <v>82.61</v>
      </c>
      <c r="AB73">
        <v>58.07</v>
      </c>
      <c r="AC73">
        <v>43.46</v>
      </c>
      <c r="AD73">
        <v>623.52</v>
      </c>
      <c r="AE73">
        <v>683.89</v>
      </c>
      <c r="AF73">
        <v>44.79</v>
      </c>
      <c r="AG73">
        <v>59.18</v>
      </c>
      <c r="AH73">
        <v>47.77</v>
      </c>
      <c r="AI73">
        <v>53.29</v>
      </c>
    </row>
    <row r="74" spans="1:35" x14ac:dyDescent="0.45">
      <c r="A74" s="2">
        <v>45993</v>
      </c>
      <c r="B74">
        <v>33.81</v>
      </c>
      <c r="C74">
        <v>38.29</v>
      </c>
      <c r="D74">
        <v>18.920000000000002</v>
      </c>
      <c r="E74">
        <v>25.06</v>
      </c>
      <c r="F74">
        <v>33.65</v>
      </c>
      <c r="G74">
        <v>64.67</v>
      </c>
      <c r="H74">
        <v>26.67</v>
      </c>
      <c r="I74">
        <v>64.63</v>
      </c>
      <c r="J74">
        <v>68.709999999999994</v>
      </c>
      <c r="K74">
        <v>92.07</v>
      </c>
      <c r="L74">
        <v>34.03</v>
      </c>
      <c r="M74">
        <v>66.5</v>
      </c>
      <c r="N74">
        <v>66.64</v>
      </c>
      <c r="O74">
        <v>53.88</v>
      </c>
      <c r="P74">
        <v>62.24</v>
      </c>
      <c r="Q74">
        <v>18.774999999999999</v>
      </c>
      <c r="R74">
        <v>1277.58</v>
      </c>
      <c r="S74">
        <v>34.1</v>
      </c>
      <c r="T74">
        <v>18.53</v>
      </c>
      <c r="U74">
        <v>18.649999999999999</v>
      </c>
      <c r="V74">
        <v>36.979999999999997</v>
      </c>
      <c r="W74">
        <v>45.818399999999997</v>
      </c>
      <c r="X74">
        <v>25.93</v>
      </c>
      <c r="Y74">
        <v>52.14</v>
      </c>
      <c r="Z74">
        <v>40.89</v>
      </c>
      <c r="AA74">
        <v>82.47</v>
      </c>
      <c r="AB74">
        <v>57.94</v>
      </c>
      <c r="AC74">
        <v>43.01</v>
      </c>
      <c r="AD74">
        <v>622</v>
      </c>
      <c r="AE74">
        <v>681.53</v>
      </c>
      <c r="AF74">
        <v>44.44</v>
      </c>
      <c r="AG74">
        <v>58.57</v>
      </c>
      <c r="AH74">
        <v>47.61</v>
      </c>
      <c r="AI74">
        <v>53</v>
      </c>
    </row>
    <row r="75" spans="1:35" x14ac:dyDescent="0.45">
      <c r="A75" s="2">
        <v>45992</v>
      </c>
      <c r="B75">
        <v>34.25</v>
      </c>
      <c r="C75">
        <v>37.69</v>
      </c>
      <c r="D75">
        <v>18.79</v>
      </c>
      <c r="E75">
        <v>25.24</v>
      </c>
      <c r="F75">
        <v>33.9</v>
      </c>
      <c r="G75">
        <v>64.569999999999993</v>
      </c>
      <c r="H75">
        <v>26.6</v>
      </c>
      <c r="I75">
        <v>64.13</v>
      </c>
      <c r="J75">
        <v>68.459999999999994</v>
      </c>
      <c r="K75">
        <v>90.62</v>
      </c>
      <c r="L75">
        <v>33.4</v>
      </c>
      <c r="M75">
        <v>67.45</v>
      </c>
      <c r="N75">
        <v>66.28</v>
      </c>
      <c r="O75">
        <v>54.33</v>
      </c>
      <c r="P75">
        <v>62.66</v>
      </c>
      <c r="Q75">
        <v>18.71</v>
      </c>
      <c r="R75">
        <v>1276.57</v>
      </c>
      <c r="S75">
        <v>34.03</v>
      </c>
      <c r="T75">
        <v>18.4941</v>
      </c>
      <c r="U75">
        <v>18.38</v>
      </c>
      <c r="V75">
        <v>37.06</v>
      </c>
      <c r="W75">
        <v>45.48</v>
      </c>
      <c r="X75">
        <v>25.73</v>
      </c>
      <c r="Y75">
        <v>52.18</v>
      </c>
      <c r="Z75">
        <v>40.520000000000003</v>
      </c>
      <c r="AA75">
        <v>82.53</v>
      </c>
      <c r="AB75">
        <v>57.42</v>
      </c>
      <c r="AC75">
        <v>42.93</v>
      </c>
      <c r="AD75">
        <v>617.16999999999996</v>
      </c>
      <c r="AE75">
        <v>680.27</v>
      </c>
      <c r="AF75">
        <v>44.41</v>
      </c>
      <c r="AG75">
        <v>58.32</v>
      </c>
      <c r="AH75">
        <v>47.58</v>
      </c>
      <c r="AI75">
        <v>52.66</v>
      </c>
    </row>
    <row r="76" spans="1:35" x14ac:dyDescent="0.45">
      <c r="A76" s="2">
        <v>45989</v>
      </c>
      <c r="B76">
        <v>33.950000000000003</v>
      </c>
      <c r="C76">
        <v>37.86</v>
      </c>
      <c r="D76">
        <v>18.670000000000002</v>
      </c>
      <c r="E76">
        <v>25.21</v>
      </c>
      <c r="F76">
        <v>34.07</v>
      </c>
      <c r="G76">
        <v>64.47</v>
      </c>
      <c r="H76">
        <v>26.43</v>
      </c>
      <c r="I76">
        <v>64.510000000000005</v>
      </c>
      <c r="J76">
        <v>68.42</v>
      </c>
      <c r="K76">
        <v>90.87</v>
      </c>
      <c r="L76">
        <v>33.61</v>
      </c>
      <c r="M76">
        <v>66.739999999999995</v>
      </c>
      <c r="N76">
        <v>65.319999999999993</v>
      </c>
      <c r="O76">
        <v>54.71</v>
      </c>
      <c r="P76">
        <v>62.2</v>
      </c>
      <c r="Q76">
        <v>18.88</v>
      </c>
      <c r="R76">
        <v>1256.69</v>
      </c>
      <c r="S76">
        <v>33.5</v>
      </c>
      <c r="T76">
        <v>18.579999999999998</v>
      </c>
      <c r="U76">
        <v>18.34</v>
      </c>
      <c r="V76">
        <v>37.44</v>
      </c>
      <c r="W76">
        <v>45.625700000000002</v>
      </c>
      <c r="X76">
        <v>25.85</v>
      </c>
      <c r="Y76">
        <v>52.7</v>
      </c>
      <c r="Z76">
        <v>40.92</v>
      </c>
      <c r="AA76">
        <v>83.01</v>
      </c>
      <c r="AB76">
        <v>57.82</v>
      </c>
      <c r="AC76">
        <v>43.15</v>
      </c>
      <c r="AD76">
        <v>619.25</v>
      </c>
      <c r="AE76">
        <v>683.39</v>
      </c>
      <c r="AF76">
        <v>44.57</v>
      </c>
      <c r="AG76">
        <v>58.17</v>
      </c>
      <c r="AH76">
        <v>47.91</v>
      </c>
      <c r="AI76">
        <v>52.93</v>
      </c>
    </row>
    <row r="77" spans="1:35" x14ac:dyDescent="0.45">
      <c r="A77" s="2">
        <v>45988</v>
      </c>
      <c r="B77">
        <v>33.590000000000003</v>
      </c>
      <c r="C77">
        <v>37.61</v>
      </c>
      <c r="D77">
        <v>18.87</v>
      </c>
      <c r="E77">
        <v>25.02</v>
      </c>
      <c r="F77">
        <v>34.07</v>
      </c>
      <c r="G77">
        <v>63.1</v>
      </c>
      <c r="H77">
        <v>26.64</v>
      </c>
      <c r="I77">
        <v>63.66</v>
      </c>
      <c r="J77">
        <v>67.88</v>
      </c>
      <c r="K77">
        <v>91.55</v>
      </c>
      <c r="L77">
        <v>33.47</v>
      </c>
      <c r="M77">
        <v>67.83</v>
      </c>
      <c r="N77">
        <v>66.150000000000006</v>
      </c>
      <c r="O77">
        <v>54.67</v>
      </c>
      <c r="P77">
        <v>61.91</v>
      </c>
      <c r="Q77">
        <v>18.885000000000002</v>
      </c>
      <c r="R77">
        <v>1252.71</v>
      </c>
      <c r="S77">
        <v>33.590000000000003</v>
      </c>
      <c r="T77">
        <v>18.53</v>
      </c>
      <c r="U77">
        <v>18.239999999999998</v>
      </c>
      <c r="V77">
        <v>37.380000000000003</v>
      </c>
      <c r="W77">
        <v>45.47</v>
      </c>
      <c r="X77">
        <v>25.82</v>
      </c>
      <c r="Y77">
        <v>52.25</v>
      </c>
      <c r="Z77">
        <v>40.6</v>
      </c>
      <c r="AA77">
        <v>83.26</v>
      </c>
      <c r="AB77">
        <v>57.55</v>
      </c>
      <c r="AC77">
        <v>42.99</v>
      </c>
      <c r="AD77">
        <v>614.27</v>
      </c>
      <c r="AE77">
        <v>679.68</v>
      </c>
      <c r="AF77">
        <v>44.43</v>
      </c>
      <c r="AG77">
        <v>57.79</v>
      </c>
      <c r="AH77">
        <v>47.43</v>
      </c>
      <c r="AI77">
        <v>52.54</v>
      </c>
    </row>
    <row r="78" spans="1:35" x14ac:dyDescent="0.45">
      <c r="A78" s="2">
        <v>45987</v>
      </c>
      <c r="B78">
        <v>33.590000000000003</v>
      </c>
      <c r="C78">
        <v>37.61</v>
      </c>
      <c r="D78">
        <v>18.87</v>
      </c>
      <c r="E78">
        <v>25.02</v>
      </c>
      <c r="F78">
        <v>34.07</v>
      </c>
      <c r="G78">
        <v>63.1</v>
      </c>
      <c r="H78">
        <v>26.64</v>
      </c>
      <c r="I78">
        <v>63.66</v>
      </c>
      <c r="J78">
        <v>67.88</v>
      </c>
      <c r="K78">
        <v>91.55</v>
      </c>
      <c r="L78">
        <v>33.47</v>
      </c>
      <c r="M78">
        <v>67.83</v>
      </c>
      <c r="N78">
        <v>66.150000000000006</v>
      </c>
      <c r="O78">
        <v>54.67</v>
      </c>
      <c r="P78">
        <v>61.91</v>
      </c>
      <c r="Q78">
        <v>18.885000000000002</v>
      </c>
      <c r="R78">
        <v>1261.18</v>
      </c>
      <c r="S78">
        <v>33.590000000000003</v>
      </c>
      <c r="T78">
        <v>18.53</v>
      </c>
      <c r="U78">
        <v>18.239999999999998</v>
      </c>
      <c r="V78">
        <v>37.380000000000003</v>
      </c>
      <c r="W78">
        <v>45.47</v>
      </c>
      <c r="X78">
        <v>25.82</v>
      </c>
      <c r="Y78">
        <v>52.25</v>
      </c>
      <c r="Z78">
        <v>40.6</v>
      </c>
      <c r="AA78">
        <v>83.26</v>
      </c>
      <c r="AB78">
        <v>57.55</v>
      </c>
      <c r="AC78">
        <v>42.99</v>
      </c>
      <c r="AD78">
        <v>614.27</v>
      </c>
      <c r="AE78">
        <v>679.68</v>
      </c>
      <c r="AF78">
        <v>44.43</v>
      </c>
      <c r="AG78">
        <v>57.79</v>
      </c>
      <c r="AH78">
        <v>47.43</v>
      </c>
      <c r="AI78">
        <v>52.54</v>
      </c>
    </row>
    <row r="79" spans="1:35" x14ac:dyDescent="0.45">
      <c r="A79" s="2">
        <v>45986</v>
      </c>
      <c r="B79">
        <v>33.51</v>
      </c>
      <c r="C79">
        <v>37.270000000000003</v>
      </c>
      <c r="D79">
        <v>18.73</v>
      </c>
      <c r="E79">
        <v>25</v>
      </c>
      <c r="F79">
        <v>33.729999999999997</v>
      </c>
      <c r="G79">
        <v>61.56</v>
      </c>
      <c r="H79">
        <v>26.49</v>
      </c>
      <c r="I79">
        <v>62.8</v>
      </c>
      <c r="J79">
        <v>67.75</v>
      </c>
      <c r="K79">
        <v>89.79</v>
      </c>
      <c r="L79">
        <v>32.549999999999997</v>
      </c>
      <c r="M79">
        <v>66.3</v>
      </c>
      <c r="N79">
        <v>65.48</v>
      </c>
      <c r="O79">
        <v>54.28</v>
      </c>
      <c r="P79">
        <v>62.2</v>
      </c>
      <c r="Q79">
        <v>18.77</v>
      </c>
      <c r="R79">
        <v>1268.78</v>
      </c>
      <c r="S79">
        <v>33.54</v>
      </c>
      <c r="T79">
        <v>18.71</v>
      </c>
      <c r="U79">
        <v>17.75</v>
      </c>
      <c r="V79">
        <v>37.590000000000003</v>
      </c>
      <c r="W79">
        <v>44.699399999999997</v>
      </c>
      <c r="X79">
        <v>25.62</v>
      </c>
      <c r="Y79">
        <v>51.56</v>
      </c>
      <c r="Z79">
        <v>40.19</v>
      </c>
      <c r="AA79">
        <v>81.92</v>
      </c>
      <c r="AB79">
        <v>57.26</v>
      </c>
      <c r="AC79">
        <v>42.52</v>
      </c>
      <c r="AD79">
        <v>608.89</v>
      </c>
      <c r="AE79">
        <v>675.02</v>
      </c>
      <c r="AF79">
        <v>44.06</v>
      </c>
      <c r="AG79">
        <v>56.872</v>
      </c>
      <c r="AH79">
        <v>47.06</v>
      </c>
      <c r="AI79">
        <v>52.16</v>
      </c>
    </row>
    <row r="80" spans="1:35" x14ac:dyDescent="0.45">
      <c r="A80" s="2">
        <v>45985</v>
      </c>
      <c r="B80">
        <v>33.11</v>
      </c>
      <c r="C80">
        <v>36.61</v>
      </c>
      <c r="D80">
        <v>18.78</v>
      </c>
      <c r="E80">
        <v>24.97</v>
      </c>
      <c r="F80">
        <v>32.94</v>
      </c>
      <c r="G80">
        <v>61.02</v>
      </c>
      <c r="H80">
        <v>26.47</v>
      </c>
      <c r="I80">
        <v>62.51</v>
      </c>
      <c r="J80">
        <v>66.55</v>
      </c>
      <c r="K80">
        <v>90.3</v>
      </c>
      <c r="L80">
        <v>32.200000000000003</v>
      </c>
      <c r="M80">
        <v>65.89</v>
      </c>
      <c r="N80">
        <v>63.99</v>
      </c>
      <c r="O80">
        <v>54.22</v>
      </c>
      <c r="P80">
        <v>61.96</v>
      </c>
      <c r="Q80">
        <v>18.850000000000001</v>
      </c>
      <c r="R80">
        <v>1252.73</v>
      </c>
      <c r="S80">
        <v>33.76</v>
      </c>
      <c r="T80">
        <v>18.75</v>
      </c>
      <c r="U80">
        <v>17.91</v>
      </c>
      <c r="V80">
        <v>38.159999999999997</v>
      </c>
      <c r="W80">
        <v>44.47</v>
      </c>
      <c r="X80">
        <v>25.44</v>
      </c>
      <c r="Y80">
        <v>51.05</v>
      </c>
      <c r="Z80">
        <v>39.47</v>
      </c>
      <c r="AA80">
        <v>81.739999999999995</v>
      </c>
      <c r="AB80">
        <v>56.39</v>
      </c>
      <c r="AC80">
        <v>41.92</v>
      </c>
      <c r="AD80">
        <v>605.16</v>
      </c>
      <c r="AE80">
        <v>668.73</v>
      </c>
      <c r="AF80">
        <v>43.33</v>
      </c>
      <c r="AG80">
        <v>55.95</v>
      </c>
      <c r="AH80">
        <v>46.26</v>
      </c>
      <c r="AI80">
        <v>51.19</v>
      </c>
    </row>
    <row r="81" spans="1:35" x14ac:dyDescent="0.45">
      <c r="A81" s="2">
        <v>45982</v>
      </c>
      <c r="B81">
        <v>33.06</v>
      </c>
      <c r="C81">
        <v>36.340000000000003</v>
      </c>
      <c r="D81">
        <v>18.37</v>
      </c>
      <c r="E81">
        <v>25.06</v>
      </c>
      <c r="F81">
        <v>33.04</v>
      </c>
      <c r="G81">
        <v>59.64</v>
      </c>
      <c r="H81">
        <v>26.29</v>
      </c>
      <c r="I81">
        <v>61.8</v>
      </c>
      <c r="J81">
        <v>66.040000000000006</v>
      </c>
      <c r="K81">
        <v>89.22</v>
      </c>
      <c r="L81">
        <v>32.03</v>
      </c>
      <c r="M81">
        <v>64.86</v>
      </c>
      <c r="N81">
        <v>64.64</v>
      </c>
      <c r="O81">
        <v>54.21</v>
      </c>
      <c r="P81">
        <v>60.92</v>
      </c>
      <c r="Q81">
        <v>18.68</v>
      </c>
      <c r="R81">
        <v>1254.4000000000001</v>
      </c>
      <c r="S81">
        <v>33.78</v>
      </c>
      <c r="T81">
        <v>18.68</v>
      </c>
      <c r="U81">
        <v>17.72</v>
      </c>
      <c r="V81">
        <v>38.28</v>
      </c>
      <c r="W81">
        <v>44.33</v>
      </c>
      <c r="X81">
        <v>25.33</v>
      </c>
      <c r="Y81">
        <v>50.43</v>
      </c>
      <c r="Z81">
        <v>39.4</v>
      </c>
      <c r="AA81">
        <v>81.19</v>
      </c>
      <c r="AB81">
        <v>56.69</v>
      </c>
      <c r="AC81">
        <v>42.06</v>
      </c>
      <c r="AD81">
        <v>590.07000000000005</v>
      </c>
      <c r="AE81">
        <v>659.03</v>
      </c>
      <c r="AF81">
        <v>43.69</v>
      </c>
      <c r="AG81">
        <v>55.92</v>
      </c>
      <c r="AH81">
        <v>46.06</v>
      </c>
      <c r="AI81">
        <v>51.47</v>
      </c>
    </row>
    <row r="82" spans="1:35" x14ac:dyDescent="0.45">
      <c r="A82" s="2">
        <v>45981</v>
      </c>
      <c r="B82">
        <v>33.46</v>
      </c>
      <c r="C82">
        <v>36.590000000000003</v>
      </c>
      <c r="D82">
        <v>18.329999999999998</v>
      </c>
      <c r="E82">
        <v>24.37</v>
      </c>
      <c r="F82">
        <v>32.56</v>
      </c>
      <c r="G82">
        <v>59.5</v>
      </c>
      <c r="H82">
        <v>26.05</v>
      </c>
      <c r="I82">
        <v>61.68</v>
      </c>
      <c r="J82">
        <v>66.02</v>
      </c>
      <c r="K82">
        <v>88.53</v>
      </c>
      <c r="L82">
        <v>31.9</v>
      </c>
      <c r="M82">
        <v>64.930000000000007</v>
      </c>
      <c r="N82">
        <v>62.76</v>
      </c>
      <c r="O82">
        <v>54.72</v>
      </c>
      <c r="P82">
        <v>60.88</v>
      </c>
      <c r="Q82">
        <v>18.614999999999998</v>
      </c>
      <c r="R82">
        <v>1281.81</v>
      </c>
      <c r="S82">
        <v>33.58</v>
      </c>
      <c r="T82">
        <v>18.758199999999999</v>
      </c>
      <c r="U82">
        <v>17.45</v>
      </c>
      <c r="V82">
        <v>38.19</v>
      </c>
      <c r="W82">
        <v>43.75</v>
      </c>
      <c r="X82">
        <v>24.95</v>
      </c>
      <c r="Y82">
        <v>49.91</v>
      </c>
      <c r="Z82">
        <v>38.89</v>
      </c>
      <c r="AA82">
        <v>79.489999999999995</v>
      </c>
      <c r="AB82">
        <v>55.69</v>
      </c>
      <c r="AC82">
        <v>41.34</v>
      </c>
      <c r="AD82">
        <v>585.66999999999996</v>
      </c>
      <c r="AE82">
        <v>652.53</v>
      </c>
      <c r="AF82">
        <v>42.99</v>
      </c>
      <c r="AG82">
        <v>55.52</v>
      </c>
      <c r="AH82">
        <v>45.38</v>
      </c>
      <c r="AI82">
        <v>50.81</v>
      </c>
    </row>
    <row r="83" spans="1:35" x14ac:dyDescent="0.45">
      <c r="A83" s="2">
        <v>45980</v>
      </c>
      <c r="B83">
        <v>33.880000000000003</v>
      </c>
      <c r="C83">
        <v>37.11</v>
      </c>
      <c r="D83">
        <v>18.48</v>
      </c>
      <c r="E83">
        <v>24.23</v>
      </c>
      <c r="F83">
        <v>33.29</v>
      </c>
      <c r="G83">
        <v>61.25</v>
      </c>
      <c r="H83">
        <v>26.33</v>
      </c>
      <c r="I83">
        <v>62.5</v>
      </c>
      <c r="J83">
        <v>66.77</v>
      </c>
      <c r="K83">
        <v>90.56</v>
      </c>
      <c r="L83">
        <v>32.49</v>
      </c>
      <c r="M83">
        <v>66.569999999999993</v>
      </c>
      <c r="N83">
        <v>63.34</v>
      </c>
      <c r="O83">
        <v>54.83</v>
      </c>
      <c r="P83">
        <v>61.91</v>
      </c>
      <c r="Q83">
        <v>18.954999999999998</v>
      </c>
      <c r="R83">
        <v>1272.17</v>
      </c>
      <c r="S83">
        <v>33.659999999999997</v>
      </c>
      <c r="T83">
        <v>18.87</v>
      </c>
      <c r="U83">
        <v>17.61</v>
      </c>
      <c r="V83">
        <v>38.43</v>
      </c>
      <c r="W83">
        <v>43.6663</v>
      </c>
      <c r="X83">
        <v>25.3</v>
      </c>
      <c r="Y83">
        <v>50.62</v>
      </c>
      <c r="Z83">
        <v>39.51</v>
      </c>
      <c r="AA83">
        <v>80.680000000000007</v>
      </c>
      <c r="AB83">
        <v>56.36</v>
      </c>
      <c r="AC83">
        <v>41.73</v>
      </c>
      <c r="AD83">
        <v>599.87</v>
      </c>
      <c r="AE83">
        <v>662.63</v>
      </c>
      <c r="AF83">
        <v>43.44</v>
      </c>
      <c r="AG83">
        <v>57.05</v>
      </c>
      <c r="AH83">
        <v>46.17</v>
      </c>
      <c r="AI83">
        <v>51.34</v>
      </c>
    </row>
    <row r="84" spans="1:35" x14ac:dyDescent="0.45">
      <c r="A84" s="2">
        <v>45979</v>
      </c>
      <c r="B84">
        <v>33.93</v>
      </c>
      <c r="C84">
        <v>36.83</v>
      </c>
      <c r="D84">
        <v>18.260000000000002</v>
      </c>
      <c r="E84">
        <v>24.02</v>
      </c>
      <c r="F84">
        <v>32.869999999999997</v>
      </c>
      <c r="G84">
        <v>60.32</v>
      </c>
      <c r="H84">
        <v>26.16</v>
      </c>
      <c r="I84">
        <v>62.67</v>
      </c>
      <c r="J84">
        <v>66.67</v>
      </c>
      <c r="K84">
        <v>91.59</v>
      </c>
      <c r="L84">
        <v>32.71</v>
      </c>
      <c r="M84">
        <v>66.16</v>
      </c>
      <c r="N84">
        <v>63.2</v>
      </c>
      <c r="O84">
        <v>54.61</v>
      </c>
      <c r="P84">
        <v>62.42</v>
      </c>
      <c r="Q84">
        <v>18.815000000000001</v>
      </c>
      <c r="R84">
        <v>1270.04</v>
      </c>
      <c r="S84">
        <v>33.299999999999997</v>
      </c>
      <c r="T84">
        <v>18.850000000000001</v>
      </c>
      <c r="U84">
        <v>17.73</v>
      </c>
      <c r="V84">
        <v>38.79</v>
      </c>
      <c r="W84">
        <v>44.235900000000001</v>
      </c>
      <c r="X84">
        <v>25.4</v>
      </c>
      <c r="Y84">
        <v>50.53</v>
      </c>
      <c r="Z84">
        <v>39.53</v>
      </c>
      <c r="AA84">
        <v>80.78</v>
      </c>
      <c r="AB84">
        <v>56.58</v>
      </c>
      <c r="AC84">
        <v>42.19</v>
      </c>
      <c r="AD84">
        <v>596.30999999999995</v>
      </c>
      <c r="AE84">
        <v>660.08</v>
      </c>
      <c r="AF84">
        <v>43.63</v>
      </c>
      <c r="AG84">
        <v>56.63</v>
      </c>
      <c r="AH84">
        <v>46.49</v>
      </c>
      <c r="AI84">
        <v>51.81</v>
      </c>
    </row>
    <row r="85" spans="1:35" x14ac:dyDescent="0.45">
      <c r="A85" s="2">
        <v>45978</v>
      </c>
      <c r="B85">
        <v>33.89</v>
      </c>
      <c r="C85">
        <v>37.31</v>
      </c>
      <c r="D85">
        <v>18.38</v>
      </c>
      <c r="E85">
        <v>23.95</v>
      </c>
      <c r="F85">
        <v>33.39</v>
      </c>
      <c r="G85">
        <v>61.163600000000002</v>
      </c>
      <c r="H85">
        <v>26.23</v>
      </c>
      <c r="I85">
        <v>63.16</v>
      </c>
      <c r="J85">
        <v>65.87</v>
      </c>
      <c r="K85">
        <v>93.02</v>
      </c>
      <c r="L85">
        <v>32.78</v>
      </c>
      <c r="M85">
        <v>66.13</v>
      </c>
      <c r="N85">
        <v>64.5</v>
      </c>
      <c r="O85">
        <v>54.65</v>
      </c>
      <c r="P85">
        <v>62.78</v>
      </c>
      <c r="Q85">
        <v>18.89</v>
      </c>
      <c r="R85">
        <v>1280.07</v>
      </c>
      <c r="S85">
        <v>33.08</v>
      </c>
      <c r="T85">
        <v>18.93</v>
      </c>
      <c r="U85">
        <v>17.66</v>
      </c>
      <c r="V85">
        <v>38.450000000000003</v>
      </c>
      <c r="W85">
        <v>44.493200000000002</v>
      </c>
      <c r="X85">
        <v>25.64</v>
      </c>
      <c r="Y85">
        <v>50.34</v>
      </c>
      <c r="Z85">
        <v>40.01</v>
      </c>
      <c r="AA85">
        <v>82.47</v>
      </c>
      <c r="AB85">
        <v>56.81</v>
      </c>
      <c r="AC85">
        <v>42.44</v>
      </c>
      <c r="AD85">
        <v>603.66</v>
      </c>
      <c r="AE85">
        <v>665.67</v>
      </c>
      <c r="AF85">
        <v>44.2</v>
      </c>
      <c r="AG85">
        <v>57.36</v>
      </c>
      <c r="AH85">
        <v>47.22</v>
      </c>
      <c r="AI85">
        <v>52.56</v>
      </c>
    </row>
    <row r="86" spans="1:35" x14ac:dyDescent="0.45">
      <c r="A86" s="2">
        <v>45975</v>
      </c>
      <c r="B86">
        <v>34.19</v>
      </c>
      <c r="C86">
        <v>36.369999999999997</v>
      </c>
      <c r="D86">
        <v>18.38</v>
      </c>
      <c r="E86">
        <v>23.28</v>
      </c>
      <c r="F86">
        <v>34.159999999999997</v>
      </c>
      <c r="G86">
        <v>62.34</v>
      </c>
      <c r="H86">
        <v>26.45</v>
      </c>
      <c r="I86">
        <v>65.17</v>
      </c>
      <c r="J86">
        <v>67.22</v>
      </c>
      <c r="K86">
        <v>94.13</v>
      </c>
      <c r="L86">
        <v>33.18</v>
      </c>
      <c r="M86">
        <v>66.989999999999995</v>
      </c>
      <c r="N86">
        <v>65</v>
      </c>
      <c r="O86">
        <v>54.62</v>
      </c>
      <c r="P86">
        <v>63.5</v>
      </c>
      <c r="Q86">
        <v>19.285</v>
      </c>
      <c r="R86">
        <v>1269.26</v>
      </c>
      <c r="S86">
        <v>32.85</v>
      </c>
      <c r="T86">
        <v>19.170000000000002</v>
      </c>
      <c r="U86">
        <v>17.59</v>
      </c>
      <c r="V86">
        <v>38.83</v>
      </c>
      <c r="W86">
        <v>44.844999999999999</v>
      </c>
      <c r="X86">
        <v>25.95</v>
      </c>
      <c r="Y86">
        <v>50.89</v>
      </c>
      <c r="Z86">
        <v>40.86</v>
      </c>
      <c r="AA86">
        <v>83.98</v>
      </c>
      <c r="AB86">
        <v>57.55</v>
      </c>
      <c r="AC86">
        <v>42.77</v>
      </c>
      <c r="AD86">
        <v>608.86</v>
      </c>
      <c r="AE86">
        <v>671.93</v>
      </c>
      <c r="AF86">
        <v>44.84</v>
      </c>
      <c r="AG86">
        <v>58.13</v>
      </c>
      <c r="AH86">
        <v>47.65</v>
      </c>
      <c r="AI86">
        <v>53.2</v>
      </c>
    </row>
    <row r="87" spans="1:35" x14ac:dyDescent="0.45">
      <c r="A87" s="2">
        <v>45974</v>
      </c>
      <c r="B87">
        <v>34.64</v>
      </c>
      <c r="C87">
        <v>36.71</v>
      </c>
      <c r="D87">
        <v>18.28</v>
      </c>
      <c r="E87">
        <v>23.69</v>
      </c>
      <c r="F87">
        <v>34.130000000000003</v>
      </c>
      <c r="G87">
        <v>62.52</v>
      </c>
      <c r="H87">
        <v>26.5</v>
      </c>
      <c r="I87">
        <v>63.99</v>
      </c>
      <c r="J87">
        <v>67.38</v>
      </c>
      <c r="K87">
        <v>94.07</v>
      </c>
      <c r="L87">
        <v>32.979999999999997</v>
      </c>
      <c r="M87">
        <v>67.83</v>
      </c>
      <c r="N87">
        <v>64.67</v>
      </c>
      <c r="O87">
        <v>54.2</v>
      </c>
      <c r="P87">
        <v>64.459999999999994</v>
      </c>
      <c r="Q87">
        <v>19.25</v>
      </c>
      <c r="R87">
        <v>1287.44</v>
      </c>
      <c r="S87">
        <v>32.78</v>
      </c>
      <c r="T87">
        <v>19.190000000000001</v>
      </c>
      <c r="U87">
        <v>17.420000000000002</v>
      </c>
      <c r="V87">
        <v>38.729999999999997</v>
      </c>
      <c r="W87">
        <v>44.943399999999997</v>
      </c>
      <c r="X87">
        <v>25.94</v>
      </c>
      <c r="Y87">
        <v>50.64</v>
      </c>
      <c r="Z87">
        <v>41.25</v>
      </c>
      <c r="AA87">
        <v>83.01</v>
      </c>
      <c r="AB87">
        <v>57.85</v>
      </c>
      <c r="AC87">
        <v>43.04</v>
      </c>
      <c r="AD87">
        <v>608.4</v>
      </c>
      <c r="AE87">
        <v>672.04</v>
      </c>
      <c r="AF87">
        <v>45.04</v>
      </c>
      <c r="AG87">
        <v>58.61</v>
      </c>
      <c r="AH87">
        <v>48.27</v>
      </c>
      <c r="AI87">
        <v>53.98</v>
      </c>
    </row>
    <row r="88" spans="1:35" x14ac:dyDescent="0.45">
      <c r="A88" s="2">
        <v>45973</v>
      </c>
      <c r="B88">
        <v>34.43</v>
      </c>
      <c r="C88">
        <v>37.26</v>
      </c>
      <c r="D88">
        <v>18.440000000000001</v>
      </c>
      <c r="E88">
        <v>23.6</v>
      </c>
      <c r="F88">
        <v>34.42</v>
      </c>
      <c r="G88">
        <v>64.38</v>
      </c>
      <c r="H88">
        <v>26.53</v>
      </c>
      <c r="I88">
        <v>65.41</v>
      </c>
      <c r="J88">
        <v>68.16</v>
      </c>
      <c r="K88">
        <v>95.92</v>
      </c>
      <c r="L88">
        <v>33.22</v>
      </c>
      <c r="M88">
        <v>68.08</v>
      </c>
      <c r="N88">
        <v>64.319999999999993</v>
      </c>
      <c r="O88">
        <v>54.56</v>
      </c>
      <c r="P88">
        <v>64.58</v>
      </c>
      <c r="Q88">
        <v>19.555</v>
      </c>
      <c r="R88">
        <v>1284.81</v>
      </c>
      <c r="S88">
        <v>33.03</v>
      </c>
      <c r="T88">
        <v>19.48</v>
      </c>
      <c r="U88">
        <v>17.53</v>
      </c>
      <c r="V88">
        <v>39.17</v>
      </c>
      <c r="W88">
        <v>45.657200000000003</v>
      </c>
      <c r="X88">
        <v>26.58</v>
      </c>
      <c r="Y88">
        <v>51.75</v>
      </c>
      <c r="Z88">
        <v>41.68</v>
      </c>
      <c r="AA88">
        <v>84.34</v>
      </c>
      <c r="AB88">
        <v>58.06</v>
      </c>
      <c r="AC88">
        <v>43.51</v>
      </c>
      <c r="AD88">
        <v>621.08000000000004</v>
      </c>
      <c r="AE88">
        <v>683.38</v>
      </c>
      <c r="AF88">
        <v>45.14</v>
      </c>
      <c r="AG88">
        <v>59.03</v>
      </c>
      <c r="AH88">
        <v>48.82</v>
      </c>
      <c r="AI88">
        <v>54.12</v>
      </c>
    </row>
    <row r="89" spans="1:35" x14ac:dyDescent="0.45">
      <c r="A89" s="2">
        <v>45972</v>
      </c>
      <c r="B89">
        <v>34.47</v>
      </c>
      <c r="C89">
        <v>36.5</v>
      </c>
      <c r="D89">
        <v>18.45</v>
      </c>
      <c r="E89">
        <v>23.41</v>
      </c>
      <c r="F89">
        <v>34.56</v>
      </c>
      <c r="G89">
        <v>63.04</v>
      </c>
      <c r="H89">
        <v>26.78</v>
      </c>
      <c r="I89">
        <v>65.39</v>
      </c>
      <c r="J89">
        <v>69.34</v>
      </c>
      <c r="K89">
        <v>95.29</v>
      </c>
      <c r="L89">
        <v>33.49</v>
      </c>
      <c r="M89">
        <v>66.53</v>
      </c>
      <c r="N89">
        <v>63.63</v>
      </c>
      <c r="O89">
        <v>54.74</v>
      </c>
      <c r="P89">
        <v>64.53</v>
      </c>
      <c r="Q89">
        <v>19.6479</v>
      </c>
      <c r="R89">
        <v>1300.47</v>
      </c>
      <c r="S89">
        <v>32.85</v>
      </c>
      <c r="T89">
        <v>19.690000000000001</v>
      </c>
      <c r="U89">
        <v>16.93</v>
      </c>
      <c r="V89">
        <v>39.39</v>
      </c>
      <c r="W89">
        <v>45.674999999999997</v>
      </c>
      <c r="X89">
        <v>26.63</v>
      </c>
      <c r="Y89">
        <v>51.04</v>
      </c>
      <c r="Z89">
        <v>41.23</v>
      </c>
      <c r="AA89">
        <v>83.75</v>
      </c>
      <c r="AB89">
        <v>57.67</v>
      </c>
      <c r="AC89">
        <v>43.65</v>
      </c>
      <c r="AD89">
        <v>621.57000000000005</v>
      </c>
      <c r="AE89">
        <v>683</v>
      </c>
      <c r="AF89">
        <v>44.71</v>
      </c>
      <c r="AG89">
        <v>58.73</v>
      </c>
      <c r="AH89">
        <v>48.48</v>
      </c>
      <c r="AI89">
        <v>53.75</v>
      </c>
    </row>
    <row r="90" spans="1:35" x14ac:dyDescent="0.45">
      <c r="A90" s="2">
        <v>45971</v>
      </c>
      <c r="B90">
        <v>34.770000000000003</v>
      </c>
      <c r="C90">
        <v>36.299999999999997</v>
      </c>
      <c r="D90">
        <v>18.55</v>
      </c>
      <c r="E90">
        <v>23.7</v>
      </c>
      <c r="F90">
        <v>34.44</v>
      </c>
      <c r="G90">
        <v>63.13</v>
      </c>
      <c r="H90">
        <v>26.47</v>
      </c>
      <c r="I90">
        <v>65.75</v>
      </c>
      <c r="J90">
        <v>67.91</v>
      </c>
      <c r="K90">
        <v>95.67</v>
      </c>
      <c r="L90">
        <v>32.72</v>
      </c>
      <c r="M90">
        <v>66.62</v>
      </c>
      <c r="N90">
        <v>63.69</v>
      </c>
      <c r="O90">
        <v>54.15</v>
      </c>
      <c r="P90">
        <v>64.7</v>
      </c>
      <c r="Q90">
        <v>19.48</v>
      </c>
      <c r="R90">
        <v>1306.26</v>
      </c>
      <c r="S90">
        <v>33.549999999999997</v>
      </c>
      <c r="T90">
        <v>19.53</v>
      </c>
      <c r="U90">
        <v>16.71</v>
      </c>
      <c r="V90">
        <v>39.32</v>
      </c>
      <c r="W90">
        <v>45.684100000000001</v>
      </c>
      <c r="X90">
        <v>26.81</v>
      </c>
      <c r="Y90">
        <v>50.89</v>
      </c>
      <c r="Z90">
        <v>40.96</v>
      </c>
      <c r="AA90">
        <v>83.68</v>
      </c>
      <c r="AB90">
        <v>56.36</v>
      </c>
      <c r="AC90">
        <v>43.44</v>
      </c>
      <c r="AD90">
        <v>623.23</v>
      </c>
      <c r="AE90">
        <v>681.44</v>
      </c>
      <c r="AF90">
        <v>44.19</v>
      </c>
      <c r="AG90">
        <v>58.56</v>
      </c>
      <c r="AH90">
        <v>47.74</v>
      </c>
      <c r="AI90">
        <v>53.15</v>
      </c>
    </row>
    <row r="91" spans="1:35" x14ac:dyDescent="0.45">
      <c r="A91" s="2">
        <v>45968</v>
      </c>
      <c r="B91">
        <v>34.6</v>
      </c>
      <c r="C91">
        <v>35.799999999999997</v>
      </c>
      <c r="D91">
        <v>18.53</v>
      </c>
      <c r="E91">
        <v>23.79</v>
      </c>
      <c r="F91">
        <v>33.840000000000003</v>
      </c>
      <c r="G91">
        <v>61.77</v>
      </c>
      <c r="H91">
        <v>26.23</v>
      </c>
      <c r="I91">
        <v>64.61</v>
      </c>
      <c r="J91">
        <v>67.819999999999993</v>
      </c>
      <c r="K91">
        <v>91.8</v>
      </c>
      <c r="L91">
        <v>32.299999999999997</v>
      </c>
      <c r="M91">
        <v>64.239999999999995</v>
      </c>
      <c r="N91">
        <v>62.35</v>
      </c>
      <c r="O91">
        <v>53.75</v>
      </c>
      <c r="P91">
        <v>63.61</v>
      </c>
      <c r="Q91">
        <v>19.420000000000002</v>
      </c>
      <c r="R91">
        <v>1302.9100000000001</v>
      </c>
      <c r="S91">
        <v>33.86</v>
      </c>
      <c r="T91">
        <v>19.43</v>
      </c>
      <c r="U91">
        <v>16.88</v>
      </c>
      <c r="V91">
        <v>39.28</v>
      </c>
      <c r="W91">
        <v>45.580800000000004</v>
      </c>
      <c r="X91">
        <v>26.44</v>
      </c>
      <c r="Y91">
        <v>50.1</v>
      </c>
      <c r="Z91">
        <v>40.479999999999997</v>
      </c>
      <c r="AA91">
        <v>83.29</v>
      </c>
      <c r="AB91">
        <v>55.74</v>
      </c>
      <c r="AC91">
        <v>42.87</v>
      </c>
      <c r="AD91">
        <v>609.74</v>
      </c>
      <c r="AE91">
        <v>670.97</v>
      </c>
      <c r="AF91">
        <v>43.78</v>
      </c>
      <c r="AG91">
        <v>57.74</v>
      </c>
      <c r="AH91">
        <v>47.24</v>
      </c>
      <c r="AI91">
        <v>52.19</v>
      </c>
    </row>
    <row r="92" spans="1:35" x14ac:dyDescent="0.45">
      <c r="A92" s="2">
        <v>45967</v>
      </c>
      <c r="B92">
        <v>34.590000000000003</v>
      </c>
      <c r="C92">
        <v>35.25</v>
      </c>
      <c r="D92">
        <v>18.440000000000001</v>
      </c>
      <c r="E92">
        <v>24.11</v>
      </c>
      <c r="F92">
        <v>33.950000000000003</v>
      </c>
      <c r="G92">
        <v>61.75</v>
      </c>
      <c r="H92">
        <v>26.01</v>
      </c>
      <c r="I92">
        <v>64.94</v>
      </c>
      <c r="J92">
        <v>66.97</v>
      </c>
      <c r="K92">
        <v>93.51</v>
      </c>
      <c r="L92">
        <v>32.04</v>
      </c>
      <c r="M92">
        <v>63.7</v>
      </c>
      <c r="N92">
        <v>62.47</v>
      </c>
      <c r="O92">
        <v>53.62</v>
      </c>
      <c r="P92">
        <v>63.97</v>
      </c>
      <c r="Q92">
        <v>19.46</v>
      </c>
      <c r="R92">
        <v>1313.31</v>
      </c>
      <c r="S92">
        <v>34.25</v>
      </c>
      <c r="T92">
        <v>19.309999999999999</v>
      </c>
      <c r="U92">
        <v>17.32</v>
      </c>
      <c r="V92">
        <v>39.299999999999997</v>
      </c>
      <c r="W92">
        <v>45.333100000000002</v>
      </c>
      <c r="X92">
        <v>26.46</v>
      </c>
      <c r="Y92">
        <v>49.75</v>
      </c>
      <c r="Z92">
        <v>40.39</v>
      </c>
      <c r="AA92">
        <v>82.96</v>
      </c>
      <c r="AB92">
        <v>55.22</v>
      </c>
      <c r="AC92">
        <v>42.62</v>
      </c>
      <c r="AD92">
        <v>611.66999999999996</v>
      </c>
      <c r="AE92">
        <v>670.31</v>
      </c>
      <c r="AF92">
        <v>43.42</v>
      </c>
      <c r="AG92">
        <v>57.96</v>
      </c>
      <c r="AH92">
        <v>46.98</v>
      </c>
      <c r="AI92">
        <v>51.75</v>
      </c>
    </row>
    <row r="93" spans="1:35" x14ac:dyDescent="0.45">
      <c r="A93" s="2">
        <v>45966</v>
      </c>
      <c r="B93">
        <v>34.380000000000003</v>
      </c>
      <c r="C93">
        <v>35.299999999999997</v>
      </c>
      <c r="D93">
        <v>18.54</v>
      </c>
      <c r="E93">
        <v>24.19</v>
      </c>
      <c r="F93">
        <v>33.51</v>
      </c>
      <c r="G93">
        <v>61.39</v>
      </c>
      <c r="H93">
        <v>26.2</v>
      </c>
      <c r="I93">
        <v>66.03</v>
      </c>
      <c r="J93">
        <v>67.180000000000007</v>
      </c>
      <c r="K93">
        <v>96.62</v>
      </c>
      <c r="L93">
        <v>32.1</v>
      </c>
      <c r="M93">
        <v>63.4</v>
      </c>
      <c r="N93">
        <v>62.68</v>
      </c>
      <c r="O93">
        <v>54.3</v>
      </c>
      <c r="P93">
        <v>63.36</v>
      </c>
      <c r="Q93">
        <v>19.414999999999999</v>
      </c>
      <c r="R93">
        <v>1295.29</v>
      </c>
      <c r="S93">
        <v>34.130000000000003</v>
      </c>
      <c r="T93">
        <v>19.350000000000001</v>
      </c>
      <c r="U93">
        <v>17.57</v>
      </c>
      <c r="V93">
        <v>39.35</v>
      </c>
      <c r="W93">
        <v>45.91</v>
      </c>
      <c r="X93">
        <v>26.67</v>
      </c>
      <c r="Y93">
        <v>50.26</v>
      </c>
      <c r="Z93">
        <v>40.729999999999997</v>
      </c>
      <c r="AA93">
        <v>82.8</v>
      </c>
      <c r="AB93">
        <v>55.4</v>
      </c>
      <c r="AC93">
        <v>42.61</v>
      </c>
      <c r="AD93">
        <v>623.28</v>
      </c>
      <c r="AE93">
        <v>677.58</v>
      </c>
      <c r="AF93">
        <v>43.88</v>
      </c>
      <c r="AG93">
        <v>58.26</v>
      </c>
      <c r="AH93">
        <v>47.29</v>
      </c>
      <c r="AI93">
        <v>52</v>
      </c>
    </row>
    <row r="94" spans="1:35" x14ac:dyDescent="0.45">
      <c r="A94" s="2">
        <v>45965</v>
      </c>
      <c r="B94">
        <v>33.97</v>
      </c>
      <c r="C94">
        <v>34.5</v>
      </c>
      <c r="D94">
        <v>18.36</v>
      </c>
      <c r="E94">
        <v>24.38</v>
      </c>
      <c r="F94">
        <v>33.31</v>
      </c>
      <c r="G94">
        <v>60.31</v>
      </c>
      <c r="H94">
        <v>25.98</v>
      </c>
      <c r="I94">
        <v>65.430000000000007</v>
      </c>
      <c r="J94">
        <v>65.650000000000006</v>
      </c>
      <c r="K94">
        <v>95.76</v>
      </c>
      <c r="L94">
        <v>31.18</v>
      </c>
      <c r="M94">
        <v>61.44</v>
      </c>
      <c r="N94">
        <v>62.17</v>
      </c>
      <c r="O94">
        <v>54.02</v>
      </c>
      <c r="P94">
        <v>62.73</v>
      </c>
      <c r="Q94">
        <v>19.434999999999999</v>
      </c>
      <c r="R94">
        <v>1298.5999999999999</v>
      </c>
      <c r="S94">
        <v>33.909999999999997</v>
      </c>
      <c r="T94">
        <v>19.36</v>
      </c>
      <c r="U94">
        <v>17.53</v>
      </c>
      <c r="V94">
        <v>39.68</v>
      </c>
      <c r="W94">
        <v>45.38</v>
      </c>
      <c r="X94">
        <v>26.41</v>
      </c>
      <c r="Y94">
        <v>49.72</v>
      </c>
      <c r="Z94">
        <v>40.340000000000003</v>
      </c>
      <c r="AA94">
        <v>82.83</v>
      </c>
      <c r="AB94">
        <v>55.06</v>
      </c>
      <c r="AC94">
        <v>42.18</v>
      </c>
      <c r="AD94">
        <v>619.25</v>
      </c>
      <c r="AE94">
        <v>675.24</v>
      </c>
      <c r="AF94">
        <v>43.63</v>
      </c>
      <c r="AG94">
        <v>57.82</v>
      </c>
      <c r="AH94">
        <v>46.87</v>
      </c>
      <c r="AI94">
        <v>51.38</v>
      </c>
    </row>
    <row r="95" spans="1:35" x14ac:dyDescent="0.45">
      <c r="A95" s="2">
        <v>45964</v>
      </c>
      <c r="B95">
        <v>34.377099999999999</v>
      </c>
      <c r="C95">
        <v>35.93</v>
      </c>
      <c r="D95">
        <v>18.45</v>
      </c>
      <c r="E95">
        <v>24.15</v>
      </c>
      <c r="F95">
        <v>33.78</v>
      </c>
      <c r="G95">
        <v>62.16</v>
      </c>
      <c r="H95">
        <v>26.06</v>
      </c>
      <c r="I95">
        <v>66.900000000000006</v>
      </c>
      <c r="J95">
        <v>66.23</v>
      </c>
      <c r="K95">
        <v>100.78</v>
      </c>
      <c r="L95">
        <v>31.52</v>
      </c>
      <c r="M95">
        <v>63.76</v>
      </c>
      <c r="N95">
        <v>63.18</v>
      </c>
      <c r="O95">
        <v>54.24</v>
      </c>
      <c r="P95">
        <v>63.55</v>
      </c>
      <c r="Q95">
        <v>19.315000000000001</v>
      </c>
      <c r="R95">
        <v>1308.8599999999999</v>
      </c>
      <c r="S95">
        <v>34.450000000000003</v>
      </c>
      <c r="T95">
        <v>19.579999999999998</v>
      </c>
      <c r="U95">
        <v>17.09</v>
      </c>
      <c r="V95">
        <v>40</v>
      </c>
      <c r="W95">
        <v>45.705599999999997</v>
      </c>
      <c r="X95">
        <v>26.84</v>
      </c>
      <c r="Y95">
        <v>50.67</v>
      </c>
      <c r="Z95">
        <v>40.909999999999997</v>
      </c>
      <c r="AA95">
        <v>83.64</v>
      </c>
      <c r="AB95">
        <v>55.12</v>
      </c>
      <c r="AC95">
        <v>42.53</v>
      </c>
      <c r="AD95">
        <v>632.08000000000004</v>
      </c>
      <c r="AE95">
        <v>683.34</v>
      </c>
      <c r="AF95">
        <v>44.07</v>
      </c>
      <c r="AG95">
        <v>58.68</v>
      </c>
      <c r="AH95">
        <v>47.7</v>
      </c>
      <c r="AI95">
        <v>51.79</v>
      </c>
    </row>
    <row r="96" spans="1:35" x14ac:dyDescent="0.45">
      <c r="A96" s="2">
        <v>45961</v>
      </c>
      <c r="B96">
        <v>34.299999999999997</v>
      </c>
      <c r="C96">
        <v>35.32</v>
      </c>
      <c r="D96">
        <v>18.28</v>
      </c>
      <c r="E96">
        <v>24.55</v>
      </c>
      <c r="F96">
        <v>33.71</v>
      </c>
      <c r="G96">
        <v>62.78</v>
      </c>
      <c r="H96">
        <v>25.85</v>
      </c>
      <c r="I96">
        <v>66.650000000000006</v>
      </c>
      <c r="J96">
        <v>66.53</v>
      </c>
      <c r="K96">
        <v>97</v>
      </c>
      <c r="L96">
        <v>31.17</v>
      </c>
      <c r="M96">
        <v>63.77</v>
      </c>
      <c r="N96">
        <v>62.22</v>
      </c>
      <c r="O96">
        <v>53.97</v>
      </c>
      <c r="P96">
        <v>63.57</v>
      </c>
      <c r="Q96">
        <v>19.3</v>
      </c>
      <c r="R96">
        <v>1309.5</v>
      </c>
      <c r="S96">
        <v>34.15</v>
      </c>
      <c r="T96">
        <v>19.68</v>
      </c>
      <c r="U96">
        <v>17.43</v>
      </c>
      <c r="V96">
        <v>40.28</v>
      </c>
      <c r="W96">
        <v>45.89</v>
      </c>
      <c r="X96">
        <v>26.77</v>
      </c>
      <c r="Y96">
        <v>50.74</v>
      </c>
      <c r="Z96">
        <v>40.729999999999997</v>
      </c>
      <c r="AA96">
        <v>83.45</v>
      </c>
      <c r="AB96">
        <v>55.36</v>
      </c>
      <c r="AC96">
        <v>42.67</v>
      </c>
      <c r="AD96">
        <v>629.07000000000005</v>
      </c>
      <c r="AE96">
        <v>682.06</v>
      </c>
      <c r="AF96">
        <v>44.28</v>
      </c>
      <c r="AG96">
        <v>58.8</v>
      </c>
      <c r="AH96">
        <v>47.99</v>
      </c>
      <c r="AI96">
        <v>51.81</v>
      </c>
    </row>
    <row r="97" spans="1:35" x14ac:dyDescent="0.45">
      <c r="A97" s="2">
        <v>45960</v>
      </c>
      <c r="B97">
        <v>34.9</v>
      </c>
      <c r="C97">
        <v>35.340000000000003</v>
      </c>
      <c r="D97">
        <v>18.27</v>
      </c>
      <c r="E97">
        <v>24.4</v>
      </c>
      <c r="F97">
        <v>34.22</v>
      </c>
      <c r="G97">
        <v>63.11</v>
      </c>
      <c r="H97">
        <v>25.88</v>
      </c>
      <c r="I97">
        <v>66.540000000000006</v>
      </c>
      <c r="J97">
        <v>66.73</v>
      </c>
      <c r="K97">
        <v>95.26</v>
      </c>
      <c r="L97">
        <v>31.05</v>
      </c>
      <c r="M97">
        <v>64.37</v>
      </c>
      <c r="N97">
        <v>62.69</v>
      </c>
      <c r="O97">
        <v>54.27</v>
      </c>
      <c r="P97">
        <v>64.38</v>
      </c>
      <c r="Q97">
        <v>19.289100000000001</v>
      </c>
      <c r="R97">
        <v>1314.65</v>
      </c>
      <c r="S97">
        <v>33.64</v>
      </c>
      <c r="T97">
        <v>20.149999999999999</v>
      </c>
      <c r="U97">
        <v>17.71</v>
      </c>
      <c r="V97">
        <v>40.229999999999997</v>
      </c>
      <c r="W97">
        <v>45.755000000000003</v>
      </c>
      <c r="X97">
        <v>26.89</v>
      </c>
      <c r="Y97">
        <v>50.67</v>
      </c>
      <c r="Z97">
        <v>41</v>
      </c>
      <c r="AA97">
        <v>83.21</v>
      </c>
      <c r="AB97">
        <v>55.6</v>
      </c>
      <c r="AC97">
        <v>42.75</v>
      </c>
      <c r="AD97">
        <v>626.04999999999995</v>
      </c>
      <c r="AE97">
        <v>679.83</v>
      </c>
      <c r="AF97">
        <v>44.44</v>
      </c>
      <c r="AG97">
        <v>59.48</v>
      </c>
      <c r="AH97">
        <v>48.49</v>
      </c>
      <c r="AI97">
        <v>51.82</v>
      </c>
    </row>
    <row r="98" spans="1:35" x14ac:dyDescent="0.45">
      <c r="A98" s="2">
        <v>45959</v>
      </c>
      <c r="B98">
        <v>35.270000000000003</v>
      </c>
      <c r="C98">
        <v>34.97</v>
      </c>
      <c r="D98">
        <v>18.32</v>
      </c>
      <c r="E98">
        <v>24.74</v>
      </c>
      <c r="F98">
        <v>34.53</v>
      </c>
      <c r="G98">
        <v>63.12</v>
      </c>
      <c r="H98">
        <v>25.91</v>
      </c>
      <c r="I98">
        <v>67.13</v>
      </c>
      <c r="J98">
        <v>67.430000000000007</v>
      </c>
      <c r="K98">
        <v>96.9</v>
      </c>
      <c r="L98">
        <v>31.18</v>
      </c>
      <c r="M98">
        <v>64.75</v>
      </c>
      <c r="N98">
        <v>63.76</v>
      </c>
      <c r="O98">
        <v>54.61</v>
      </c>
      <c r="P98">
        <v>65.489999999999995</v>
      </c>
      <c r="Q98">
        <v>19.25</v>
      </c>
      <c r="R98">
        <v>1315.64</v>
      </c>
      <c r="S98">
        <v>33.909999999999997</v>
      </c>
      <c r="T98">
        <v>20</v>
      </c>
      <c r="U98">
        <v>18.149999999999999</v>
      </c>
      <c r="V98">
        <v>41.03</v>
      </c>
      <c r="W98">
        <v>45.674999999999997</v>
      </c>
      <c r="X98">
        <v>27</v>
      </c>
      <c r="Y98">
        <v>50.75</v>
      </c>
      <c r="Z98">
        <v>41.27</v>
      </c>
      <c r="AA98">
        <v>83.23</v>
      </c>
      <c r="AB98">
        <v>55.66</v>
      </c>
      <c r="AC98">
        <v>42.83</v>
      </c>
      <c r="AD98">
        <v>635.77</v>
      </c>
      <c r="AE98">
        <v>687.39</v>
      </c>
      <c r="AF98">
        <v>44.86</v>
      </c>
      <c r="AG98">
        <v>59.366</v>
      </c>
      <c r="AH98">
        <v>48.74</v>
      </c>
      <c r="AI98">
        <v>52.11</v>
      </c>
    </row>
    <row r="99" spans="1:35" x14ac:dyDescent="0.45">
      <c r="A99" s="2">
        <v>45958</v>
      </c>
      <c r="B99">
        <v>34.950000000000003</v>
      </c>
      <c r="C99">
        <v>34.630000000000003</v>
      </c>
      <c r="D99">
        <v>18.05</v>
      </c>
      <c r="E99">
        <v>24.44</v>
      </c>
      <c r="F99">
        <v>34.85</v>
      </c>
      <c r="G99">
        <v>62.53</v>
      </c>
      <c r="H99">
        <v>26.01</v>
      </c>
      <c r="I99">
        <v>67.09</v>
      </c>
      <c r="J99">
        <v>67.099999999999994</v>
      </c>
      <c r="K99">
        <v>94.45</v>
      </c>
      <c r="L99">
        <v>30.92</v>
      </c>
      <c r="M99">
        <v>65.23</v>
      </c>
      <c r="N99">
        <v>62.89</v>
      </c>
      <c r="O99">
        <v>54.54</v>
      </c>
      <c r="P99">
        <v>65.12</v>
      </c>
      <c r="Q99">
        <v>19.195</v>
      </c>
      <c r="R99">
        <v>1314.28</v>
      </c>
      <c r="S99">
        <v>33.979999999999997</v>
      </c>
      <c r="T99">
        <v>20.010000000000002</v>
      </c>
      <c r="U99">
        <v>18.18</v>
      </c>
      <c r="V99">
        <v>40.89</v>
      </c>
      <c r="W99">
        <v>45.844999999999999</v>
      </c>
      <c r="X99">
        <v>27.52</v>
      </c>
      <c r="Y99">
        <v>51.41</v>
      </c>
      <c r="Z99">
        <v>41.72</v>
      </c>
      <c r="AA99">
        <v>83.93</v>
      </c>
      <c r="AB99">
        <v>56.17</v>
      </c>
      <c r="AC99">
        <v>42.92</v>
      </c>
      <c r="AD99">
        <v>632.91999999999996</v>
      </c>
      <c r="AE99">
        <v>687.06</v>
      </c>
      <c r="AF99">
        <v>45.14</v>
      </c>
      <c r="AG99">
        <v>59.01</v>
      </c>
      <c r="AH99">
        <v>49.07</v>
      </c>
      <c r="AI99">
        <v>52.18</v>
      </c>
    </row>
    <row r="100" spans="1:35" x14ac:dyDescent="0.45">
      <c r="A100" s="2">
        <v>45957</v>
      </c>
      <c r="B100">
        <v>34.950000000000003</v>
      </c>
      <c r="C100">
        <v>34.590000000000003</v>
      </c>
      <c r="D100">
        <v>18.09</v>
      </c>
      <c r="E100">
        <v>24.4</v>
      </c>
      <c r="F100">
        <v>34.200000000000003</v>
      </c>
      <c r="G100">
        <v>61.55</v>
      </c>
      <c r="H100">
        <v>25.96</v>
      </c>
      <c r="I100">
        <v>66.98</v>
      </c>
      <c r="J100">
        <v>66.33</v>
      </c>
      <c r="K100">
        <v>94.31</v>
      </c>
      <c r="L100">
        <v>30.77</v>
      </c>
      <c r="M100">
        <v>64.2</v>
      </c>
      <c r="N100">
        <v>63.03</v>
      </c>
      <c r="O100">
        <v>54.72</v>
      </c>
      <c r="P100">
        <v>65.59</v>
      </c>
      <c r="Q100">
        <v>19.195</v>
      </c>
      <c r="R100">
        <v>1323.52</v>
      </c>
      <c r="S100">
        <v>33.89</v>
      </c>
      <c r="T100">
        <v>19.97</v>
      </c>
      <c r="U100">
        <v>17.739999999999998</v>
      </c>
      <c r="V100">
        <v>40.61</v>
      </c>
      <c r="W100">
        <v>45.99</v>
      </c>
      <c r="X100">
        <v>27.37</v>
      </c>
      <c r="Y100">
        <v>50.79</v>
      </c>
      <c r="Z100">
        <v>41.78</v>
      </c>
      <c r="AA100">
        <v>83.53</v>
      </c>
      <c r="AB100">
        <v>56.94</v>
      </c>
      <c r="AC100">
        <v>42.98</v>
      </c>
      <c r="AD100">
        <v>628.09</v>
      </c>
      <c r="AE100">
        <v>685.24</v>
      </c>
      <c r="AF100">
        <v>45.33</v>
      </c>
      <c r="AG100">
        <v>59.564999999999998</v>
      </c>
      <c r="AH100">
        <v>49.23</v>
      </c>
      <c r="AI100">
        <v>51.93</v>
      </c>
    </row>
    <row r="101" spans="1:35" x14ac:dyDescent="0.45">
      <c r="A101" s="2">
        <v>45954</v>
      </c>
      <c r="B101">
        <v>34.479999999999997</v>
      </c>
      <c r="C101">
        <v>34.369999999999997</v>
      </c>
      <c r="D101">
        <v>18.3</v>
      </c>
      <c r="E101">
        <v>24.7</v>
      </c>
      <c r="F101">
        <v>33.909999999999997</v>
      </c>
      <c r="G101">
        <v>61.62</v>
      </c>
      <c r="H101">
        <v>25.69</v>
      </c>
      <c r="I101">
        <v>66.48</v>
      </c>
      <c r="J101">
        <v>65.37</v>
      </c>
      <c r="K101">
        <v>92.05</v>
      </c>
      <c r="L101">
        <v>30.48</v>
      </c>
      <c r="M101">
        <v>65.180000000000007</v>
      </c>
      <c r="N101">
        <v>63.27</v>
      </c>
      <c r="O101">
        <v>54.51</v>
      </c>
      <c r="P101">
        <v>64.510000000000005</v>
      </c>
      <c r="Q101">
        <v>19.29</v>
      </c>
      <c r="R101">
        <v>1313.91</v>
      </c>
      <c r="S101">
        <v>34.04</v>
      </c>
      <c r="T101">
        <v>19.98</v>
      </c>
      <c r="U101">
        <v>18.21</v>
      </c>
      <c r="V101">
        <v>40.729999999999997</v>
      </c>
      <c r="W101">
        <v>45.615000000000002</v>
      </c>
      <c r="X101">
        <v>27.18</v>
      </c>
      <c r="Y101">
        <v>50.84</v>
      </c>
      <c r="Z101">
        <v>41.59</v>
      </c>
      <c r="AA101">
        <v>82.5</v>
      </c>
      <c r="AB101">
        <v>57.12</v>
      </c>
      <c r="AC101">
        <v>42.78</v>
      </c>
      <c r="AD101">
        <v>617.1</v>
      </c>
      <c r="AE101">
        <v>677.25</v>
      </c>
      <c r="AF101">
        <v>45.11</v>
      </c>
      <c r="AG101">
        <v>58.91</v>
      </c>
      <c r="AH101">
        <v>48.86</v>
      </c>
      <c r="AI101">
        <v>51.27</v>
      </c>
    </row>
    <row r="102" spans="1:35" x14ac:dyDescent="0.45">
      <c r="A102" s="2">
        <v>45953</v>
      </c>
      <c r="B102">
        <v>34.06</v>
      </c>
      <c r="C102">
        <v>34.200000000000003</v>
      </c>
      <c r="D102">
        <v>18.3</v>
      </c>
      <c r="E102">
        <v>24.99</v>
      </c>
      <c r="F102">
        <v>34.17</v>
      </c>
      <c r="G102">
        <v>61.61</v>
      </c>
      <c r="H102">
        <v>25.65</v>
      </c>
      <c r="I102">
        <v>65.709999999999994</v>
      </c>
      <c r="J102">
        <v>66.02</v>
      </c>
      <c r="K102">
        <v>90.07</v>
      </c>
      <c r="L102">
        <v>30.47</v>
      </c>
      <c r="M102">
        <v>64.930000000000007</v>
      </c>
      <c r="N102">
        <v>64.06</v>
      </c>
      <c r="O102">
        <v>54.76</v>
      </c>
      <c r="P102">
        <v>64.11</v>
      </c>
      <c r="Q102">
        <v>19.260000000000002</v>
      </c>
      <c r="R102">
        <v>1302.3499999999999</v>
      </c>
      <c r="S102">
        <v>33.11</v>
      </c>
      <c r="T102">
        <v>19.920000000000002</v>
      </c>
      <c r="U102">
        <v>18.29</v>
      </c>
      <c r="V102">
        <v>40.67</v>
      </c>
      <c r="W102">
        <v>45.52</v>
      </c>
      <c r="X102">
        <v>27.19</v>
      </c>
      <c r="Y102">
        <v>50.58</v>
      </c>
      <c r="Z102">
        <v>41.55</v>
      </c>
      <c r="AA102">
        <v>82.22</v>
      </c>
      <c r="AB102">
        <v>57.17</v>
      </c>
      <c r="AC102">
        <v>42.6</v>
      </c>
      <c r="AD102">
        <v>610.58000000000004</v>
      </c>
      <c r="AE102">
        <v>671.76</v>
      </c>
      <c r="AF102">
        <v>45.27</v>
      </c>
      <c r="AG102">
        <v>58.87</v>
      </c>
      <c r="AH102">
        <v>48.65</v>
      </c>
      <c r="AI102">
        <v>51.17</v>
      </c>
    </row>
    <row r="103" spans="1:35" x14ac:dyDescent="0.45">
      <c r="A103" s="2">
        <v>45952</v>
      </c>
      <c r="B103">
        <v>33.86</v>
      </c>
      <c r="C103">
        <v>33.47</v>
      </c>
      <c r="D103">
        <v>17.89</v>
      </c>
      <c r="E103">
        <v>24.82</v>
      </c>
      <c r="F103">
        <v>33.83</v>
      </c>
      <c r="G103">
        <v>60.71</v>
      </c>
      <c r="H103">
        <v>25.47</v>
      </c>
      <c r="I103">
        <v>65.03</v>
      </c>
      <c r="J103">
        <v>65.510000000000005</v>
      </c>
      <c r="K103">
        <v>89.45</v>
      </c>
      <c r="L103">
        <v>30.03</v>
      </c>
      <c r="M103">
        <v>63.58</v>
      </c>
      <c r="N103">
        <v>63.56</v>
      </c>
      <c r="O103">
        <v>55.29</v>
      </c>
      <c r="P103">
        <v>63.03</v>
      </c>
      <c r="Q103">
        <v>19.14</v>
      </c>
      <c r="R103">
        <v>1302.3499999999999</v>
      </c>
      <c r="S103">
        <v>32.96</v>
      </c>
      <c r="T103">
        <v>19.690000000000001</v>
      </c>
      <c r="U103">
        <v>18.170000000000002</v>
      </c>
      <c r="V103">
        <v>40.51</v>
      </c>
      <c r="W103">
        <v>45.230899999999998</v>
      </c>
      <c r="X103">
        <v>27.07</v>
      </c>
      <c r="Y103">
        <v>50.2</v>
      </c>
      <c r="Z103">
        <v>41.44</v>
      </c>
      <c r="AA103">
        <v>82.18</v>
      </c>
      <c r="AB103">
        <v>57.14</v>
      </c>
      <c r="AC103">
        <v>42.41</v>
      </c>
      <c r="AD103">
        <v>605.49</v>
      </c>
      <c r="AE103">
        <v>667.8</v>
      </c>
      <c r="AF103">
        <v>44.91</v>
      </c>
      <c r="AG103">
        <v>58.12</v>
      </c>
      <c r="AH103">
        <v>48.36</v>
      </c>
      <c r="AI103">
        <v>50.66</v>
      </c>
    </row>
    <row r="104" spans="1:35" x14ac:dyDescent="0.45">
      <c r="A104" s="2">
        <v>45951</v>
      </c>
      <c r="B104">
        <v>33.880000000000003</v>
      </c>
      <c r="C104">
        <v>33.5</v>
      </c>
      <c r="D104">
        <v>18.170000000000002</v>
      </c>
      <c r="E104">
        <v>25.11</v>
      </c>
      <c r="F104">
        <v>33.1</v>
      </c>
      <c r="G104">
        <v>61.35</v>
      </c>
      <c r="H104">
        <v>25.74</v>
      </c>
      <c r="I104">
        <v>65.78</v>
      </c>
      <c r="J104">
        <v>65.069999999999993</v>
      </c>
      <c r="K104">
        <v>88.64</v>
      </c>
      <c r="L104">
        <v>29.94</v>
      </c>
      <c r="M104">
        <v>63.27</v>
      </c>
      <c r="N104">
        <v>63.28</v>
      </c>
      <c r="O104">
        <v>54.48</v>
      </c>
      <c r="P104">
        <v>63.44</v>
      </c>
      <c r="Q104">
        <v>19.09</v>
      </c>
      <c r="R104">
        <v>1290.72</v>
      </c>
      <c r="S104">
        <v>32.72</v>
      </c>
      <c r="T104">
        <v>19.579999999999998</v>
      </c>
      <c r="U104">
        <v>18.045000000000002</v>
      </c>
      <c r="V104">
        <v>40.47</v>
      </c>
      <c r="W104">
        <v>45.325000000000003</v>
      </c>
      <c r="X104">
        <v>27.11</v>
      </c>
      <c r="Y104">
        <v>49.99</v>
      </c>
      <c r="Z104">
        <v>41.69</v>
      </c>
      <c r="AA104">
        <v>82.57</v>
      </c>
      <c r="AB104">
        <v>57.11</v>
      </c>
      <c r="AC104">
        <v>41.96</v>
      </c>
      <c r="AD104">
        <v>611.38</v>
      </c>
      <c r="AE104">
        <v>671.29</v>
      </c>
      <c r="AF104">
        <v>44.98</v>
      </c>
      <c r="AG104">
        <v>58.35</v>
      </c>
      <c r="AH104">
        <v>48.54</v>
      </c>
      <c r="AI104">
        <v>51.1</v>
      </c>
    </row>
    <row r="105" spans="1:35" x14ac:dyDescent="0.45">
      <c r="A105" s="2">
        <v>45950</v>
      </c>
      <c r="B105">
        <v>33.64</v>
      </c>
      <c r="C105">
        <v>33.85</v>
      </c>
      <c r="D105">
        <v>17.82</v>
      </c>
      <c r="E105">
        <v>25.33</v>
      </c>
      <c r="F105">
        <v>33.49</v>
      </c>
      <c r="G105">
        <v>64</v>
      </c>
      <c r="H105">
        <v>25.82</v>
      </c>
      <c r="I105">
        <v>66.17</v>
      </c>
      <c r="J105">
        <v>65.94</v>
      </c>
      <c r="K105">
        <v>90.43</v>
      </c>
      <c r="L105">
        <v>30.22</v>
      </c>
      <c r="M105">
        <v>66.209999999999994</v>
      </c>
      <c r="N105">
        <v>62.99</v>
      </c>
      <c r="O105">
        <v>54.74</v>
      </c>
      <c r="P105">
        <v>64.12</v>
      </c>
      <c r="Q105">
        <v>19.135000000000002</v>
      </c>
      <c r="R105">
        <v>1284.47</v>
      </c>
      <c r="S105">
        <v>32.76</v>
      </c>
      <c r="T105">
        <v>19.57</v>
      </c>
      <c r="U105">
        <v>18.2</v>
      </c>
      <c r="V105">
        <v>40.89</v>
      </c>
      <c r="W105">
        <v>45.56</v>
      </c>
      <c r="X105">
        <v>27.26</v>
      </c>
      <c r="Y105">
        <v>50.72</v>
      </c>
      <c r="Z105">
        <v>41.88</v>
      </c>
      <c r="AA105">
        <v>83.54</v>
      </c>
      <c r="AB105">
        <v>57.68</v>
      </c>
      <c r="AC105">
        <v>42.16</v>
      </c>
      <c r="AD105">
        <v>611.54</v>
      </c>
      <c r="AE105">
        <v>671.3</v>
      </c>
      <c r="AF105">
        <v>45.2</v>
      </c>
      <c r="AG105">
        <v>58.85</v>
      </c>
      <c r="AH105">
        <v>48.09</v>
      </c>
      <c r="AI105">
        <v>51.24</v>
      </c>
    </row>
    <row r="106" spans="1:35" x14ac:dyDescent="0.45">
      <c r="A106" s="2">
        <v>45947</v>
      </c>
      <c r="B106">
        <v>33.61</v>
      </c>
      <c r="C106">
        <v>33.36</v>
      </c>
      <c r="D106">
        <v>17.3</v>
      </c>
      <c r="E106">
        <v>25.41</v>
      </c>
      <c r="F106">
        <v>32.92</v>
      </c>
      <c r="G106">
        <v>62.97</v>
      </c>
      <c r="H106">
        <v>25.7</v>
      </c>
      <c r="I106">
        <v>65.09</v>
      </c>
      <c r="J106">
        <v>66.13</v>
      </c>
      <c r="K106">
        <v>88.52</v>
      </c>
      <c r="L106">
        <v>29.71</v>
      </c>
      <c r="M106">
        <v>65.41</v>
      </c>
      <c r="N106">
        <v>62.75</v>
      </c>
      <c r="O106">
        <v>54.45</v>
      </c>
      <c r="P106">
        <v>63.31</v>
      </c>
      <c r="Q106">
        <v>19.085000000000001</v>
      </c>
      <c r="R106">
        <v>1274.6099999999999</v>
      </c>
      <c r="S106">
        <v>31.9</v>
      </c>
      <c r="T106">
        <v>19.63</v>
      </c>
      <c r="U106">
        <v>19.2</v>
      </c>
      <c r="V106">
        <v>40.78</v>
      </c>
      <c r="W106">
        <v>45.174999999999997</v>
      </c>
      <c r="X106">
        <v>26.92</v>
      </c>
      <c r="Y106">
        <v>50.28</v>
      </c>
      <c r="Z106">
        <v>41.38</v>
      </c>
      <c r="AA106">
        <v>82</v>
      </c>
      <c r="AB106">
        <v>57.78</v>
      </c>
      <c r="AC106">
        <v>42.07</v>
      </c>
      <c r="AD106">
        <v>603.92999999999995</v>
      </c>
      <c r="AE106">
        <v>664.39</v>
      </c>
      <c r="AF106">
        <v>45.23</v>
      </c>
      <c r="AG106">
        <v>58.65</v>
      </c>
      <c r="AH106">
        <v>47.79</v>
      </c>
      <c r="AI106">
        <v>50.77</v>
      </c>
    </row>
    <row r="107" spans="1:35" x14ac:dyDescent="0.45">
      <c r="A107" s="2">
        <v>45946</v>
      </c>
      <c r="B107">
        <v>34.020000000000003</v>
      </c>
      <c r="C107">
        <v>33.4</v>
      </c>
      <c r="D107">
        <v>17.36</v>
      </c>
      <c r="E107">
        <v>25.42</v>
      </c>
      <c r="F107">
        <v>32.83</v>
      </c>
      <c r="G107">
        <v>64.55</v>
      </c>
      <c r="H107">
        <v>25.58</v>
      </c>
      <c r="I107">
        <v>65.17</v>
      </c>
      <c r="J107">
        <v>67.05</v>
      </c>
      <c r="K107">
        <v>87.88</v>
      </c>
      <c r="L107">
        <v>29.24</v>
      </c>
      <c r="M107">
        <v>67.33</v>
      </c>
      <c r="N107">
        <v>63.87</v>
      </c>
      <c r="O107">
        <v>54.064999999999998</v>
      </c>
      <c r="P107">
        <v>63.4</v>
      </c>
      <c r="Q107">
        <v>19.1356</v>
      </c>
      <c r="R107">
        <v>1291.46</v>
      </c>
      <c r="S107">
        <v>32.340000000000003</v>
      </c>
      <c r="T107">
        <v>19.47</v>
      </c>
      <c r="U107">
        <v>19.64</v>
      </c>
      <c r="V107">
        <v>40.78</v>
      </c>
      <c r="W107">
        <v>45.42</v>
      </c>
      <c r="X107">
        <v>26.97</v>
      </c>
      <c r="Y107">
        <v>50.62</v>
      </c>
      <c r="Z107">
        <v>41.59</v>
      </c>
      <c r="AA107">
        <v>81.55</v>
      </c>
      <c r="AB107">
        <v>57.47</v>
      </c>
      <c r="AC107">
        <v>41.99</v>
      </c>
      <c r="AD107">
        <v>599.99</v>
      </c>
      <c r="AE107">
        <v>660.64</v>
      </c>
      <c r="AF107">
        <v>45.15</v>
      </c>
      <c r="AG107">
        <v>58.49</v>
      </c>
      <c r="AH107">
        <v>47.8</v>
      </c>
      <c r="AI107">
        <v>50.88</v>
      </c>
    </row>
    <row r="108" spans="1:35" x14ac:dyDescent="0.45">
      <c r="A108" s="2">
        <v>45945</v>
      </c>
      <c r="B108">
        <v>33.99</v>
      </c>
      <c r="C108">
        <v>33.409999999999997</v>
      </c>
      <c r="D108">
        <v>17.21</v>
      </c>
      <c r="E108">
        <v>25.44</v>
      </c>
      <c r="F108">
        <v>32.9</v>
      </c>
      <c r="G108">
        <v>64.099999999999994</v>
      </c>
      <c r="H108">
        <v>25.66</v>
      </c>
      <c r="I108">
        <v>64.989999999999995</v>
      </c>
      <c r="J108">
        <v>65.87</v>
      </c>
      <c r="K108">
        <v>85.17</v>
      </c>
      <c r="L108">
        <v>29.32</v>
      </c>
      <c r="M108">
        <v>66.03</v>
      </c>
      <c r="N108">
        <v>64.67</v>
      </c>
      <c r="O108">
        <v>53.76</v>
      </c>
      <c r="P108">
        <v>63.25</v>
      </c>
      <c r="Q108">
        <v>19.070699999999999</v>
      </c>
      <c r="R108">
        <v>1286.69</v>
      </c>
      <c r="S108">
        <v>32.56</v>
      </c>
      <c r="T108">
        <v>19.47</v>
      </c>
      <c r="U108">
        <v>19.420000000000002</v>
      </c>
      <c r="V108">
        <v>40.89</v>
      </c>
      <c r="W108">
        <v>45.14</v>
      </c>
      <c r="X108">
        <v>26.89</v>
      </c>
      <c r="Y108">
        <v>50.96</v>
      </c>
      <c r="Z108">
        <v>41.53</v>
      </c>
      <c r="AA108">
        <v>81.290000000000006</v>
      </c>
      <c r="AB108">
        <v>56.64</v>
      </c>
      <c r="AC108">
        <v>42.02</v>
      </c>
      <c r="AD108">
        <v>602.22</v>
      </c>
      <c r="AE108">
        <v>665.17</v>
      </c>
      <c r="AF108">
        <v>44.42</v>
      </c>
      <c r="AG108">
        <v>58.27</v>
      </c>
      <c r="AH108">
        <v>47.58</v>
      </c>
      <c r="AI108">
        <v>50.47</v>
      </c>
    </row>
    <row r="109" spans="1:35" x14ac:dyDescent="0.45">
      <c r="A109" s="2">
        <v>45944</v>
      </c>
      <c r="B109">
        <v>33.549999999999997</v>
      </c>
      <c r="C109">
        <v>32.799999999999997</v>
      </c>
      <c r="D109">
        <v>17.22</v>
      </c>
      <c r="E109">
        <v>25.45</v>
      </c>
      <c r="F109">
        <v>32.22</v>
      </c>
      <c r="G109">
        <v>63.3</v>
      </c>
      <c r="H109">
        <v>25.72</v>
      </c>
      <c r="I109">
        <v>63.7</v>
      </c>
      <c r="J109">
        <v>64.84</v>
      </c>
      <c r="K109">
        <v>82.69</v>
      </c>
      <c r="L109">
        <v>29.1</v>
      </c>
      <c r="M109">
        <v>65.31</v>
      </c>
      <c r="N109">
        <v>64.83</v>
      </c>
      <c r="O109">
        <v>52.78</v>
      </c>
      <c r="P109">
        <v>62.58</v>
      </c>
      <c r="Q109">
        <v>19.204999999999998</v>
      </c>
      <c r="R109">
        <v>1266.3800000000001</v>
      </c>
      <c r="S109">
        <v>32.35</v>
      </c>
      <c r="T109">
        <v>19.57</v>
      </c>
      <c r="U109">
        <v>19.690000000000001</v>
      </c>
      <c r="V109">
        <v>40.75</v>
      </c>
      <c r="W109">
        <v>45.066499999999998</v>
      </c>
      <c r="X109">
        <v>26.7</v>
      </c>
      <c r="Y109">
        <v>50.53</v>
      </c>
      <c r="Z109">
        <v>41.67</v>
      </c>
      <c r="AA109">
        <v>80.040000000000006</v>
      </c>
      <c r="AB109">
        <v>56.33</v>
      </c>
      <c r="AC109">
        <v>42.06</v>
      </c>
      <c r="AD109">
        <v>598</v>
      </c>
      <c r="AE109">
        <v>662.23</v>
      </c>
      <c r="AF109">
        <v>44.13</v>
      </c>
      <c r="AG109">
        <v>57.76</v>
      </c>
      <c r="AH109">
        <v>47.45</v>
      </c>
      <c r="AI109">
        <v>50.79</v>
      </c>
    </row>
    <row r="110" spans="1:35" x14ac:dyDescent="0.45">
      <c r="A110" s="2">
        <v>45943</v>
      </c>
      <c r="B110">
        <v>33.94</v>
      </c>
      <c r="C110">
        <v>32.119999999999997</v>
      </c>
      <c r="D110">
        <v>17.57</v>
      </c>
      <c r="E110">
        <v>25.3</v>
      </c>
      <c r="F110">
        <v>32.409999999999997</v>
      </c>
      <c r="G110">
        <v>63.41</v>
      </c>
      <c r="H110">
        <v>25.71</v>
      </c>
      <c r="I110">
        <v>64.56</v>
      </c>
      <c r="J110">
        <v>65.47</v>
      </c>
      <c r="K110">
        <v>83.62</v>
      </c>
      <c r="L110">
        <v>29.18</v>
      </c>
      <c r="M110">
        <v>66.010000000000005</v>
      </c>
      <c r="N110">
        <v>65.61</v>
      </c>
      <c r="O110">
        <v>52.97</v>
      </c>
      <c r="P110">
        <v>63.3</v>
      </c>
      <c r="Q110">
        <v>19.254999999999999</v>
      </c>
      <c r="R110">
        <v>1286.98</v>
      </c>
      <c r="S110">
        <v>33.04</v>
      </c>
      <c r="T110">
        <v>19.16</v>
      </c>
      <c r="U110">
        <v>19.59</v>
      </c>
      <c r="V110">
        <v>40.69</v>
      </c>
      <c r="W110">
        <v>45.45</v>
      </c>
      <c r="X110">
        <v>26.66</v>
      </c>
      <c r="Y110">
        <v>50.59</v>
      </c>
      <c r="Z110">
        <v>41.78</v>
      </c>
      <c r="AA110">
        <v>79.290000000000006</v>
      </c>
      <c r="AB110">
        <v>56.08</v>
      </c>
      <c r="AC110">
        <v>41.99</v>
      </c>
      <c r="AD110">
        <v>602.01</v>
      </c>
      <c r="AE110">
        <v>663.04</v>
      </c>
      <c r="AF110">
        <v>43.35</v>
      </c>
      <c r="AG110">
        <v>57.75</v>
      </c>
      <c r="AH110">
        <v>47.32</v>
      </c>
      <c r="AI110">
        <v>50.5</v>
      </c>
    </row>
    <row r="111" spans="1:35" x14ac:dyDescent="0.45">
      <c r="A111" s="2">
        <v>45940</v>
      </c>
      <c r="B111">
        <v>32.92</v>
      </c>
      <c r="C111">
        <v>31.5</v>
      </c>
      <c r="D111">
        <v>17.309999999999999</v>
      </c>
      <c r="E111">
        <v>24.87</v>
      </c>
      <c r="F111">
        <v>31.78</v>
      </c>
      <c r="G111">
        <v>60.91</v>
      </c>
      <c r="H111">
        <v>25.33</v>
      </c>
      <c r="I111">
        <v>61.62</v>
      </c>
      <c r="J111">
        <v>64.39</v>
      </c>
      <c r="K111">
        <v>80.72</v>
      </c>
      <c r="L111">
        <v>28.79</v>
      </c>
      <c r="M111">
        <v>63.32</v>
      </c>
      <c r="N111">
        <v>65.45</v>
      </c>
      <c r="O111">
        <v>52.77</v>
      </c>
      <c r="P111">
        <v>61.39</v>
      </c>
      <c r="Q111">
        <v>19.23</v>
      </c>
      <c r="R111">
        <v>1286.98</v>
      </c>
      <c r="S111">
        <v>32.840000000000003</v>
      </c>
      <c r="T111">
        <v>19</v>
      </c>
      <c r="U111">
        <v>18.98</v>
      </c>
      <c r="V111">
        <v>39.81</v>
      </c>
      <c r="W111">
        <v>45.805</v>
      </c>
      <c r="X111">
        <v>26.44</v>
      </c>
      <c r="Y111">
        <v>49.86</v>
      </c>
      <c r="Z111">
        <v>41.52</v>
      </c>
      <c r="AA111">
        <v>78.36</v>
      </c>
      <c r="AB111">
        <v>56.1</v>
      </c>
      <c r="AC111">
        <v>41.73</v>
      </c>
      <c r="AD111">
        <v>589.5</v>
      </c>
      <c r="AE111">
        <v>653.02</v>
      </c>
      <c r="AF111">
        <v>43.29</v>
      </c>
      <c r="AG111">
        <v>56.64</v>
      </c>
      <c r="AH111">
        <v>46.92</v>
      </c>
      <c r="AI111">
        <v>50.31</v>
      </c>
    </row>
    <row r="112" spans="1:35" x14ac:dyDescent="0.45">
      <c r="A112" s="2">
        <v>45939</v>
      </c>
      <c r="B112">
        <v>34.44</v>
      </c>
      <c r="C112">
        <v>32.520000000000003</v>
      </c>
      <c r="D112">
        <v>17.649999999999999</v>
      </c>
      <c r="E112">
        <v>25.2</v>
      </c>
      <c r="F112">
        <v>32.28</v>
      </c>
      <c r="G112">
        <v>62.65</v>
      </c>
      <c r="H112">
        <v>25.98</v>
      </c>
      <c r="I112">
        <v>64.83</v>
      </c>
      <c r="J112">
        <v>65.42</v>
      </c>
      <c r="K112">
        <v>83.43</v>
      </c>
      <c r="L112">
        <v>29.67</v>
      </c>
      <c r="M112">
        <v>65.06</v>
      </c>
      <c r="N112">
        <v>65.7</v>
      </c>
      <c r="O112">
        <v>52.81</v>
      </c>
      <c r="P112">
        <v>65.12</v>
      </c>
      <c r="Q112">
        <v>19.329999999999998</v>
      </c>
      <c r="R112">
        <v>1313.99</v>
      </c>
      <c r="S112">
        <v>33.369999999999997</v>
      </c>
      <c r="T112">
        <v>19.25</v>
      </c>
      <c r="U112">
        <v>18.75</v>
      </c>
      <c r="V112">
        <v>40.68</v>
      </c>
      <c r="W112">
        <v>46.575000000000003</v>
      </c>
      <c r="X112">
        <v>26.92</v>
      </c>
      <c r="Y112">
        <v>50.53</v>
      </c>
      <c r="Z112">
        <v>42.09</v>
      </c>
      <c r="AA112">
        <v>81.55</v>
      </c>
      <c r="AB112">
        <v>56.36</v>
      </c>
      <c r="AC112">
        <v>42.07</v>
      </c>
      <c r="AD112">
        <v>610.70000000000005</v>
      </c>
      <c r="AE112">
        <v>671.16</v>
      </c>
      <c r="AF112">
        <v>43.89</v>
      </c>
      <c r="AG112">
        <v>57.89</v>
      </c>
      <c r="AH112">
        <v>47.2</v>
      </c>
      <c r="AI112">
        <v>51.13</v>
      </c>
    </row>
    <row r="113" spans="1:35" x14ac:dyDescent="0.45">
      <c r="A113" s="2">
        <v>45938</v>
      </c>
      <c r="B113">
        <v>34.21</v>
      </c>
      <c r="C113">
        <v>32.79</v>
      </c>
      <c r="D113">
        <v>17.45</v>
      </c>
      <c r="E113">
        <v>25.67</v>
      </c>
      <c r="F113">
        <v>32.619999999999997</v>
      </c>
      <c r="G113">
        <v>63.53</v>
      </c>
      <c r="H113">
        <v>26.02</v>
      </c>
      <c r="I113">
        <v>65.650000000000006</v>
      </c>
      <c r="J113">
        <v>65.73</v>
      </c>
      <c r="K113">
        <v>84.19</v>
      </c>
      <c r="L113">
        <v>29.87</v>
      </c>
      <c r="M113">
        <v>66.8</v>
      </c>
      <c r="N113">
        <v>65.62</v>
      </c>
      <c r="O113">
        <v>52.63</v>
      </c>
      <c r="P113">
        <v>66.13</v>
      </c>
      <c r="Q113">
        <v>19.309999999999999</v>
      </c>
      <c r="R113">
        <v>1304.92</v>
      </c>
      <c r="S113">
        <v>33.615000000000002</v>
      </c>
      <c r="T113">
        <v>19.29</v>
      </c>
      <c r="U113">
        <v>18.43</v>
      </c>
      <c r="V113">
        <v>40.549999999999997</v>
      </c>
      <c r="W113">
        <v>47.094999999999999</v>
      </c>
      <c r="X113">
        <v>27.23</v>
      </c>
      <c r="Y113">
        <v>51.14</v>
      </c>
      <c r="Z113">
        <v>42.34</v>
      </c>
      <c r="AA113">
        <v>81.75</v>
      </c>
      <c r="AB113">
        <v>56.83</v>
      </c>
      <c r="AC113">
        <v>42.68</v>
      </c>
      <c r="AD113">
        <v>611.44000000000005</v>
      </c>
      <c r="AE113">
        <v>673.11</v>
      </c>
      <c r="AF113">
        <v>44.3</v>
      </c>
      <c r="AG113">
        <v>58.41</v>
      </c>
      <c r="AH113">
        <v>47.88</v>
      </c>
      <c r="AI113">
        <v>52.29</v>
      </c>
    </row>
    <row r="114" spans="1:35" x14ac:dyDescent="0.45">
      <c r="A114" s="2">
        <v>45937</v>
      </c>
      <c r="B114">
        <v>34.26</v>
      </c>
      <c r="C114">
        <v>32.270000000000003</v>
      </c>
      <c r="D114">
        <v>17.43</v>
      </c>
      <c r="E114">
        <v>25.36</v>
      </c>
      <c r="F114">
        <v>32.58</v>
      </c>
      <c r="G114">
        <v>61.87</v>
      </c>
      <c r="H114">
        <v>25.99</v>
      </c>
      <c r="I114">
        <v>64.81</v>
      </c>
      <c r="J114">
        <v>65.040000000000006</v>
      </c>
      <c r="K114">
        <v>83.35</v>
      </c>
      <c r="L114">
        <v>29.68</v>
      </c>
      <c r="M114">
        <v>64.790000000000006</v>
      </c>
      <c r="N114">
        <v>65.33</v>
      </c>
      <c r="O114">
        <v>52.88</v>
      </c>
      <c r="P114">
        <v>65.81</v>
      </c>
      <c r="Q114">
        <v>19.260000000000002</v>
      </c>
      <c r="R114">
        <v>1305.24</v>
      </c>
      <c r="S114">
        <v>33.69</v>
      </c>
      <c r="T114">
        <v>19.13</v>
      </c>
      <c r="U114">
        <v>18.23</v>
      </c>
      <c r="V114">
        <v>40.590000000000003</v>
      </c>
      <c r="W114">
        <v>47.05</v>
      </c>
      <c r="X114">
        <v>27.14</v>
      </c>
      <c r="Y114">
        <v>50.94</v>
      </c>
      <c r="Z114">
        <v>42.07</v>
      </c>
      <c r="AA114">
        <v>81.96</v>
      </c>
      <c r="AB114">
        <v>56.55</v>
      </c>
      <c r="AC114">
        <v>42.45</v>
      </c>
      <c r="AD114">
        <v>604.51</v>
      </c>
      <c r="AE114">
        <v>669.12</v>
      </c>
      <c r="AF114">
        <v>43.79</v>
      </c>
      <c r="AG114">
        <v>58.56</v>
      </c>
      <c r="AH114">
        <v>47.82</v>
      </c>
      <c r="AI114">
        <v>51.94</v>
      </c>
    </row>
    <row r="115" spans="1:35" x14ac:dyDescent="0.45">
      <c r="A115" s="2">
        <v>45936</v>
      </c>
      <c r="B115">
        <v>34.369999999999997</v>
      </c>
      <c r="C115">
        <v>32.049999999999997</v>
      </c>
      <c r="D115">
        <v>17.420000000000002</v>
      </c>
      <c r="E115">
        <v>25.1</v>
      </c>
      <c r="F115">
        <v>32.51</v>
      </c>
      <c r="G115">
        <v>62.71</v>
      </c>
      <c r="H115">
        <v>26.09</v>
      </c>
      <c r="I115">
        <v>65.03</v>
      </c>
      <c r="J115">
        <v>65.44</v>
      </c>
      <c r="K115">
        <v>84.78</v>
      </c>
      <c r="L115">
        <v>30.31</v>
      </c>
      <c r="M115">
        <v>65.319999999999993</v>
      </c>
      <c r="N115">
        <v>65.38</v>
      </c>
      <c r="O115">
        <v>52.76</v>
      </c>
      <c r="P115">
        <v>66.64</v>
      </c>
      <c r="Q115">
        <v>19.215</v>
      </c>
      <c r="R115">
        <v>1285.6400000000001</v>
      </c>
      <c r="S115">
        <v>33.47</v>
      </c>
      <c r="T115">
        <v>19.04</v>
      </c>
      <c r="U115">
        <v>18.434999999999999</v>
      </c>
      <c r="V115">
        <v>40.770000000000003</v>
      </c>
      <c r="W115">
        <v>47.134999999999998</v>
      </c>
      <c r="X115">
        <v>27.36</v>
      </c>
      <c r="Y115">
        <v>51.3</v>
      </c>
      <c r="Z115">
        <v>42.42</v>
      </c>
      <c r="AA115">
        <v>83.27</v>
      </c>
      <c r="AB115">
        <v>56.72</v>
      </c>
      <c r="AC115">
        <v>42.58</v>
      </c>
      <c r="AD115">
        <v>607.71</v>
      </c>
      <c r="AE115">
        <v>671.61</v>
      </c>
      <c r="AF115">
        <v>44.19</v>
      </c>
      <c r="AG115">
        <v>59.68</v>
      </c>
      <c r="AH115">
        <v>48.26</v>
      </c>
      <c r="AI115">
        <v>52.26</v>
      </c>
    </row>
    <row r="116" spans="1:35" x14ac:dyDescent="0.45">
      <c r="A116" s="2">
        <v>45933</v>
      </c>
      <c r="B116">
        <v>34.39</v>
      </c>
      <c r="C116">
        <v>32.32</v>
      </c>
      <c r="D116">
        <v>17.43</v>
      </c>
      <c r="E116">
        <v>25.59</v>
      </c>
      <c r="F116">
        <v>32.92</v>
      </c>
      <c r="G116">
        <v>62.31</v>
      </c>
      <c r="H116">
        <v>26.2</v>
      </c>
      <c r="I116">
        <v>64.64</v>
      </c>
      <c r="J116">
        <v>66.81</v>
      </c>
      <c r="K116">
        <v>83.85</v>
      </c>
      <c r="L116">
        <v>30.33</v>
      </c>
      <c r="M116">
        <v>65.06</v>
      </c>
      <c r="N116">
        <v>66.17</v>
      </c>
      <c r="O116">
        <v>52.45</v>
      </c>
      <c r="P116">
        <v>66.55</v>
      </c>
      <c r="Q116">
        <v>19.295000000000002</v>
      </c>
      <c r="R116">
        <v>1293.6099999999999</v>
      </c>
      <c r="S116">
        <v>33.74</v>
      </c>
      <c r="T116">
        <v>19.11</v>
      </c>
      <c r="U116">
        <v>17.53</v>
      </c>
      <c r="V116">
        <v>40.49</v>
      </c>
      <c r="W116">
        <v>47.188299999999998</v>
      </c>
      <c r="X116">
        <v>27.43</v>
      </c>
      <c r="Y116">
        <v>51.24</v>
      </c>
      <c r="Z116">
        <v>42.43</v>
      </c>
      <c r="AA116">
        <v>81.78</v>
      </c>
      <c r="AB116">
        <v>56.66</v>
      </c>
      <c r="AC116">
        <v>42.64</v>
      </c>
      <c r="AD116">
        <v>603.17999999999995</v>
      </c>
      <c r="AE116">
        <v>669.21</v>
      </c>
      <c r="AF116">
        <v>44.91</v>
      </c>
      <c r="AG116">
        <v>59.62</v>
      </c>
      <c r="AH116">
        <v>48.2</v>
      </c>
      <c r="AI116">
        <v>52.61</v>
      </c>
    </row>
    <row r="117" spans="1:35" x14ac:dyDescent="0.45">
      <c r="A117" s="2">
        <v>45932</v>
      </c>
      <c r="B117">
        <v>34.5182</v>
      </c>
      <c r="C117">
        <v>32.4</v>
      </c>
      <c r="D117">
        <v>17.440000000000001</v>
      </c>
      <c r="E117">
        <v>25.22</v>
      </c>
      <c r="F117">
        <v>32.81</v>
      </c>
      <c r="G117">
        <v>61.33</v>
      </c>
      <c r="H117">
        <v>26.27</v>
      </c>
      <c r="I117">
        <v>64</v>
      </c>
      <c r="J117">
        <v>66.900000000000006</v>
      </c>
      <c r="K117">
        <v>83.53</v>
      </c>
      <c r="L117">
        <v>30.24</v>
      </c>
      <c r="M117">
        <v>64.209999999999994</v>
      </c>
      <c r="N117">
        <v>65.25</v>
      </c>
      <c r="O117">
        <v>52.3</v>
      </c>
      <c r="P117">
        <v>66.989999999999995</v>
      </c>
      <c r="Q117">
        <v>19.274999999999999</v>
      </c>
      <c r="R117">
        <v>1288.29</v>
      </c>
      <c r="S117">
        <v>34.450000000000003</v>
      </c>
      <c r="T117">
        <v>19.079999999999998</v>
      </c>
      <c r="U117">
        <v>17.515000000000001</v>
      </c>
      <c r="V117">
        <v>40.479999999999997</v>
      </c>
      <c r="W117">
        <v>46.68</v>
      </c>
      <c r="X117">
        <v>27.18</v>
      </c>
      <c r="Y117">
        <v>50.59</v>
      </c>
      <c r="Z117">
        <v>42.47</v>
      </c>
      <c r="AA117">
        <v>80.150000000000006</v>
      </c>
      <c r="AB117">
        <v>56.25</v>
      </c>
      <c r="AC117">
        <v>42.26</v>
      </c>
      <c r="AD117">
        <v>605.73</v>
      </c>
      <c r="AE117">
        <v>669.22</v>
      </c>
      <c r="AF117">
        <v>44.77</v>
      </c>
      <c r="AG117">
        <v>59.51</v>
      </c>
      <c r="AH117">
        <v>47.94</v>
      </c>
      <c r="AI117">
        <v>52.33</v>
      </c>
    </row>
    <row r="118" spans="1:35" x14ac:dyDescent="0.45">
      <c r="A118" s="2">
        <v>45931</v>
      </c>
      <c r="B118">
        <v>34.369500000000002</v>
      </c>
      <c r="C118">
        <v>32.71</v>
      </c>
      <c r="D118">
        <v>17.46</v>
      </c>
      <c r="E118">
        <v>25.2</v>
      </c>
      <c r="F118">
        <v>32.6</v>
      </c>
      <c r="G118">
        <v>61.05</v>
      </c>
      <c r="H118">
        <v>26.21</v>
      </c>
      <c r="I118">
        <v>64.14</v>
      </c>
      <c r="J118">
        <v>66.78</v>
      </c>
      <c r="K118">
        <v>81.89</v>
      </c>
      <c r="L118">
        <v>30.58</v>
      </c>
      <c r="M118">
        <v>64.75</v>
      </c>
      <c r="N118">
        <v>65.56</v>
      </c>
      <c r="O118">
        <v>52.39</v>
      </c>
      <c r="P118">
        <v>66.25</v>
      </c>
      <c r="Q118">
        <v>19.39</v>
      </c>
      <c r="R118">
        <v>1275.03</v>
      </c>
      <c r="S118">
        <v>34.96</v>
      </c>
      <c r="T118">
        <v>18.989999999999998</v>
      </c>
      <c r="U118">
        <v>18.04</v>
      </c>
      <c r="V118">
        <v>40.25</v>
      </c>
      <c r="W118">
        <v>46.711599999999997</v>
      </c>
      <c r="X118">
        <v>27.15</v>
      </c>
      <c r="Y118">
        <v>50.57</v>
      </c>
      <c r="Z118">
        <v>42.13</v>
      </c>
      <c r="AA118">
        <v>80.209999999999994</v>
      </c>
      <c r="AB118">
        <v>55.94</v>
      </c>
      <c r="AC118">
        <v>42.5</v>
      </c>
      <c r="AD118">
        <v>603.25</v>
      </c>
      <c r="AE118">
        <v>668.45</v>
      </c>
      <c r="AF118">
        <v>44.49</v>
      </c>
      <c r="AG118">
        <v>58.84</v>
      </c>
      <c r="AH118">
        <v>47.61</v>
      </c>
      <c r="AI118">
        <v>52.41</v>
      </c>
    </row>
    <row r="119" spans="1:35" x14ac:dyDescent="0.45">
      <c r="A119" s="2">
        <v>45930</v>
      </c>
      <c r="B119">
        <v>34.340000000000003</v>
      </c>
      <c r="C119">
        <v>32.96</v>
      </c>
      <c r="D119">
        <v>17.55</v>
      </c>
      <c r="E119">
        <v>24.84</v>
      </c>
      <c r="F119">
        <v>32.200000000000003</v>
      </c>
      <c r="G119">
        <v>61.5</v>
      </c>
      <c r="H119">
        <v>25.92</v>
      </c>
      <c r="I119">
        <v>63.62</v>
      </c>
      <c r="J119">
        <v>68.209999999999994</v>
      </c>
      <c r="K119">
        <v>80.099999999999994</v>
      </c>
      <c r="L119">
        <v>31</v>
      </c>
      <c r="M119">
        <v>64.099999999999994</v>
      </c>
      <c r="N119">
        <v>64.400000000000006</v>
      </c>
      <c r="O119">
        <v>52.06</v>
      </c>
      <c r="P119">
        <v>65.849999999999994</v>
      </c>
      <c r="Q119">
        <v>19.53</v>
      </c>
      <c r="R119">
        <v>1274.17</v>
      </c>
      <c r="S119">
        <v>34.229999999999997</v>
      </c>
      <c r="T119">
        <v>18.89</v>
      </c>
      <c r="U119">
        <v>17.84</v>
      </c>
      <c r="V119">
        <v>40.58</v>
      </c>
      <c r="W119">
        <v>45.933399999999999</v>
      </c>
      <c r="X119">
        <v>27</v>
      </c>
      <c r="Y119">
        <v>50.55</v>
      </c>
      <c r="Z119">
        <v>41.61</v>
      </c>
      <c r="AA119">
        <v>80.209999999999994</v>
      </c>
      <c r="AB119">
        <v>55.24</v>
      </c>
      <c r="AC119">
        <v>41.97</v>
      </c>
      <c r="AD119">
        <v>600.37</v>
      </c>
      <c r="AE119">
        <v>666.18</v>
      </c>
      <c r="AF119">
        <v>43.93</v>
      </c>
      <c r="AG119">
        <v>58.01</v>
      </c>
      <c r="AH119">
        <v>47.2</v>
      </c>
      <c r="AI119">
        <v>51.95</v>
      </c>
    </row>
    <row r="120" spans="1:35" x14ac:dyDescent="0.45">
      <c r="A120" s="2">
        <v>45929</v>
      </c>
      <c r="B120">
        <v>34.200000000000003</v>
      </c>
      <c r="C120">
        <v>32.85</v>
      </c>
      <c r="D120">
        <v>17.690000000000001</v>
      </c>
      <c r="E120">
        <v>25.04</v>
      </c>
      <c r="F120">
        <v>32.11</v>
      </c>
      <c r="G120">
        <v>60.803600000000003</v>
      </c>
      <c r="H120">
        <v>25.78</v>
      </c>
      <c r="I120">
        <v>63.08</v>
      </c>
      <c r="J120">
        <v>67.459999999999994</v>
      </c>
      <c r="K120">
        <v>80.239999999999995</v>
      </c>
      <c r="L120">
        <v>30.99</v>
      </c>
      <c r="M120">
        <v>63.42</v>
      </c>
      <c r="N120">
        <v>64.27</v>
      </c>
      <c r="O120">
        <v>52.16</v>
      </c>
      <c r="P120">
        <v>65.53</v>
      </c>
      <c r="Q120">
        <v>19.425000000000001</v>
      </c>
      <c r="R120">
        <v>1288.07</v>
      </c>
      <c r="S120">
        <v>34.57</v>
      </c>
      <c r="T120">
        <v>18.82</v>
      </c>
      <c r="U120">
        <v>17.690000000000001</v>
      </c>
      <c r="V120">
        <v>40.15</v>
      </c>
      <c r="W120">
        <v>45.484999999999999</v>
      </c>
      <c r="X120">
        <v>26.98</v>
      </c>
      <c r="Y120">
        <v>50.46</v>
      </c>
      <c r="Z120">
        <v>41.31</v>
      </c>
      <c r="AA120">
        <v>80.510000000000005</v>
      </c>
      <c r="AB120">
        <v>54.57</v>
      </c>
      <c r="AC120">
        <v>41.63</v>
      </c>
      <c r="AD120">
        <v>598.73</v>
      </c>
      <c r="AE120">
        <v>663.68</v>
      </c>
      <c r="AF120">
        <v>43.78</v>
      </c>
      <c r="AG120">
        <v>57.67</v>
      </c>
      <c r="AH120">
        <v>47.22</v>
      </c>
      <c r="AI120">
        <v>51.5</v>
      </c>
    </row>
    <row r="121" spans="1:35" x14ac:dyDescent="0.45">
      <c r="A121" s="2">
        <v>45926</v>
      </c>
      <c r="B121">
        <v>33.54</v>
      </c>
      <c r="C121">
        <v>33.17</v>
      </c>
      <c r="D121">
        <v>17.600000000000001</v>
      </c>
      <c r="E121">
        <v>25.12</v>
      </c>
      <c r="F121">
        <v>32.17</v>
      </c>
      <c r="G121">
        <v>59.3</v>
      </c>
      <c r="H121">
        <v>25.73</v>
      </c>
      <c r="I121">
        <v>62.74</v>
      </c>
      <c r="J121">
        <v>67.14</v>
      </c>
      <c r="K121">
        <v>78.87</v>
      </c>
      <c r="L121">
        <v>30.73</v>
      </c>
      <c r="M121">
        <v>63.3</v>
      </c>
      <c r="N121">
        <v>63.82</v>
      </c>
      <c r="O121">
        <v>52.25</v>
      </c>
      <c r="P121">
        <v>64.319999999999993</v>
      </c>
      <c r="Q121">
        <v>19.420000000000002</v>
      </c>
      <c r="R121">
        <v>1278.74</v>
      </c>
      <c r="S121">
        <v>34.770000000000003</v>
      </c>
      <c r="T121">
        <v>18.98</v>
      </c>
      <c r="U121">
        <v>17.55</v>
      </c>
      <c r="V121">
        <v>39.950000000000003</v>
      </c>
      <c r="W121">
        <v>45.365000000000002</v>
      </c>
      <c r="X121">
        <v>26.67</v>
      </c>
      <c r="Y121">
        <v>50.02</v>
      </c>
      <c r="Z121">
        <v>41.2</v>
      </c>
      <c r="AA121">
        <v>80.44</v>
      </c>
      <c r="AB121">
        <v>54.26</v>
      </c>
      <c r="AC121">
        <v>41.58</v>
      </c>
      <c r="AD121">
        <v>595.97</v>
      </c>
      <c r="AE121">
        <v>661.82</v>
      </c>
      <c r="AF121">
        <v>43.59</v>
      </c>
      <c r="AG121">
        <v>57.12</v>
      </c>
      <c r="AH121">
        <v>47.2</v>
      </c>
      <c r="AI121">
        <v>51.54</v>
      </c>
    </row>
    <row r="122" spans="1:35" x14ac:dyDescent="0.45">
      <c r="A122" s="2">
        <v>45925</v>
      </c>
      <c r="B122">
        <v>33.880000000000003</v>
      </c>
      <c r="C122">
        <v>33.21</v>
      </c>
      <c r="D122">
        <v>17.41</v>
      </c>
      <c r="E122">
        <v>25.09</v>
      </c>
      <c r="F122">
        <v>31.57</v>
      </c>
      <c r="G122">
        <v>59.78</v>
      </c>
      <c r="H122">
        <v>25.27</v>
      </c>
      <c r="I122">
        <v>63.06</v>
      </c>
      <c r="J122">
        <v>66.180000000000007</v>
      </c>
      <c r="K122">
        <v>79.89</v>
      </c>
      <c r="L122">
        <v>30.58</v>
      </c>
      <c r="M122">
        <v>61.67</v>
      </c>
      <c r="N122">
        <v>63.96</v>
      </c>
      <c r="O122">
        <v>52.49</v>
      </c>
      <c r="P122">
        <v>64.760000000000005</v>
      </c>
      <c r="Q122">
        <v>19.37</v>
      </c>
      <c r="R122">
        <v>1288.26</v>
      </c>
      <c r="S122">
        <v>35.19</v>
      </c>
      <c r="T122">
        <v>18.84</v>
      </c>
      <c r="U122">
        <v>17.670000000000002</v>
      </c>
      <c r="V122">
        <v>39.840000000000003</v>
      </c>
      <c r="W122">
        <v>45.196899999999999</v>
      </c>
      <c r="X122">
        <v>26.47</v>
      </c>
      <c r="Y122">
        <v>50.05</v>
      </c>
      <c r="Z122">
        <v>40.75</v>
      </c>
      <c r="AA122">
        <v>80.459999999999994</v>
      </c>
      <c r="AB122">
        <v>53.86</v>
      </c>
      <c r="AC122">
        <v>41.04</v>
      </c>
      <c r="AD122">
        <v>593.53</v>
      </c>
      <c r="AE122">
        <v>658.05</v>
      </c>
      <c r="AF122">
        <v>43.05</v>
      </c>
      <c r="AG122">
        <v>57.02</v>
      </c>
      <c r="AH122">
        <v>46.62</v>
      </c>
      <c r="AI122">
        <v>50.94</v>
      </c>
    </row>
    <row r="123" spans="1:35" x14ac:dyDescent="0.45">
      <c r="A123" s="2">
        <v>45924</v>
      </c>
      <c r="B123">
        <v>33.680599999999998</v>
      </c>
      <c r="C123">
        <v>33.630000000000003</v>
      </c>
      <c r="D123">
        <v>17.68</v>
      </c>
      <c r="E123">
        <v>25.69</v>
      </c>
      <c r="F123">
        <v>32.090000000000003</v>
      </c>
      <c r="G123">
        <v>59.89</v>
      </c>
      <c r="H123">
        <v>25.33</v>
      </c>
      <c r="I123">
        <v>63.57</v>
      </c>
      <c r="J123">
        <v>66.47</v>
      </c>
      <c r="K123">
        <v>80.040000000000006</v>
      </c>
      <c r="L123">
        <v>31.05</v>
      </c>
      <c r="M123">
        <v>61.97</v>
      </c>
      <c r="N123">
        <v>65</v>
      </c>
      <c r="O123">
        <v>52.74</v>
      </c>
      <c r="P123">
        <v>64.58</v>
      </c>
      <c r="Q123">
        <v>19.565000000000001</v>
      </c>
      <c r="R123">
        <v>1278.4100000000001</v>
      </c>
      <c r="S123">
        <v>35.299999999999997</v>
      </c>
      <c r="T123">
        <v>18.68</v>
      </c>
      <c r="U123">
        <v>17.579999999999998</v>
      </c>
      <c r="V123">
        <v>40.54</v>
      </c>
      <c r="W123">
        <v>45.596299999999999</v>
      </c>
      <c r="X123">
        <v>26.47</v>
      </c>
      <c r="Y123">
        <v>50.24</v>
      </c>
      <c r="Z123">
        <v>41.24</v>
      </c>
      <c r="AA123">
        <v>80.849999999999994</v>
      </c>
      <c r="AB123">
        <v>54.51</v>
      </c>
      <c r="AC123">
        <v>41.35</v>
      </c>
      <c r="AD123">
        <v>596.1</v>
      </c>
      <c r="AE123">
        <v>661.1</v>
      </c>
      <c r="AF123">
        <v>43.41</v>
      </c>
      <c r="AG123">
        <v>57.27</v>
      </c>
      <c r="AH123">
        <v>47.01</v>
      </c>
      <c r="AI123">
        <v>51.29</v>
      </c>
    </row>
    <row r="124" spans="1:35" x14ac:dyDescent="0.45">
      <c r="A124" s="2">
        <v>45923</v>
      </c>
      <c r="B124">
        <v>33.47</v>
      </c>
      <c r="C124">
        <v>33.68</v>
      </c>
      <c r="D124">
        <v>17.760000000000002</v>
      </c>
      <c r="E124">
        <v>26.16</v>
      </c>
      <c r="F124">
        <v>32.04</v>
      </c>
      <c r="G124">
        <v>58.88</v>
      </c>
      <c r="H124">
        <v>25.74</v>
      </c>
      <c r="I124">
        <v>64.290000000000006</v>
      </c>
      <c r="J124">
        <v>67.430000000000007</v>
      </c>
      <c r="K124">
        <v>81.45</v>
      </c>
      <c r="L124">
        <v>31.32</v>
      </c>
      <c r="M124">
        <v>62.87</v>
      </c>
      <c r="N124">
        <v>65.23</v>
      </c>
      <c r="O124">
        <v>53.06</v>
      </c>
      <c r="P124">
        <v>63.66</v>
      </c>
      <c r="Q124">
        <v>19.785</v>
      </c>
      <c r="R124">
        <v>1273.2</v>
      </c>
      <c r="S124">
        <v>35.06</v>
      </c>
      <c r="T124">
        <v>19.14</v>
      </c>
      <c r="U124">
        <v>17.29</v>
      </c>
      <c r="V124">
        <v>40.78</v>
      </c>
      <c r="W124">
        <v>45.865900000000003</v>
      </c>
      <c r="X124">
        <v>26.87</v>
      </c>
      <c r="Y124">
        <v>50.53</v>
      </c>
      <c r="Z124">
        <v>41.27</v>
      </c>
      <c r="AA124">
        <v>81.09</v>
      </c>
      <c r="AB124">
        <v>55.24</v>
      </c>
      <c r="AC124">
        <v>41.47</v>
      </c>
      <c r="AD124">
        <v>598.20000000000005</v>
      </c>
      <c r="AE124">
        <v>663.21</v>
      </c>
      <c r="AF124">
        <v>43.89</v>
      </c>
      <c r="AG124">
        <v>57.62</v>
      </c>
      <c r="AH124">
        <v>47.85</v>
      </c>
      <c r="AI124">
        <v>51.51</v>
      </c>
    </row>
    <row r="125" spans="1:35" x14ac:dyDescent="0.45">
      <c r="A125" s="2">
        <v>45922</v>
      </c>
      <c r="B125">
        <v>33.67</v>
      </c>
      <c r="C125">
        <v>33.5</v>
      </c>
      <c r="D125">
        <v>17.73</v>
      </c>
      <c r="E125">
        <v>26.6</v>
      </c>
      <c r="F125">
        <v>32</v>
      </c>
      <c r="G125">
        <v>58.59</v>
      </c>
      <c r="H125">
        <v>25.79</v>
      </c>
      <c r="I125">
        <v>64.02</v>
      </c>
      <c r="J125">
        <v>66.900000000000006</v>
      </c>
      <c r="K125">
        <v>81.56</v>
      </c>
      <c r="L125">
        <v>30.79</v>
      </c>
      <c r="M125">
        <v>62.46</v>
      </c>
      <c r="N125">
        <v>64.760000000000005</v>
      </c>
      <c r="O125">
        <v>53.5</v>
      </c>
      <c r="P125">
        <v>64.430000000000007</v>
      </c>
      <c r="Q125">
        <v>19.940000000000001</v>
      </c>
      <c r="R125">
        <v>1282.54</v>
      </c>
      <c r="S125">
        <v>35.58</v>
      </c>
      <c r="T125">
        <v>19.55</v>
      </c>
      <c r="U125">
        <v>17.53</v>
      </c>
      <c r="V125">
        <v>38.18</v>
      </c>
      <c r="W125">
        <v>46.287199999999999</v>
      </c>
      <c r="X125">
        <v>26.92</v>
      </c>
      <c r="Y125">
        <v>50.88</v>
      </c>
      <c r="Z125">
        <v>41.24</v>
      </c>
      <c r="AA125">
        <v>81.25</v>
      </c>
      <c r="AB125">
        <v>55.57</v>
      </c>
      <c r="AC125">
        <v>41.61</v>
      </c>
      <c r="AD125">
        <v>602.20000000000005</v>
      </c>
      <c r="AE125">
        <v>666.84</v>
      </c>
      <c r="AF125">
        <v>43.78</v>
      </c>
      <c r="AG125">
        <v>57.36</v>
      </c>
      <c r="AH125">
        <v>47.63</v>
      </c>
      <c r="AI125">
        <v>51.74</v>
      </c>
    </row>
    <row r="126" spans="1:35" x14ac:dyDescent="0.45">
      <c r="A126" s="2">
        <v>45919</v>
      </c>
      <c r="B126">
        <v>33.450000000000003</v>
      </c>
      <c r="C126">
        <v>33.590000000000003</v>
      </c>
      <c r="D126">
        <v>17.79</v>
      </c>
      <c r="E126">
        <v>26.8</v>
      </c>
      <c r="F126">
        <v>31.76</v>
      </c>
      <c r="G126">
        <v>57.811199999999999</v>
      </c>
      <c r="H126">
        <v>25.59</v>
      </c>
      <c r="I126">
        <v>63.38</v>
      </c>
      <c r="J126">
        <v>66.099999999999994</v>
      </c>
      <c r="K126">
        <v>80.05</v>
      </c>
      <c r="L126">
        <v>30.93</v>
      </c>
      <c r="M126">
        <v>62.54</v>
      </c>
      <c r="N126">
        <v>64.14</v>
      </c>
      <c r="O126">
        <v>53.94</v>
      </c>
      <c r="P126">
        <v>64.44</v>
      </c>
      <c r="Q126">
        <v>19.940000000000001</v>
      </c>
      <c r="R126">
        <v>1292.72</v>
      </c>
      <c r="S126">
        <v>35.380000000000003</v>
      </c>
      <c r="T126">
        <v>19.47</v>
      </c>
      <c r="U126">
        <v>17.68</v>
      </c>
      <c r="V126">
        <v>37.83</v>
      </c>
      <c r="W126">
        <v>46.41</v>
      </c>
      <c r="X126">
        <v>26.89</v>
      </c>
      <c r="Y126">
        <v>50.73</v>
      </c>
      <c r="Z126">
        <v>41.22</v>
      </c>
      <c r="AA126">
        <v>80.790000000000006</v>
      </c>
      <c r="AB126">
        <v>55.26</v>
      </c>
      <c r="AC126">
        <v>41.36</v>
      </c>
      <c r="AD126">
        <v>599.35</v>
      </c>
      <c r="AE126">
        <v>663.7</v>
      </c>
      <c r="AF126">
        <v>43.68</v>
      </c>
      <c r="AG126">
        <v>56.84</v>
      </c>
      <c r="AH126">
        <v>47.43</v>
      </c>
      <c r="AI126">
        <v>51.37</v>
      </c>
    </row>
    <row r="127" spans="1:35" x14ac:dyDescent="0.45">
      <c r="A127" s="2">
        <v>45918</v>
      </c>
      <c r="B127">
        <v>33.479999999999997</v>
      </c>
      <c r="C127">
        <v>33.6</v>
      </c>
      <c r="D127">
        <v>17.72</v>
      </c>
      <c r="E127">
        <v>26.46</v>
      </c>
      <c r="F127">
        <v>32.07</v>
      </c>
      <c r="G127">
        <v>57.14</v>
      </c>
      <c r="H127">
        <v>25.6</v>
      </c>
      <c r="I127">
        <v>63.77</v>
      </c>
      <c r="J127">
        <v>65.95</v>
      </c>
      <c r="K127">
        <v>80.75</v>
      </c>
      <c r="L127">
        <v>30.82</v>
      </c>
      <c r="M127">
        <v>61.48</v>
      </c>
      <c r="N127">
        <v>64.3</v>
      </c>
      <c r="O127">
        <v>53.74</v>
      </c>
      <c r="P127">
        <v>64.75</v>
      </c>
      <c r="Q127">
        <v>19.940000000000001</v>
      </c>
      <c r="R127">
        <v>1297.01</v>
      </c>
      <c r="S127">
        <v>34.35</v>
      </c>
      <c r="T127">
        <v>19.36</v>
      </c>
      <c r="U127">
        <v>17.8</v>
      </c>
      <c r="V127">
        <v>37.770000000000003</v>
      </c>
      <c r="W127">
        <v>46.255000000000003</v>
      </c>
      <c r="X127">
        <v>26.89</v>
      </c>
      <c r="Y127">
        <v>50.18</v>
      </c>
      <c r="Z127">
        <v>41.45</v>
      </c>
      <c r="AA127">
        <v>81.489999999999995</v>
      </c>
      <c r="AB127">
        <v>55.21</v>
      </c>
      <c r="AC127">
        <v>41.66</v>
      </c>
      <c r="AD127">
        <v>595.32000000000005</v>
      </c>
      <c r="AE127">
        <v>662.26</v>
      </c>
      <c r="AF127">
        <v>43.84</v>
      </c>
      <c r="AG127">
        <v>56.97</v>
      </c>
      <c r="AH127">
        <v>47.56</v>
      </c>
      <c r="AI127">
        <v>51.44</v>
      </c>
    </row>
    <row r="128" spans="1:35" x14ac:dyDescent="0.45">
      <c r="A128" s="2">
        <v>45917</v>
      </c>
      <c r="B128">
        <v>33.96</v>
      </c>
      <c r="C128">
        <v>33.4</v>
      </c>
      <c r="D128">
        <v>17.98</v>
      </c>
      <c r="E128">
        <v>26.55</v>
      </c>
      <c r="F128">
        <v>32.32</v>
      </c>
      <c r="G128">
        <v>57.874499999999998</v>
      </c>
      <c r="H128">
        <v>25.95</v>
      </c>
      <c r="I128">
        <v>63.21</v>
      </c>
      <c r="J128">
        <v>66.53</v>
      </c>
      <c r="K128">
        <v>79.83</v>
      </c>
      <c r="L128">
        <v>30.94</v>
      </c>
      <c r="M128">
        <v>60.86</v>
      </c>
      <c r="N128">
        <v>64.099999999999994</v>
      </c>
      <c r="O128">
        <v>54.02</v>
      </c>
      <c r="P128">
        <v>65.8</v>
      </c>
      <c r="Q128">
        <v>19.850000000000001</v>
      </c>
      <c r="R128">
        <v>1306.69</v>
      </c>
      <c r="S128">
        <v>34.75</v>
      </c>
      <c r="T128">
        <v>19.16</v>
      </c>
      <c r="U128">
        <v>17.88</v>
      </c>
      <c r="V128">
        <v>37.43</v>
      </c>
      <c r="W128">
        <v>47.045000000000002</v>
      </c>
      <c r="X128">
        <v>27.14</v>
      </c>
      <c r="Y128">
        <v>49.98</v>
      </c>
      <c r="Z128">
        <v>41.06</v>
      </c>
      <c r="AA128">
        <v>81.17</v>
      </c>
      <c r="AB128">
        <v>55.29</v>
      </c>
      <c r="AC128">
        <v>41.79</v>
      </c>
      <c r="AD128">
        <v>590</v>
      </c>
      <c r="AE128">
        <v>659.18</v>
      </c>
      <c r="AF128">
        <v>43.53</v>
      </c>
      <c r="AG128">
        <v>55.8782</v>
      </c>
      <c r="AH128">
        <v>47.17</v>
      </c>
      <c r="AI128">
        <v>51.33</v>
      </c>
    </row>
    <row r="129" spans="1:35" x14ac:dyDescent="0.45">
      <c r="A129" s="2">
        <v>45916</v>
      </c>
      <c r="B129">
        <v>33.770000000000003</v>
      </c>
      <c r="C129">
        <v>33.76</v>
      </c>
      <c r="D129">
        <v>17.850000000000001</v>
      </c>
      <c r="E129">
        <v>26.22</v>
      </c>
      <c r="F129">
        <v>32.51</v>
      </c>
      <c r="G129">
        <v>57.915399999999998</v>
      </c>
      <c r="H129">
        <v>25.54</v>
      </c>
      <c r="I129">
        <v>63.32</v>
      </c>
      <c r="J129">
        <v>66.8</v>
      </c>
      <c r="K129">
        <v>80.69</v>
      </c>
      <c r="L129">
        <v>30.69</v>
      </c>
      <c r="M129">
        <v>61</v>
      </c>
      <c r="N129">
        <v>64.77</v>
      </c>
      <c r="O129">
        <v>53.87</v>
      </c>
      <c r="P129">
        <v>64.86</v>
      </c>
      <c r="Q129">
        <v>19.77</v>
      </c>
      <c r="R129">
        <v>1308.19</v>
      </c>
      <c r="S129">
        <v>34.82</v>
      </c>
      <c r="T129">
        <v>19.32</v>
      </c>
      <c r="U129">
        <v>18.059999999999999</v>
      </c>
      <c r="V129">
        <v>36.9</v>
      </c>
      <c r="W129">
        <v>47.020400000000002</v>
      </c>
      <c r="X129">
        <v>27.38</v>
      </c>
      <c r="Y129">
        <v>50.08</v>
      </c>
      <c r="Z129">
        <v>41.15</v>
      </c>
      <c r="AA129">
        <v>81.349999999999994</v>
      </c>
      <c r="AB129">
        <v>55.48</v>
      </c>
      <c r="AC129">
        <v>41.89</v>
      </c>
      <c r="AD129">
        <v>591.17999999999995</v>
      </c>
      <c r="AE129">
        <v>660</v>
      </c>
      <c r="AF129">
        <v>43.82</v>
      </c>
      <c r="AG129">
        <v>55.71</v>
      </c>
      <c r="AH129">
        <v>47.46</v>
      </c>
      <c r="AI129">
        <v>52.15</v>
      </c>
    </row>
    <row r="130" spans="1:35" x14ac:dyDescent="0.45">
      <c r="A130" s="2">
        <v>45915</v>
      </c>
      <c r="B130">
        <v>33.81</v>
      </c>
      <c r="C130">
        <v>33.799999999999997</v>
      </c>
      <c r="D130">
        <v>17.96</v>
      </c>
      <c r="E130">
        <v>25.71</v>
      </c>
      <c r="F130">
        <v>32.81</v>
      </c>
      <c r="G130">
        <v>58.435400000000001</v>
      </c>
      <c r="H130">
        <v>25.55</v>
      </c>
      <c r="I130">
        <v>63.02</v>
      </c>
      <c r="J130">
        <v>66.77</v>
      </c>
      <c r="K130">
        <v>79.19</v>
      </c>
      <c r="L130">
        <v>30.51</v>
      </c>
      <c r="M130">
        <v>60.93</v>
      </c>
      <c r="N130">
        <v>65.23</v>
      </c>
      <c r="O130">
        <v>53.43</v>
      </c>
      <c r="P130">
        <v>64.430000000000007</v>
      </c>
      <c r="Q130">
        <v>19.55</v>
      </c>
      <c r="R130">
        <v>1299.78</v>
      </c>
      <c r="S130">
        <v>34.24</v>
      </c>
      <c r="T130">
        <v>19.2</v>
      </c>
      <c r="U130">
        <v>18.399999999999999</v>
      </c>
      <c r="V130">
        <v>36.71</v>
      </c>
      <c r="W130">
        <v>47.107199999999999</v>
      </c>
      <c r="X130">
        <v>27.57</v>
      </c>
      <c r="Y130">
        <v>50.13</v>
      </c>
      <c r="Z130">
        <v>41.42</v>
      </c>
      <c r="AA130">
        <v>81.349999999999994</v>
      </c>
      <c r="AB130">
        <v>55.56</v>
      </c>
      <c r="AC130">
        <v>42.09</v>
      </c>
      <c r="AD130">
        <v>591.67999999999995</v>
      </c>
      <c r="AE130">
        <v>660.91</v>
      </c>
      <c r="AF130">
        <v>43.89</v>
      </c>
      <c r="AG130">
        <v>55.75</v>
      </c>
      <c r="AH130">
        <v>47.61</v>
      </c>
      <c r="AI130">
        <v>52.39</v>
      </c>
    </row>
    <row r="131" spans="1:35" x14ac:dyDescent="0.45">
      <c r="A131" s="2">
        <v>45912</v>
      </c>
      <c r="B131">
        <v>33.6</v>
      </c>
      <c r="C131">
        <v>33.22</v>
      </c>
      <c r="D131">
        <v>17.829999999999998</v>
      </c>
      <c r="E131">
        <v>25.8</v>
      </c>
      <c r="F131">
        <v>32.28</v>
      </c>
      <c r="G131">
        <v>57.768000000000001</v>
      </c>
      <c r="H131">
        <v>25.47</v>
      </c>
      <c r="I131">
        <v>62.83</v>
      </c>
      <c r="J131">
        <v>66.12</v>
      </c>
      <c r="K131">
        <v>78.66</v>
      </c>
      <c r="L131">
        <v>30.03</v>
      </c>
      <c r="M131">
        <v>60.57</v>
      </c>
      <c r="N131">
        <v>65.17</v>
      </c>
      <c r="O131">
        <v>53.15</v>
      </c>
      <c r="P131">
        <v>63.95</v>
      </c>
      <c r="Q131">
        <v>19.54</v>
      </c>
      <c r="R131">
        <v>1293.6199999999999</v>
      </c>
      <c r="S131">
        <v>32.270000000000003</v>
      </c>
      <c r="T131">
        <v>19.170000000000002</v>
      </c>
      <c r="U131">
        <v>17.97</v>
      </c>
      <c r="V131">
        <v>36.72</v>
      </c>
      <c r="W131">
        <v>46.74</v>
      </c>
      <c r="X131">
        <v>27.24</v>
      </c>
      <c r="Y131">
        <v>49.6</v>
      </c>
      <c r="Z131">
        <v>41.31</v>
      </c>
      <c r="AA131">
        <v>80.760000000000005</v>
      </c>
      <c r="AB131">
        <v>55.65</v>
      </c>
      <c r="AC131">
        <v>41.94</v>
      </c>
      <c r="AD131">
        <v>586.66</v>
      </c>
      <c r="AE131">
        <v>657.41</v>
      </c>
      <c r="AF131">
        <v>43.49</v>
      </c>
      <c r="AG131">
        <v>54.66</v>
      </c>
      <c r="AH131">
        <v>47.24</v>
      </c>
      <c r="AI131">
        <v>51.72</v>
      </c>
    </row>
    <row r="132" spans="1:35" x14ac:dyDescent="0.45">
      <c r="A132" s="2">
        <v>45911</v>
      </c>
      <c r="B132">
        <v>33.94</v>
      </c>
      <c r="C132">
        <v>34.020000000000003</v>
      </c>
      <c r="D132">
        <v>17.64</v>
      </c>
      <c r="E132">
        <v>26</v>
      </c>
      <c r="F132">
        <v>32.6</v>
      </c>
      <c r="G132">
        <v>57.547199999999997</v>
      </c>
      <c r="H132">
        <v>25.33</v>
      </c>
      <c r="I132">
        <v>62.74</v>
      </c>
      <c r="J132">
        <v>65.709999999999994</v>
      </c>
      <c r="K132">
        <v>77.86</v>
      </c>
      <c r="L132">
        <v>30.05</v>
      </c>
      <c r="M132">
        <v>60.56</v>
      </c>
      <c r="N132">
        <v>64.22</v>
      </c>
      <c r="O132">
        <v>53.24</v>
      </c>
      <c r="P132">
        <v>64.209999999999994</v>
      </c>
      <c r="Q132">
        <v>19.579999999999998</v>
      </c>
      <c r="R132">
        <v>1288.03</v>
      </c>
      <c r="S132">
        <v>32.32</v>
      </c>
      <c r="T132">
        <v>19.010000000000002</v>
      </c>
      <c r="U132">
        <v>18.03</v>
      </c>
      <c r="V132">
        <v>36.799999999999997</v>
      </c>
      <c r="W132">
        <v>47.225000000000001</v>
      </c>
      <c r="X132">
        <v>27.41</v>
      </c>
      <c r="Y132">
        <v>49.92</v>
      </c>
      <c r="Z132">
        <v>41.39</v>
      </c>
      <c r="AA132">
        <v>81.319999999999993</v>
      </c>
      <c r="AB132">
        <v>56.12</v>
      </c>
      <c r="AC132">
        <v>42.19</v>
      </c>
      <c r="AD132">
        <v>584.08000000000004</v>
      </c>
      <c r="AE132">
        <v>657.63</v>
      </c>
      <c r="AF132">
        <v>43.53</v>
      </c>
      <c r="AG132">
        <v>54.46</v>
      </c>
      <c r="AH132">
        <v>47.33</v>
      </c>
      <c r="AI132">
        <v>51.6</v>
      </c>
    </row>
    <row r="133" spans="1:35" x14ac:dyDescent="0.45">
      <c r="A133" s="2">
        <v>45910</v>
      </c>
      <c r="B133">
        <v>32.840000000000003</v>
      </c>
      <c r="C133">
        <v>32.89</v>
      </c>
      <c r="D133">
        <v>17.329999999999998</v>
      </c>
      <c r="E133">
        <v>25.92</v>
      </c>
      <c r="F133">
        <v>31.83</v>
      </c>
      <c r="G133">
        <v>56.45</v>
      </c>
      <c r="H133">
        <v>25.17</v>
      </c>
      <c r="I133">
        <v>62.56</v>
      </c>
      <c r="J133">
        <v>64.28</v>
      </c>
      <c r="K133">
        <v>76.650000000000006</v>
      </c>
      <c r="L133">
        <v>29.79</v>
      </c>
      <c r="M133">
        <v>59.73</v>
      </c>
      <c r="N133">
        <v>63.64</v>
      </c>
      <c r="O133">
        <v>53.16</v>
      </c>
      <c r="P133">
        <v>62.54</v>
      </c>
      <c r="Q133">
        <v>19.53</v>
      </c>
      <c r="R133">
        <v>1278.05</v>
      </c>
      <c r="S133">
        <v>32.92</v>
      </c>
      <c r="T133">
        <v>18.850000000000001</v>
      </c>
      <c r="U133">
        <v>17.75</v>
      </c>
      <c r="V133">
        <v>36.799999999999997</v>
      </c>
      <c r="W133">
        <v>46.85</v>
      </c>
      <c r="X133">
        <v>27.11</v>
      </c>
      <c r="Y133">
        <v>49.42</v>
      </c>
      <c r="Z133">
        <v>41.07</v>
      </c>
      <c r="AA133">
        <v>80.36</v>
      </c>
      <c r="AB133">
        <v>55.62</v>
      </c>
      <c r="AC133">
        <v>41.74</v>
      </c>
      <c r="AD133">
        <v>580.70000000000005</v>
      </c>
      <c r="AE133">
        <v>652.21</v>
      </c>
      <c r="AF133">
        <v>42.9</v>
      </c>
      <c r="AG133">
        <v>53.79</v>
      </c>
      <c r="AH133">
        <v>47.1</v>
      </c>
      <c r="AI133">
        <v>50.93</v>
      </c>
    </row>
    <row r="134" spans="1:35" x14ac:dyDescent="0.45">
      <c r="A134" s="2">
        <v>45909</v>
      </c>
      <c r="B134">
        <v>32.94</v>
      </c>
      <c r="C134">
        <v>32.695</v>
      </c>
      <c r="D134">
        <v>17.059999999999999</v>
      </c>
      <c r="E134">
        <v>26.09</v>
      </c>
      <c r="F134">
        <v>32.380000000000003</v>
      </c>
      <c r="G134">
        <v>56</v>
      </c>
      <c r="H134">
        <v>25.17</v>
      </c>
      <c r="I134">
        <v>61.62</v>
      </c>
      <c r="J134">
        <v>64.260000000000005</v>
      </c>
      <c r="K134">
        <v>74.92</v>
      </c>
      <c r="L134">
        <v>29.54</v>
      </c>
      <c r="M134">
        <v>59.03</v>
      </c>
      <c r="N134">
        <v>63.6</v>
      </c>
      <c r="O134">
        <v>52.71</v>
      </c>
      <c r="P134">
        <v>62.97</v>
      </c>
      <c r="Q134">
        <v>19.37</v>
      </c>
      <c r="R134">
        <v>1276.08</v>
      </c>
      <c r="S134">
        <v>32.68</v>
      </c>
      <c r="T134">
        <v>18.91</v>
      </c>
      <c r="U134">
        <v>17.670000000000002</v>
      </c>
      <c r="V134">
        <v>36.76</v>
      </c>
      <c r="W134">
        <v>46.655000000000001</v>
      </c>
      <c r="X134">
        <v>26.89</v>
      </c>
      <c r="Y134">
        <v>49.27</v>
      </c>
      <c r="Z134">
        <v>41.48</v>
      </c>
      <c r="AA134">
        <v>80.06</v>
      </c>
      <c r="AB134">
        <v>56.02</v>
      </c>
      <c r="AC134">
        <v>41.75</v>
      </c>
      <c r="AD134">
        <v>580.51</v>
      </c>
      <c r="AE134">
        <v>650.33000000000004</v>
      </c>
      <c r="AF134">
        <v>43.06</v>
      </c>
      <c r="AG134">
        <v>54.12</v>
      </c>
      <c r="AH134">
        <v>47.3</v>
      </c>
      <c r="AI134">
        <v>50.86</v>
      </c>
    </row>
    <row r="135" spans="1:35" x14ac:dyDescent="0.45">
      <c r="A135" s="2">
        <v>45908</v>
      </c>
      <c r="B135">
        <v>33.14</v>
      </c>
      <c r="C135">
        <v>33.229999999999997</v>
      </c>
      <c r="D135">
        <v>17.5</v>
      </c>
      <c r="E135">
        <v>26.09</v>
      </c>
      <c r="F135">
        <v>32.880000000000003</v>
      </c>
      <c r="G135">
        <v>56.647500000000001</v>
      </c>
      <c r="H135">
        <v>25.12</v>
      </c>
      <c r="I135">
        <v>60.98</v>
      </c>
      <c r="J135">
        <v>64.150000000000006</v>
      </c>
      <c r="K135">
        <v>74.19</v>
      </c>
      <c r="L135">
        <v>29.58</v>
      </c>
      <c r="M135">
        <v>59.34</v>
      </c>
      <c r="N135">
        <v>63.86</v>
      </c>
      <c r="O135">
        <v>52.89</v>
      </c>
      <c r="P135">
        <v>62.3</v>
      </c>
      <c r="Q135">
        <v>19.63</v>
      </c>
      <c r="R135">
        <v>1266.1099999999999</v>
      </c>
      <c r="S135">
        <v>32.54</v>
      </c>
      <c r="T135">
        <v>18.940000000000001</v>
      </c>
      <c r="U135">
        <v>17.37</v>
      </c>
      <c r="V135">
        <v>36.69</v>
      </c>
      <c r="W135">
        <v>46.74</v>
      </c>
      <c r="X135">
        <v>27</v>
      </c>
      <c r="Y135">
        <v>49.3</v>
      </c>
      <c r="Z135">
        <v>41.69</v>
      </c>
      <c r="AA135">
        <v>80.959999999999994</v>
      </c>
      <c r="AB135">
        <v>56.33</v>
      </c>
      <c r="AC135">
        <v>41.71</v>
      </c>
      <c r="AD135">
        <v>578.87</v>
      </c>
      <c r="AE135">
        <v>648.83000000000004</v>
      </c>
      <c r="AF135">
        <v>42.99</v>
      </c>
      <c r="AG135">
        <v>54.17</v>
      </c>
      <c r="AH135">
        <v>47.42</v>
      </c>
      <c r="AI135">
        <v>50.64</v>
      </c>
    </row>
    <row r="136" spans="1:35" x14ac:dyDescent="0.45">
      <c r="A136" s="2">
        <v>45905</v>
      </c>
      <c r="B136">
        <v>33.020000000000003</v>
      </c>
      <c r="C136">
        <v>33.83</v>
      </c>
      <c r="D136">
        <v>17.93</v>
      </c>
      <c r="E136">
        <v>26.06</v>
      </c>
      <c r="F136">
        <v>32.14</v>
      </c>
      <c r="G136">
        <v>56.5</v>
      </c>
      <c r="H136">
        <v>25.03</v>
      </c>
      <c r="I136">
        <v>60.21</v>
      </c>
      <c r="J136">
        <v>63.83</v>
      </c>
      <c r="K136">
        <v>73.63</v>
      </c>
      <c r="L136">
        <v>29.63</v>
      </c>
      <c r="M136">
        <v>57.92</v>
      </c>
      <c r="N136">
        <v>63.4</v>
      </c>
      <c r="O136">
        <v>52.48</v>
      </c>
      <c r="P136">
        <v>61.35</v>
      </c>
      <c r="Q136">
        <v>19.690000000000001</v>
      </c>
      <c r="R136">
        <v>1264.8</v>
      </c>
      <c r="S136">
        <v>33.33</v>
      </c>
      <c r="T136">
        <v>19.16</v>
      </c>
      <c r="U136">
        <v>17.97</v>
      </c>
      <c r="V136">
        <v>37.200000000000003</v>
      </c>
      <c r="W136">
        <v>46.13</v>
      </c>
      <c r="X136">
        <v>26.93</v>
      </c>
      <c r="Y136">
        <v>49.17</v>
      </c>
      <c r="Z136">
        <v>41.34</v>
      </c>
      <c r="AA136">
        <v>79.180000000000007</v>
      </c>
      <c r="AB136">
        <v>56.25</v>
      </c>
      <c r="AC136">
        <v>41.55</v>
      </c>
      <c r="AD136">
        <v>576.05999999999995</v>
      </c>
      <c r="AE136">
        <v>647.24</v>
      </c>
      <c r="AF136">
        <v>42.56</v>
      </c>
      <c r="AG136">
        <v>53.47</v>
      </c>
      <c r="AH136">
        <v>47.01</v>
      </c>
      <c r="AI136">
        <v>50.46</v>
      </c>
    </row>
    <row r="137" spans="1:35" x14ac:dyDescent="0.45">
      <c r="A137" s="2">
        <v>45904</v>
      </c>
      <c r="B137">
        <v>32.229999999999997</v>
      </c>
      <c r="C137">
        <v>33.4</v>
      </c>
      <c r="D137">
        <v>17.77</v>
      </c>
      <c r="E137">
        <v>25.78</v>
      </c>
      <c r="F137">
        <v>32.130000000000003</v>
      </c>
      <c r="G137">
        <v>55.73</v>
      </c>
      <c r="H137">
        <v>24.97</v>
      </c>
      <c r="I137">
        <v>59.3</v>
      </c>
      <c r="J137">
        <v>63.07</v>
      </c>
      <c r="K137">
        <v>73.069999999999993</v>
      </c>
      <c r="L137">
        <v>29.17</v>
      </c>
      <c r="M137">
        <v>56.57</v>
      </c>
      <c r="N137">
        <v>63.26</v>
      </c>
      <c r="O137">
        <v>52.59</v>
      </c>
      <c r="P137">
        <v>60.3</v>
      </c>
      <c r="Q137">
        <v>19.7</v>
      </c>
      <c r="R137">
        <v>1252.55</v>
      </c>
      <c r="S137">
        <v>33.729999999999997</v>
      </c>
      <c r="T137">
        <v>19.2</v>
      </c>
      <c r="U137">
        <v>18.43</v>
      </c>
      <c r="V137">
        <v>37.35</v>
      </c>
      <c r="W137">
        <v>45.37</v>
      </c>
      <c r="X137">
        <v>26.9</v>
      </c>
      <c r="Y137">
        <v>49.12</v>
      </c>
      <c r="Z137">
        <v>41.34</v>
      </c>
      <c r="AA137">
        <v>78.73</v>
      </c>
      <c r="AB137">
        <v>55.71</v>
      </c>
      <c r="AC137">
        <v>41.39</v>
      </c>
      <c r="AD137">
        <v>575.23</v>
      </c>
      <c r="AE137">
        <v>649.12</v>
      </c>
      <c r="AF137">
        <v>42.56</v>
      </c>
      <c r="AG137">
        <v>52.87</v>
      </c>
      <c r="AH137">
        <v>46.26</v>
      </c>
      <c r="AI137">
        <v>50.65</v>
      </c>
    </row>
    <row r="138" spans="1:35" x14ac:dyDescent="0.45">
      <c r="A138" s="2">
        <v>45903</v>
      </c>
      <c r="B138">
        <v>32.94</v>
      </c>
      <c r="C138">
        <v>33.049999999999997</v>
      </c>
      <c r="D138">
        <v>17.809999999999999</v>
      </c>
      <c r="E138">
        <v>25.58</v>
      </c>
      <c r="F138">
        <v>31.52</v>
      </c>
      <c r="G138">
        <v>56.01</v>
      </c>
      <c r="H138">
        <v>24.87</v>
      </c>
      <c r="I138">
        <v>58.73</v>
      </c>
      <c r="J138">
        <v>62.8</v>
      </c>
      <c r="K138">
        <v>72.91</v>
      </c>
      <c r="L138">
        <v>28.99</v>
      </c>
      <c r="M138">
        <v>57.7</v>
      </c>
      <c r="N138">
        <v>63.4</v>
      </c>
      <c r="O138">
        <v>52.62</v>
      </c>
      <c r="P138">
        <v>61.33</v>
      </c>
      <c r="Q138">
        <v>19.86</v>
      </c>
      <c r="R138">
        <v>1259.31</v>
      </c>
      <c r="S138">
        <v>33.51</v>
      </c>
      <c r="T138">
        <v>19.03</v>
      </c>
      <c r="U138">
        <v>18.25</v>
      </c>
      <c r="V138">
        <v>37.11</v>
      </c>
      <c r="W138">
        <v>45.494999999999997</v>
      </c>
      <c r="X138">
        <v>26.6</v>
      </c>
      <c r="Y138">
        <v>48.87</v>
      </c>
      <c r="Z138">
        <v>41.05</v>
      </c>
      <c r="AA138">
        <v>77.930000000000007</v>
      </c>
      <c r="AB138">
        <v>55.08</v>
      </c>
      <c r="AC138">
        <v>41.18</v>
      </c>
      <c r="AD138">
        <v>570.07000000000005</v>
      </c>
      <c r="AE138">
        <v>643.74</v>
      </c>
      <c r="AF138">
        <v>42.54</v>
      </c>
      <c r="AG138">
        <v>52.22</v>
      </c>
      <c r="AH138">
        <v>46.18</v>
      </c>
      <c r="AI138">
        <v>50.38</v>
      </c>
    </row>
    <row r="139" spans="1:35" x14ac:dyDescent="0.45">
      <c r="A139" s="2">
        <v>45902</v>
      </c>
      <c r="B139">
        <v>33.200000000000003</v>
      </c>
      <c r="C139">
        <v>32.729999999999997</v>
      </c>
      <c r="D139">
        <v>17.739999999999998</v>
      </c>
      <c r="E139">
        <v>25.68</v>
      </c>
      <c r="F139">
        <v>31.29</v>
      </c>
      <c r="G139">
        <v>54.91</v>
      </c>
      <c r="H139">
        <v>24.73</v>
      </c>
      <c r="I139">
        <v>58.05</v>
      </c>
      <c r="J139">
        <v>62.91</v>
      </c>
      <c r="K139">
        <v>71.92</v>
      </c>
      <c r="L139">
        <v>29</v>
      </c>
      <c r="M139">
        <v>57.25</v>
      </c>
      <c r="N139">
        <v>62.28</v>
      </c>
      <c r="O139">
        <v>52.35</v>
      </c>
      <c r="P139">
        <v>61.64</v>
      </c>
      <c r="Q139">
        <v>19.73</v>
      </c>
      <c r="R139">
        <v>1248.78</v>
      </c>
      <c r="S139">
        <v>33.97</v>
      </c>
      <c r="T139">
        <v>19.14</v>
      </c>
      <c r="U139">
        <v>18.14</v>
      </c>
      <c r="V139">
        <v>37.21</v>
      </c>
      <c r="W139">
        <v>45.380099999999999</v>
      </c>
      <c r="X139">
        <v>26.77</v>
      </c>
      <c r="Y139">
        <v>48.59</v>
      </c>
      <c r="Z139">
        <v>41.04</v>
      </c>
      <c r="AA139">
        <v>78.150000000000006</v>
      </c>
      <c r="AB139">
        <v>54.67</v>
      </c>
      <c r="AC139">
        <v>40.9</v>
      </c>
      <c r="AD139">
        <v>565.62</v>
      </c>
      <c r="AE139">
        <v>640.27</v>
      </c>
      <c r="AF139">
        <v>42.29</v>
      </c>
      <c r="AG139">
        <v>51.94</v>
      </c>
      <c r="AH139">
        <v>45.89</v>
      </c>
      <c r="AI139">
        <v>50.4</v>
      </c>
    </row>
    <row r="140" spans="1:35" x14ac:dyDescent="0.45">
      <c r="A140" s="2">
        <v>45901</v>
      </c>
      <c r="B140">
        <v>33.47</v>
      </c>
      <c r="C140">
        <v>32.81</v>
      </c>
      <c r="D140">
        <v>17.670000000000002</v>
      </c>
      <c r="E140">
        <v>26.15</v>
      </c>
      <c r="F140">
        <v>31.7</v>
      </c>
      <c r="G140">
        <v>53.8</v>
      </c>
      <c r="H140">
        <v>24.87</v>
      </c>
      <c r="I140">
        <v>58.82</v>
      </c>
      <c r="J140">
        <v>61.94</v>
      </c>
      <c r="K140">
        <v>72.239999999999995</v>
      </c>
      <c r="L140">
        <v>29.5</v>
      </c>
      <c r="M140">
        <v>57.67</v>
      </c>
      <c r="N140">
        <v>63.09</v>
      </c>
      <c r="O140">
        <v>51.98</v>
      </c>
      <c r="P140">
        <v>61.31</v>
      </c>
      <c r="Q140">
        <v>20</v>
      </c>
      <c r="R140">
        <v>1244.48</v>
      </c>
      <c r="S140">
        <v>35.29</v>
      </c>
      <c r="T140">
        <v>19.38</v>
      </c>
      <c r="U140">
        <v>18.29</v>
      </c>
      <c r="V140">
        <v>37.36</v>
      </c>
      <c r="W140">
        <v>44.86</v>
      </c>
      <c r="X140">
        <v>27.08</v>
      </c>
      <c r="Y140">
        <v>48.79</v>
      </c>
      <c r="Z140">
        <v>41.88</v>
      </c>
      <c r="AA140">
        <v>78.28</v>
      </c>
      <c r="AB140">
        <v>55.33</v>
      </c>
      <c r="AC140">
        <v>41.46</v>
      </c>
      <c r="AD140">
        <v>570.4</v>
      </c>
      <c r="AE140">
        <v>645.04999999999995</v>
      </c>
      <c r="AF140">
        <v>42.59</v>
      </c>
      <c r="AG140">
        <v>53</v>
      </c>
      <c r="AH140">
        <v>46.39</v>
      </c>
      <c r="AI140">
        <v>51.05</v>
      </c>
    </row>
    <row r="141" spans="1:35" x14ac:dyDescent="0.45">
      <c r="A141" s="2">
        <v>45898</v>
      </c>
      <c r="B141">
        <v>33.47</v>
      </c>
      <c r="C141">
        <v>32.81</v>
      </c>
      <c r="D141">
        <v>17.670000000000002</v>
      </c>
      <c r="E141">
        <v>26.15</v>
      </c>
      <c r="F141">
        <v>31.7</v>
      </c>
      <c r="G141">
        <v>53.8</v>
      </c>
      <c r="H141">
        <v>24.87</v>
      </c>
      <c r="I141">
        <v>58.82</v>
      </c>
      <c r="J141">
        <v>61.94</v>
      </c>
      <c r="K141">
        <v>72.239999999999995</v>
      </c>
      <c r="L141">
        <v>29.5</v>
      </c>
      <c r="M141">
        <v>57.67</v>
      </c>
      <c r="N141">
        <v>63.09</v>
      </c>
      <c r="O141">
        <v>51.98</v>
      </c>
      <c r="P141">
        <v>61.31</v>
      </c>
      <c r="Q141">
        <v>20</v>
      </c>
      <c r="R141">
        <v>1236.6099999999999</v>
      </c>
      <c r="S141">
        <v>35.29</v>
      </c>
      <c r="T141">
        <v>19.38</v>
      </c>
      <c r="U141">
        <v>18.29</v>
      </c>
      <c r="V141">
        <v>37.36</v>
      </c>
      <c r="W141">
        <v>44.86</v>
      </c>
      <c r="X141">
        <v>27.08</v>
      </c>
      <c r="Y141">
        <v>48.79</v>
      </c>
      <c r="Z141">
        <v>41.88</v>
      </c>
      <c r="AA141">
        <v>78.28</v>
      </c>
      <c r="AB141">
        <v>55.33</v>
      </c>
      <c r="AC141">
        <v>41.46</v>
      </c>
      <c r="AD141">
        <v>570.4</v>
      </c>
      <c r="AE141">
        <v>645.04999999999995</v>
      </c>
      <c r="AF141">
        <v>42.59</v>
      </c>
      <c r="AG141">
        <v>53</v>
      </c>
      <c r="AH141">
        <v>46.39</v>
      </c>
      <c r="AI141">
        <v>51.05</v>
      </c>
    </row>
    <row r="142" spans="1:35" x14ac:dyDescent="0.45">
      <c r="A142" s="2">
        <v>45897</v>
      </c>
      <c r="B142">
        <v>33.159999999999997</v>
      </c>
      <c r="C142">
        <v>32.58</v>
      </c>
      <c r="D142">
        <v>18.190000000000001</v>
      </c>
      <c r="E142">
        <v>26.39</v>
      </c>
      <c r="F142">
        <v>32.07</v>
      </c>
      <c r="G142">
        <v>53.418799999999997</v>
      </c>
      <c r="H142">
        <v>25.13</v>
      </c>
      <c r="I142">
        <v>59.9</v>
      </c>
      <c r="J142">
        <v>62.52</v>
      </c>
      <c r="K142">
        <v>73.64</v>
      </c>
      <c r="L142">
        <v>29.49</v>
      </c>
      <c r="M142">
        <v>57.15</v>
      </c>
      <c r="N142">
        <v>63.94</v>
      </c>
      <c r="O142">
        <v>52.54</v>
      </c>
      <c r="P142">
        <v>60.45</v>
      </c>
      <c r="Q142">
        <v>19.96</v>
      </c>
      <c r="R142">
        <v>1250.0899999999999</v>
      </c>
      <c r="S142">
        <v>35.54</v>
      </c>
      <c r="T142">
        <v>19.53</v>
      </c>
      <c r="U142">
        <v>18.315000000000001</v>
      </c>
      <c r="V142">
        <v>37.47</v>
      </c>
      <c r="W142">
        <v>44.87</v>
      </c>
      <c r="X142">
        <v>27.09</v>
      </c>
      <c r="Y142">
        <v>48.46</v>
      </c>
      <c r="Z142">
        <v>42.02</v>
      </c>
      <c r="AA142">
        <v>79.290000000000006</v>
      </c>
      <c r="AB142">
        <v>55.33</v>
      </c>
      <c r="AC142">
        <v>41.57</v>
      </c>
      <c r="AD142">
        <v>577.08000000000004</v>
      </c>
      <c r="AE142">
        <v>648.91999999999996</v>
      </c>
      <c r="AF142">
        <v>42.9</v>
      </c>
      <c r="AG142">
        <v>53.5</v>
      </c>
      <c r="AH142">
        <v>46.63</v>
      </c>
      <c r="AI142">
        <v>51.19</v>
      </c>
    </row>
    <row r="143" spans="1:35" x14ac:dyDescent="0.45">
      <c r="A143" s="2">
        <v>45896</v>
      </c>
      <c r="B143">
        <v>32.26</v>
      </c>
      <c r="C143">
        <v>32.549999999999997</v>
      </c>
      <c r="D143">
        <v>18.16</v>
      </c>
      <c r="E143">
        <v>26.56</v>
      </c>
      <c r="F143">
        <v>32.340000000000003</v>
      </c>
      <c r="G143">
        <v>52.967199999999998</v>
      </c>
      <c r="H143">
        <v>25.05</v>
      </c>
      <c r="I143">
        <v>59.77</v>
      </c>
      <c r="J143">
        <v>61.94</v>
      </c>
      <c r="K143">
        <v>72.47</v>
      </c>
      <c r="L143">
        <v>29.02</v>
      </c>
      <c r="M143">
        <v>57.38</v>
      </c>
      <c r="N143">
        <v>64.489999999999995</v>
      </c>
      <c r="O143">
        <v>52.68</v>
      </c>
      <c r="P143">
        <v>60.02</v>
      </c>
      <c r="Q143">
        <v>20.13</v>
      </c>
      <c r="R143">
        <v>1248.03</v>
      </c>
      <c r="S143">
        <v>35.51</v>
      </c>
      <c r="T143">
        <v>19.68</v>
      </c>
      <c r="U143">
        <v>18.02</v>
      </c>
      <c r="V143">
        <v>37.68</v>
      </c>
      <c r="W143">
        <v>44.67</v>
      </c>
      <c r="X143">
        <v>27</v>
      </c>
      <c r="Y143">
        <v>48.37</v>
      </c>
      <c r="Z143">
        <v>41.89</v>
      </c>
      <c r="AA143">
        <v>78.63</v>
      </c>
      <c r="AB143">
        <v>55.24</v>
      </c>
      <c r="AC143">
        <v>41.66</v>
      </c>
      <c r="AD143">
        <v>573.49</v>
      </c>
      <c r="AE143">
        <v>646.63</v>
      </c>
      <c r="AF143">
        <v>42.56</v>
      </c>
      <c r="AG143">
        <v>53.59</v>
      </c>
      <c r="AH143">
        <v>46.46</v>
      </c>
      <c r="AI143">
        <v>50.91</v>
      </c>
    </row>
    <row r="144" spans="1:35" x14ac:dyDescent="0.45">
      <c r="A144" s="2">
        <v>45895</v>
      </c>
      <c r="B144">
        <v>32.909999999999997</v>
      </c>
      <c r="C144">
        <v>32.44</v>
      </c>
      <c r="D144">
        <v>18.38</v>
      </c>
      <c r="E144">
        <v>26.12</v>
      </c>
      <c r="F144">
        <v>32.86</v>
      </c>
      <c r="G144">
        <v>53.39</v>
      </c>
      <c r="H144">
        <v>25.13</v>
      </c>
      <c r="I144">
        <v>59.5</v>
      </c>
      <c r="J144">
        <v>61.44</v>
      </c>
      <c r="K144">
        <v>72.39</v>
      </c>
      <c r="L144">
        <v>28.61</v>
      </c>
      <c r="M144">
        <v>58.1</v>
      </c>
      <c r="N144">
        <v>64.98</v>
      </c>
      <c r="O144">
        <v>52.55</v>
      </c>
      <c r="P144">
        <v>61.62</v>
      </c>
      <c r="Q144">
        <v>20.14</v>
      </c>
      <c r="R144">
        <v>1251.26</v>
      </c>
      <c r="S144">
        <v>35.97</v>
      </c>
      <c r="T144">
        <v>19.75</v>
      </c>
      <c r="U144">
        <v>17.96</v>
      </c>
      <c r="V144">
        <v>38.020000000000003</v>
      </c>
      <c r="W144">
        <v>45.19</v>
      </c>
      <c r="X144">
        <v>26.97</v>
      </c>
      <c r="Y144">
        <v>48.02</v>
      </c>
      <c r="Z144">
        <v>42.13</v>
      </c>
      <c r="AA144">
        <v>78.92</v>
      </c>
      <c r="AB144">
        <v>55.11</v>
      </c>
      <c r="AC144">
        <v>41.74</v>
      </c>
      <c r="AD144">
        <v>572.61</v>
      </c>
      <c r="AE144">
        <v>645.16</v>
      </c>
      <c r="AF144">
        <v>42.58</v>
      </c>
      <c r="AG144">
        <v>53.77</v>
      </c>
      <c r="AH144">
        <v>46.64</v>
      </c>
      <c r="AI144">
        <v>51.42</v>
      </c>
    </row>
    <row r="145" spans="1:35" x14ac:dyDescent="0.45">
      <c r="A145" s="2">
        <v>45894</v>
      </c>
      <c r="B145">
        <v>32.909999999999997</v>
      </c>
      <c r="C145">
        <v>32.71</v>
      </c>
      <c r="D145">
        <v>18.61</v>
      </c>
      <c r="E145">
        <v>26.69</v>
      </c>
      <c r="F145">
        <v>32.590000000000003</v>
      </c>
      <c r="G145">
        <v>52.93</v>
      </c>
      <c r="H145">
        <v>25.5</v>
      </c>
      <c r="I145">
        <v>59.26</v>
      </c>
      <c r="J145">
        <v>61.71</v>
      </c>
      <c r="K145">
        <v>72.73</v>
      </c>
      <c r="L145">
        <v>28.74</v>
      </c>
      <c r="M145">
        <v>58.35</v>
      </c>
      <c r="N145">
        <v>65.62</v>
      </c>
      <c r="O145">
        <v>53.23</v>
      </c>
      <c r="P145">
        <v>61.54</v>
      </c>
      <c r="Q145">
        <v>20.002600000000001</v>
      </c>
      <c r="R145">
        <v>1262.67</v>
      </c>
      <c r="S145">
        <v>35.93</v>
      </c>
      <c r="T145">
        <v>19.829999999999998</v>
      </c>
      <c r="U145">
        <v>17.22</v>
      </c>
      <c r="V145">
        <v>38.08</v>
      </c>
      <c r="W145">
        <v>45.62</v>
      </c>
      <c r="X145">
        <v>26.83</v>
      </c>
      <c r="Y145">
        <v>47.55</v>
      </c>
      <c r="Z145">
        <v>42.12</v>
      </c>
      <c r="AA145">
        <v>79.05</v>
      </c>
      <c r="AB145">
        <v>54.97</v>
      </c>
      <c r="AC145">
        <v>41.79</v>
      </c>
      <c r="AD145">
        <v>570.32000000000005</v>
      </c>
      <c r="AE145">
        <v>642.47</v>
      </c>
      <c r="AF145">
        <v>42.96</v>
      </c>
      <c r="AG145">
        <v>53.84</v>
      </c>
      <c r="AH145">
        <v>46.57</v>
      </c>
      <c r="AI145">
        <v>51.76</v>
      </c>
    </row>
    <row r="146" spans="1:35" x14ac:dyDescent="0.45">
      <c r="A146" s="2">
        <v>45891</v>
      </c>
      <c r="B146">
        <v>32.71</v>
      </c>
      <c r="C146">
        <v>32.799999999999997</v>
      </c>
      <c r="D146">
        <v>18.649999999999999</v>
      </c>
      <c r="E146">
        <v>26.63</v>
      </c>
      <c r="F146">
        <v>32.700000000000003</v>
      </c>
      <c r="G146">
        <v>53.23</v>
      </c>
      <c r="H146">
        <v>25.72</v>
      </c>
      <c r="I146">
        <v>59.66</v>
      </c>
      <c r="J146">
        <v>62.8</v>
      </c>
      <c r="K146">
        <v>73.510000000000005</v>
      </c>
      <c r="L146">
        <v>28.61</v>
      </c>
      <c r="M146">
        <v>58.8</v>
      </c>
      <c r="N146">
        <v>65.995000000000005</v>
      </c>
      <c r="O146">
        <v>53.58</v>
      </c>
      <c r="P146">
        <v>61.57</v>
      </c>
      <c r="Q146">
        <v>20.189599999999999</v>
      </c>
      <c r="R146">
        <v>1253.3900000000001</v>
      </c>
      <c r="S146">
        <v>35.69</v>
      </c>
      <c r="T146">
        <v>19.96</v>
      </c>
      <c r="U146">
        <v>17.36</v>
      </c>
      <c r="V146">
        <v>38.130000000000003</v>
      </c>
      <c r="W146">
        <v>45.782899999999998</v>
      </c>
      <c r="X146">
        <v>27.26</v>
      </c>
      <c r="Y146">
        <v>48.03</v>
      </c>
      <c r="Z146">
        <v>42.66</v>
      </c>
      <c r="AA146">
        <v>80.02</v>
      </c>
      <c r="AB146">
        <v>55.64</v>
      </c>
      <c r="AC146">
        <v>42.08</v>
      </c>
      <c r="AD146">
        <v>571.97</v>
      </c>
      <c r="AE146">
        <v>645.30999999999995</v>
      </c>
      <c r="AF146">
        <v>44.18</v>
      </c>
      <c r="AG146">
        <v>54.188000000000002</v>
      </c>
      <c r="AH146">
        <v>47.24</v>
      </c>
      <c r="AI146">
        <v>52.34</v>
      </c>
    </row>
    <row r="147" spans="1:35" x14ac:dyDescent="0.45">
      <c r="A147" s="2">
        <v>45890</v>
      </c>
      <c r="B147">
        <v>31.62</v>
      </c>
      <c r="C147">
        <v>31.9</v>
      </c>
      <c r="D147">
        <v>18.440000000000001</v>
      </c>
      <c r="E147">
        <v>26.15</v>
      </c>
      <c r="F147">
        <v>33.380000000000003</v>
      </c>
      <c r="G147">
        <v>52.009</v>
      </c>
      <c r="H147">
        <v>25.19</v>
      </c>
      <c r="I147">
        <v>58.57</v>
      </c>
      <c r="J147">
        <v>61.55</v>
      </c>
      <c r="K147">
        <v>71.22</v>
      </c>
      <c r="L147">
        <v>27.66</v>
      </c>
      <c r="M147">
        <v>56.91</v>
      </c>
      <c r="N147">
        <v>65.2</v>
      </c>
      <c r="O147">
        <v>53.57</v>
      </c>
      <c r="P147">
        <v>60</v>
      </c>
      <c r="Q147">
        <v>20.065000000000001</v>
      </c>
      <c r="R147">
        <v>1244.79</v>
      </c>
      <c r="S147">
        <v>35.51</v>
      </c>
      <c r="T147">
        <v>19.753</v>
      </c>
      <c r="U147">
        <v>17.600000000000001</v>
      </c>
      <c r="V147">
        <v>37.94</v>
      </c>
      <c r="W147">
        <v>45.58</v>
      </c>
      <c r="X147">
        <v>26.86</v>
      </c>
      <c r="Y147">
        <v>47.28</v>
      </c>
      <c r="Z147">
        <v>42.08</v>
      </c>
      <c r="AA147">
        <v>78.7</v>
      </c>
      <c r="AB147">
        <v>54.94</v>
      </c>
      <c r="AC147">
        <v>41.66</v>
      </c>
      <c r="AD147">
        <v>563.28</v>
      </c>
      <c r="AE147">
        <v>635.54999999999995</v>
      </c>
      <c r="AF147">
        <v>43.55</v>
      </c>
      <c r="AG147">
        <v>53.08</v>
      </c>
      <c r="AH147">
        <v>46.08</v>
      </c>
      <c r="AI147">
        <v>51.53</v>
      </c>
    </row>
    <row r="148" spans="1:35" x14ac:dyDescent="0.45">
      <c r="A148" s="2">
        <v>45889</v>
      </c>
      <c r="B148">
        <v>31.74</v>
      </c>
      <c r="C148">
        <v>32.04</v>
      </c>
      <c r="D148">
        <v>18.600000000000001</v>
      </c>
      <c r="E148">
        <v>26.35</v>
      </c>
      <c r="F148">
        <v>33.78</v>
      </c>
      <c r="G148">
        <v>51.75</v>
      </c>
      <c r="H148">
        <v>25.19</v>
      </c>
      <c r="I148">
        <v>58.78</v>
      </c>
      <c r="J148">
        <v>61.17</v>
      </c>
      <c r="K148">
        <v>71.36</v>
      </c>
      <c r="L148">
        <v>27.69</v>
      </c>
      <c r="M148">
        <v>57.11</v>
      </c>
      <c r="N148">
        <v>65.400000000000006</v>
      </c>
      <c r="O148">
        <v>53.8</v>
      </c>
      <c r="P148">
        <v>59.92</v>
      </c>
      <c r="Q148">
        <v>20.079999999999998</v>
      </c>
      <c r="R148">
        <v>1248.1300000000001</v>
      </c>
      <c r="S148">
        <v>35.04</v>
      </c>
      <c r="T148">
        <v>19.8</v>
      </c>
      <c r="U148">
        <v>17.690000000000001</v>
      </c>
      <c r="V148">
        <v>37.89</v>
      </c>
      <c r="W148">
        <v>45.674999999999997</v>
      </c>
      <c r="X148">
        <v>26.7</v>
      </c>
      <c r="Y148">
        <v>47.11</v>
      </c>
      <c r="Z148">
        <v>42.39</v>
      </c>
      <c r="AA148">
        <v>79.64</v>
      </c>
      <c r="AB148">
        <v>55.52</v>
      </c>
      <c r="AC148">
        <v>41.72</v>
      </c>
      <c r="AD148">
        <v>565.9</v>
      </c>
      <c r="AE148">
        <v>638.11</v>
      </c>
      <c r="AF148">
        <v>43.97</v>
      </c>
      <c r="AG148">
        <v>53.58</v>
      </c>
      <c r="AH148">
        <v>46.45</v>
      </c>
      <c r="AI148">
        <v>51.69</v>
      </c>
    </row>
    <row r="149" spans="1:35" x14ac:dyDescent="0.45">
      <c r="A149" s="2">
        <v>45888</v>
      </c>
      <c r="B149">
        <v>31.02</v>
      </c>
      <c r="C149">
        <v>32.19</v>
      </c>
      <c r="D149">
        <v>18.309999999999999</v>
      </c>
      <c r="E149">
        <v>26.25</v>
      </c>
      <c r="F149">
        <v>33.79</v>
      </c>
      <c r="G149">
        <v>51.68</v>
      </c>
      <c r="H149">
        <v>25.18</v>
      </c>
      <c r="I149">
        <v>60.09</v>
      </c>
      <c r="J149">
        <v>61.25</v>
      </c>
      <c r="K149">
        <v>71.44</v>
      </c>
      <c r="L149">
        <v>27.36</v>
      </c>
      <c r="M149">
        <v>56.67</v>
      </c>
      <c r="N149">
        <v>65.150000000000006</v>
      </c>
      <c r="O149">
        <v>53.65</v>
      </c>
      <c r="P149">
        <v>59.59</v>
      </c>
      <c r="Q149">
        <v>20.239999999999998</v>
      </c>
      <c r="R149">
        <v>1235.76</v>
      </c>
      <c r="S149">
        <v>34.5</v>
      </c>
      <c r="T149">
        <v>19.8383</v>
      </c>
      <c r="U149">
        <v>17.899999999999999</v>
      </c>
      <c r="V149">
        <v>37.840000000000003</v>
      </c>
      <c r="W149">
        <v>45.604999999999997</v>
      </c>
      <c r="X149">
        <v>26.61</v>
      </c>
      <c r="Y149">
        <v>47</v>
      </c>
      <c r="Z149">
        <v>42.39</v>
      </c>
      <c r="AA149">
        <v>80.02</v>
      </c>
      <c r="AB149">
        <v>54.9</v>
      </c>
      <c r="AC149">
        <v>41.29</v>
      </c>
      <c r="AD149">
        <v>569.28</v>
      </c>
      <c r="AE149">
        <v>639.80999999999995</v>
      </c>
      <c r="AF149">
        <v>43.82</v>
      </c>
      <c r="AG149">
        <v>53.215000000000003</v>
      </c>
      <c r="AH149">
        <v>46.56</v>
      </c>
      <c r="AI149">
        <v>51.62</v>
      </c>
    </row>
    <row r="150" spans="1:35" x14ac:dyDescent="0.45">
      <c r="A150" s="2">
        <v>45887</v>
      </c>
      <c r="B150">
        <v>31.32</v>
      </c>
      <c r="C150">
        <v>32.549999999999997</v>
      </c>
      <c r="D150">
        <v>18.43</v>
      </c>
      <c r="E150">
        <v>26.34</v>
      </c>
      <c r="F150">
        <v>33.64</v>
      </c>
      <c r="G150">
        <v>52.382100000000001</v>
      </c>
      <c r="H150">
        <v>25.13</v>
      </c>
      <c r="I150">
        <v>61.04</v>
      </c>
      <c r="J150">
        <v>61.19</v>
      </c>
      <c r="K150">
        <v>72.8</v>
      </c>
      <c r="L150">
        <v>28.29</v>
      </c>
      <c r="M150">
        <v>57.11</v>
      </c>
      <c r="N150">
        <v>65.58</v>
      </c>
      <c r="O150">
        <v>53.5</v>
      </c>
      <c r="P150">
        <v>60.04</v>
      </c>
      <c r="Q150">
        <v>20.38</v>
      </c>
      <c r="R150">
        <v>1242.31</v>
      </c>
      <c r="S150">
        <v>34.47</v>
      </c>
      <c r="T150">
        <v>19.965</v>
      </c>
      <c r="U150">
        <v>17.84</v>
      </c>
      <c r="V150">
        <v>37.83</v>
      </c>
      <c r="W150">
        <v>45.844999999999999</v>
      </c>
      <c r="X150">
        <v>26.84</v>
      </c>
      <c r="Y150">
        <v>47.35</v>
      </c>
      <c r="Z150">
        <v>42.45</v>
      </c>
      <c r="AA150">
        <v>80.3</v>
      </c>
      <c r="AB150">
        <v>54.35</v>
      </c>
      <c r="AC150">
        <v>41.29</v>
      </c>
      <c r="AD150">
        <v>577.11</v>
      </c>
      <c r="AE150">
        <v>643.29999999999995</v>
      </c>
      <c r="AF150">
        <v>43.55</v>
      </c>
      <c r="AG150">
        <v>53.13</v>
      </c>
      <c r="AH150">
        <v>46.28</v>
      </c>
      <c r="AI150">
        <v>51.54</v>
      </c>
    </row>
    <row r="151" spans="1:35" x14ac:dyDescent="0.45">
      <c r="A151" s="2">
        <v>45884</v>
      </c>
      <c r="B151">
        <v>30.97</v>
      </c>
      <c r="C151">
        <v>32.4</v>
      </c>
      <c r="D151">
        <v>18.5</v>
      </c>
      <c r="E151">
        <v>26.39</v>
      </c>
      <c r="F151">
        <v>33.450000000000003</v>
      </c>
      <c r="G151">
        <v>52.191600000000001</v>
      </c>
      <c r="H151">
        <v>24.98</v>
      </c>
      <c r="I151">
        <v>60.42</v>
      </c>
      <c r="J151">
        <v>61.34</v>
      </c>
      <c r="K151">
        <v>73.39</v>
      </c>
      <c r="L151">
        <v>28.2</v>
      </c>
      <c r="M151">
        <v>57.62</v>
      </c>
      <c r="N151">
        <v>66.89</v>
      </c>
      <c r="O151">
        <v>52.71</v>
      </c>
      <c r="P151">
        <v>59.68</v>
      </c>
      <c r="Q151">
        <v>20.54</v>
      </c>
      <c r="R151">
        <v>1259.42</v>
      </c>
      <c r="S151">
        <v>34.24</v>
      </c>
      <c r="T151">
        <v>19.905000000000001</v>
      </c>
      <c r="U151">
        <v>17.71</v>
      </c>
      <c r="V151">
        <v>37.549999999999997</v>
      </c>
      <c r="W151">
        <v>45.683999999999997</v>
      </c>
      <c r="X151">
        <v>26.83</v>
      </c>
      <c r="Y151">
        <v>47.27</v>
      </c>
      <c r="Z151">
        <v>42.58</v>
      </c>
      <c r="AA151">
        <v>80.150000000000006</v>
      </c>
      <c r="AB151">
        <v>54.5</v>
      </c>
      <c r="AC151">
        <v>41.27</v>
      </c>
      <c r="AD151">
        <v>577.34</v>
      </c>
      <c r="AE151">
        <v>643.44000000000005</v>
      </c>
      <c r="AF151">
        <v>43.89</v>
      </c>
      <c r="AG151">
        <v>53.16</v>
      </c>
      <c r="AH151">
        <v>46.61</v>
      </c>
      <c r="AI151">
        <v>51.79</v>
      </c>
    </row>
    <row r="152" spans="1:35" x14ac:dyDescent="0.45">
      <c r="A152" s="2">
        <v>45883</v>
      </c>
      <c r="B152">
        <v>30.72</v>
      </c>
      <c r="C152">
        <v>32.270000000000003</v>
      </c>
      <c r="D152">
        <v>18.63</v>
      </c>
      <c r="E152">
        <v>26.28</v>
      </c>
      <c r="F152">
        <v>33.270000000000003</v>
      </c>
      <c r="G152">
        <v>51.95</v>
      </c>
      <c r="H152">
        <v>25.03</v>
      </c>
      <c r="I152">
        <v>60.65</v>
      </c>
      <c r="J152">
        <v>60.99</v>
      </c>
      <c r="K152">
        <v>73.66</v>
      </c>
      <c r="L152">
        <v>27.89</v>
      </c>
      <c r="M152">
        <v>57.64</v>
      </c>
      <c r="N152">
        <v>66.53</v>
      </c>
      <c r="O152">
        <v>52.41</v>
      </c>
      <c r="P152">
        <v>59.3</v>
      </c>
      <c r="Q152">
        <v>20.52</v>
      </c>
      <c r="R152">
        <v>1266.67</v>
      </c>
      <c r="S152">
        <v>34.11</v>
      </c>
      <c r="T152">
        <v>19.98</v>
      </c>
      <c r="U152">
        <v>17.760000000000002</v>
      </c>
      <c r="V152">
        <v>37.590000000000003</v>
      </c>
      <c r="W152">
        <v>45.57</v>
      </c>
      <c r="X152">
        <v>26.74</v>
      </c>
      <c r="Y152">
        <v>47.33</v>
      </c>
      <c r="Z152">
        <v>42.5</v>
      </c>
      <c r="AA152">
        <v>78.8</v>
      </c>
      <c r="AB152">
        <v>54.1</v>
      </c>
      <c r="AC152">
        <v>41.5</v>
      </c>
      <c r="AD152">
        <v>579.89</v>
      </c>
      <c r="AE152">
        <v>644.95000000000005</v>
      </c>
      <c r="AF152">
        <v>43.5</v>
      </c>
      <c r="AG152">
        <v>53.3</v>
      </c>
      <c r="AH152">
        <v>46.06</v>
      </c>
      <c r="AI152">
        <v>51.56</v>
      </c>
    </row>
    <row r="153" spans="1:35" x14ac:dyDescent="0.45">
      <c r="A153" s="2">
        <v>45882</v>
      </c>
      <c r="B153">
        <v>31.01</v>
      </c>
      <c r="C153">
        <v>32.54</v>
      </c>
      <c r="D153">
        <v>18.829999999999998</v>
      </c>
      <c r="E153">
        <v>26.72</v>
      </c>
      <c r="F153">
        <v>34.07</v>
      </c>
      <c r="G153">
        <v>52.16</v>
      </c>
      <c r="H153">
        <v>25.27</v>
      </c>
      <c r="I153">
        <v>61.03</v>
      </c>
      <c r="J153">
        <v>61.99</v>
      </c>
      <c r="K153">
        <v>74.72</v>
      </c>
      <c r="L153">
        <v>28.18</v>
      </c>
      <c r="M153">
        <v>58.36</v>
      </c>
      <c r="N153">
        <v>66.81</v>
      </c>
      <c r="O153">
        <v>52.71</v>
      </c>
      <c r="P153">
        <v>60.56</v>
      </c>
      <c r="Q153">
        <v>20.56</v>
      </c>
      <c r="R153">
        <v>1277.43</v>
      </c>
      <c r="S153">
        <v>34.47</v>
      </c>
      <c r="T153">
        <v>19.93</v>
      </c>
      <c r="U153">
        <v>17.46</v>
      </c>
      <c r="V153">
        <v>37.44</v>
      </c>
      <c r="W153">
        <v>45.82</v>
      </c>
      <c r="X153">
        <v>26.91</v>
      </c>
      <c r="Y153">
        <v>47.64</v>
      </c>
      <c r="Z153">
        <v>42.38</v>
      </c>
      <c r="AA153">
        <v>79.27</v>
      </c>
      <c r="AB153">
        <v>54.2</v>
      </c>
      <c r="AC153">
        <v>41.36</v>
      </c>
      <c r="AD153">
        <v>580.34</v>
      </c>
      <c r="AE153">
        <v>644.89</v>
      </c>
      <c r="AF153">
        <v>43.31</v>
      </c>
      <c r="AG153">
        <v>53.36</v>
      </c>
      <c r="AH153">
        <v>46.02</v>
      </c>
      <c r="AI153">
        <v>51.1</v>
      </c>
    </row>
    <row r="154" spans="1:35" x14ac:dyDescent="0.45">
      <c r="A154" s="2">
        <v>45881</v>
      </c>
      <c r="B154">
        <v>30.73</v>
      </c>
      <c r="C154">
        <v>31.97</v>
      </c>
      <c r="D154">
        <v>18.61</v>
      </c>
      <c r="E154">
        <v>26.55</v>
      </c>
      <c r="F154">
        <v>33.99</v>
      </c>
      <c r="G154">
        <v>51.75</v>
      </c>
      <c r="H154">
        <v>24.94</v>
      </c>
      <c r="I154">
        <v>61.09</v>
      </c>
      <c r="J154">
        <v>62.33</v>
      </c>
      <c r="K154">
        <v>74.099999999999994</v>
      </c>
      <c r="L154">
        <v>28.39</v>
      </c>
      <c r="M154">
        <v>57.5</v>
      </c>
      <c r="N154">
        <v>66.349999999999994</v>
      </c>
      <c r="O154">
        <v>52.465000000000003</v>
      </c>
      <c r="P154">
        <v>58.73</v>
      </c>
      <c r="Q154">
        <v>20.27</v>
      </c>
      <c r="R154">
        <v>1259.07</v>
      </c>
      <c r="S154">
        <v>34.54</v>
      </c>
      <c r="T154">
        <v>20.149999999999999</v>
      </c>
      <c r="U154">
        <v>17.440000000000001</v>
      </c>
      <c r="V154">
        <v>37.49</v>
      </c>
      <c r="W154">
        <v>45.658999999999999</v>
      </c>
      <c r="X154">
        <v>26.96</v>
      </c>
      <c r="Y154">
        <v>47.51</v>
      </c>
      <c r="Z154">
        <v>42.15</v>
      </c>
      <c r="AA154">
        <v>79.23</v>
      </c>
      <c r="AB154">
        <v>53.81</v>
      </c>
      <c r="AC154">
        <v>41.03</v>
      </c>
      <c r="AD154">
        <v>580.04999999999995</v>
      </c>
      <c r="AE154">
        <v>642.69000000000005</v>
      </c>
      <c r="AF154">
        <v>42.89</v>
      </c>
      <c r="AG154">
        <v>52.967399999999998</v>
      </c>
      <c r="AH154">
        <v>45.99</v>
      </c>
      <c r="AI154">
        <v>50.64</v>
      </c>
    </row>
    <row r="155" spans="1:35" x14ac:dyDescent="0.45">
      <c r="A155" s="2">
        <v>45880</v>
      </c>
      <c r="B155">
        <v>30.295000000000002</v>
      </c>
      <c r="C155">
        <v>31.47</v>
      </c>
      <c r="D155">
        <v>17.98</v>
      </c>
      <c r="E155">
        <v>26.19</v>
      </c>
      <c r="F155">
        <v>33.44</v>
      </c>
      <c r="G155">
        <v>51.130899999999997</v>
      </c>
      <c r="H155">
        <v>24.6</v>
      </c>
      <c r="I155">
        <v>60.28</v>
      </c>
      <c r="J155">
        <v>61.54</v>
      </c>
      <c r="K155">
        <v>73.03</v>
      </c>
      <c r="L155">
        <v>27.64</v>
      </c>
      <c r="M155">
        <v>56.36</v>
      </c>
      <c r="N155">
        <v>65.680000000000007</v>
      </c>
      <c r="O155">
        <v>52.27</v>
      </c>
      <c r="P155">
        <v>57.82</v>
      </c>
      <c r="Q155">
        <v>20.034600000000001</v>
      </c>
      <c r="R155">
        <v>1259.07</v>
      </c>
      <c r="S155">
        <v>34.844799999999999</v>
      </c>
      <c r="T155">
        <v>20.079999999999998</v>
      </c>
      <c r="U155">
        <v>17.27</v>
      </c>
      <c r="V155">
        <v>37.43</v>
      </c>
      <c r="W155">
        <v>45.79</v>
      </c>
      <c r="X155">
        <v>26.65</v>
      </c>
      <c r="Y155">
        <v>47.28</v>
      </c>
      <c r="Z155">
        <v>41.94</v>
      </c>
      <c r="AA155">
        <v>77.790000000000006</v>
      </c>
      <c r="AB155">
        <v>53.2</v>
      </c>
      <c r="AC155">
        <v>40.64</v>
      </c>
      <c r="AD155">
        <v>572.85</v>
      </c>
      <c r="AE155">
        <v>635.91999999999996</v>
      </c>
      <c r="AF155">
        <v>42.35</v>
      </c>
      <c r="AG155">
        <v>52.37</v>
      </c>
      <c r="AH155">
        <v>45.23</v>
      </c>
      <c r="AI155">
        <v>49.99</v>
      </c>
    </row>
    <row r="156" spans="1:35" x14ac:dyDescent="0.45">
      <c r="A156" s="2">
        <v>45877</v>
      </c>
      <c r="B156">
        <v>30.27</v>
      </c>
      <c r="C156">
        <v>31.41</v>
      </c>
      <c r="D156">
        <v>17.829999999999998</v>
      </c>
      <c r="E156">
        <v>26.63</v>
      </c>
      <c r="F156">
        <v>33.97</v>
      </c>
      <c r="G156">
        <v>51.72</v>
      </c>
      <c r="H156">
        <v>24.51</v>
      </c>
      <c r="I156">
        <v>60.29</v>
      </c>
      <c r="J156">
        <v>61.64</v>
      </c>
      <c r="K156">
        <v>73.5</v>
      </c>
      <c r="L156">
        <v>27.81</v>
      </c>
      <c r="M156">
        <v>56.45</v>
      </c>
      <c r="N156">
        <v>65.069199999999995</v>
      </c>
      <c r="O156">
        <v>52.12</v>
      </c>
      <c r="P156">
        <v>58.19</v>
      </c>
      <c r="Q156">
        <v>19.93</v>
      </c>
      <c r="R156">
        <v>1259.07</v>
      </c>
      <c r="S156">
        <v>34.68</v>
      </c>
      <c r="T156">
        <v>20.14</v>
      </c>
      <c r="U156">
        <v>17.18</v>
      </c>
      <c r="V156">
        <v>37.83</v>
      </c>
      <c r="W156">
        <v>45.744999999999997</v>
      </c>
      <c r="X156">
        <v>26.63</v>
      </c>
      <c r="Y156">
        <v>47.34</v>
      </c>
      <c r="Z156">
        <v>42.34</v>
      </c>
      <c r="AA156">
        <v>77.930000000000007</v>
      </c>
      <c r="AB156">
        <v>53.6</v>
      </c>
      <c r="AC156">
        <v>40.53</v>
      </c>
      <c r="AD156">
        <v>574.54999999999995</v>
      </c>
      <c r="AE156">
        <v>637.17999999999995</v>
      </c>
      <c r="AF156">
        <v>42.68</v>
      </c>
      <c r="AG156">
        <v>52.52</v>
      </c>
      <c r="AH156">
        <v>45.88</v>
      </c>
      <c r="AI156">
        <v>50.16</v>
      </c>
    </row>
    <row r="157" spans="1:35" x14ac:dyDescent="0.45">
      <c r="A157" s="2">
        <v>45876</v>
      </c>
      <c r="B157">
        <v>30.3</v>
      </c>
      <c r="C157">
        <v>30.74</v>
      </c>
      <c r="D157">
        <v>17.72</v>
      </c>
      <c r="E157">
        <v>26.49</v>
      </c>
      <c r="F157">
        <v>33.53</v>
      </c>
      <c r="G157">
        <v>50.705500000000001</v>
      </c>
      <c r="H157">
        <v>24.38</v>
      </c>
      <c r="I157">
        <v>60.36</v>
      </c>
      <c r="J157">
        <v>61.65</v>
      </c>
      <c r="K157">
        <v>73.44</v>
      </c>
      <c r="L157">
        <v>28.05</v>
      </c>
      <c r="M157">
        <v>56.66</v>
      </c>
      <c r="N157">
        <v>64.58</v>
      </c>
      <c r="O157">
        <v>52.53</v>
      </c>
      <c r="P157">
        <v>58.2</v>
      </c>
      <c r="Q157">
        <v>19.946000000000002</v>
      </c>
      <c r="R157">
        <v>1265.1500000000001</v>
      </c>
      <c r="S157">
        <v>34.61</v>
      </c>
      <c r="T157">
        <v>20.100000000000001</v>
      </c>
      <c r="U157">
        <v>16.8</v>
      </c>
      <c r="V157">
        <v>37.83</v>
      </c>
      <c r="W157">
        <v>45.795000000000002</v>
      </c>
      <c r="X157">
        <v>26.6</v>
      </c>
      <c r="Y157">
        <v>47.34</v>
      </c>
      <c r="Z157">
        <v>42.33</v>
      </c>
      <c r="AA157">
        <v>76.62</v>
      </c>
      <c r="AB157">
        <v>53.68</v>
      </c>
      <c r="AC157">
        <v>40.49</v>
      </c>
      <c r="AD157">
        <v>569.24</v>
      </c>
      <c r="AE157">
        <v>632.25</v>
      </c>
      <c r="AF157">
        <v>42.49</v>
      </c>
      <c r="AG157">
        <v>52.2</v>
      </c>
      <c r="AH157">
        <v>45.6</v>
      </c>
      <c r="AI157">
        <v>49.95</v>
      </c>
    </row>
    <row r="158" spans="1:35" x14ac:dyDescent="0.45">
      <c r="A158" s="2">
        <v>45875</v>
      </c>
      <c r="B158">
        <v>30.33</v>
      </c>
      <c r="C158">
        <v>30.09</v>
      </c>
      <c r="D158">
        <v>17.66</v>
      </c>
      <c r="E158">
        <v>26.41</v>
      </c>
      <c r="F158">
        <v>32.840000000000003</v>
      </c>
      <c r="G158">
        <v>50.183300000000003</v>
      </c>
      <c r="H158">
        <v>24.4</v>
      </c>
      <c r="I158">
        <v>59.14</v>
      </c>
      <c r="J158">
        <v>60.76</v>
      </c>
      <c r="K158">
        <v>73.180000000000007</v>
      </c>
      <c r="L158">
        <v>27.45</v>
      </c>
      <c r="M158">
        <v>56.17</v>
      </c>
      <c r="N158">
        <v>64.2</v>
      </c>
      <c r="O158">
        <v>52.255000000000003</v>
      </c>
      <c r="P158">
        <v>58.36</v>
      </c>
      <c r="Q158">
        <v>19.850000000000001</v>
      </c>
      <c r="R158">
        <v>1264.47</v>
      </c>
      <c r="S158">
        <v>34.46</v>
      </c>
      <c r="T158">
        <v>20.25</v>
      </c>
      <c r="U158">
        <v>17.09</v>
      </c>
      <c r="V158">
        <v>38.04</v>
      </c>
      <c r="W158">
        <v>45.63</v>
      </c>
      <c r="X158">
        <v>26.66</v>
      </c>
      <c r="Y158">
        <v>47.73</v>
      </c>
      <c r="Z158">
        <v>41.84</v>
      </c>
      <c r="AA158">
        <v>76.03</v>
      </c>
      <c r="AB158">
        <v>52.98</v>
      </c>
      <c r="AC158">
        <v>40.380000000000003</v>
      </c>
      <c r="AD158">
        <v>567.32000000000005</v>
      </c>
      <c r="AE158">
        <v>632.78</v>
      </c>
      <c r="AF158">
        <v>42.02</v>
      </c>
      <c r="AG158">
        <v>51.43</v>
      </c>
      <c r="AH158">
        <v>44.82</v>
      </c>
      <c r="AI158">
        <v>49.52</v>
      </c>
    </row>
    <row r="159" spans="1:35" x14ac:dyDescent="0.45">
      <c r="A159" s="2">
        <v>45874</v>
      </c>
      <c r="B159">
        <v>30.17</v>
      </c>
      <c r="C159">
        <v>30.26</v>
      </c>
      <c r="D159">
        <v>17.62</v>
      </c>
      <c r="E159">
        <v>26.16</v>
      </c>
      <c r="F159">
        <v>31.79</v>
      </c>
      <c r="G159">
        <v>49.7</v>
      </c>
      <c r="H159">
        <v>24.24</v>
      </c>
      <c r="I159">
        <v>58.92</v>
      </c>
      <c r="J159">
        <v>60.19</v>
      </c>
      <c r="K159">
        <v>72.89</v>
      </c>
      <c r="L159">
        <v>27.02</v>
      </c>
      <c r="M159">
        <v>55.4</v>
      </c>
      <c r="N159">
        <v>62.98</v>
      </c>
      <c r="O159">
        <v>52.41</v>
      </c>
      <c r="P159">
        <v>57.86</v>
      </c>
      <c r="Q159">
        <v>19.785</v>
      </c>
      <c r="R159">
        <v>1246.96</v>
      </c>
      <c r="S159">
        <v>34.29</v>
      </c>
      <c r="T159">
        <v>20.010000000000002</v>
      </c>
      <c r="U159">
        <v>16.670000000000002</v>
      </c>
      <c r="V159">
        <v>37.78</v>
      </c>
      <c r="W159">
        <v>45.255000000000003</v>
      </c>
      <c r="X159">
        <v>26.41</v>
      </c>
      <c r="Y159">
        <v>46.93</v>
      </c>
      <c r="Z159">
        <v>41.49</v>
      </c>
      <c r="AA159">
        <v>75.03</v>
      </c>
      <c r="AB159">
        <v>53.48</v>
      </c>
      <c r="AC159">
        <v>40.229999999999997</v>
      </c>
      <c r="AD159">
        <v>560.27</v>
      </c>
      <c r="AE159">
        <v>627.97</v>
      </c>
      <c r="AF159">
        <v>41.83</v>
      </c>
      <c r="AG159">
        <v>51.33</v>
      </c>
      <c r="AH159">
        <v>44.45</v>
      </c>
      <c r="AI159">
        <v>48.74</v>
      </c>
    </row>
    <row r="160" spans="1:35" x14ac:dyDescent="0.45">
      <c r="A160" s="2">
        <v>45873</v>
      </c>
      <c r="B160">
        <v>29.9</v>
      </c>
      <c r="C160">
        <v>30.24</v>
      </c>
      <c r="D160">
        <v>17.59</v>
      </c>
      <c r="E160">
        <v>26.35</v>
      </c>
      <c r="F160">
        <v>31.94</v>
      </c>
      <c r="G160">
        <v>49.27</v>
      </c>
      <c r="H160">
        <v>24.13</v>
      </c>
      <c r="I160">
        <v>58.84</v>
      </c>
      <c r="J160">
        <v>59.23</v>
      </c>
      <c r="K160">
        <v>72.33</v>
      </c>
      <c r="L160">
        <v>26.93</v>
      </c>
      <c r="M160">
        <v>55.05</v>
      </c>
      <c r="N160">
        <v>62.02</v>
      </c>
      <c r="O160">
        <v>52.48</v>
      </c>
      <c r="P160">
        <v>57.47</v>
      </c>
      <c r="Q160">
        <v>19.71</v>
      </c>
      <c r="R160">
        <v>1229.4000000000001</v>
      </c>
      <c r="S160">
        <v>34.32</v>
      </c>
      <c r="T160">
        <v>20.21</v>
      </c>
      <c r="U160">
        <v>16.579999999999998</v>
      </c>
      <c r="V160">
        <v>37.630000000000003</v>
      </c>
      <c r="W160">
        <v>44.93</v>
      </c>
      <c r="X160">
        <v>26.28</v>
      </c>
      <c r="Y160">
        <v>46.58</v>
      </c>
      <c r="Z160">
        <v>41.3</v>
      </c>
      <c r="AA160">
        <v>75.290000000000006</v>
      </c>
      <c r="AB160">
        <v>53.31</v>
      </c>
      <c r="AC160">
        <v>40.21</v>
      </c>
      <c r="AD160">
        <v>564.1</v>
      </c>
      <c r="AE160">
        <v>631.16999999999996</v>
      </c>
      <c r="AF160">
        <v>41.86</v>
      </c>
      <c r="AG160">
        <v>51.35</v>
      </c>
      <c r="AH160">
        <v>44.3</v>
      </c>
      <c r="AI160">
        <v>48.57</v>
      </c>
    </row>
    <row r="161" spans="1:35" x14ac:dyDescent="0.45">
      <c r="A161" s="2">
        <v>45870</v>
      </c>
      <c r="B161">
        <v>29.6</v>
      </c>
      <c r="C161">
        <v>29.98</v>
      </c>
      <c r="D161">
        <v>17.61</v>
      </c>
      <c r="E161">
        <v>25.78</v>
      </c>
      <c r="F161">
        <v>31.7</v>
      </c>
      <c r="G161">
        <v>48.35</v>
      </c>
      <c r="H161">
        <v>23.98</v>
      </c>
      <c r="I161">
        <v>58.39</v>
      </c>
      <c r="J161">
        <v>59.6</v>
      </c>
      <c r="K161">
        <v>70.650000000000006</v>
      </c>
      <c r="L161">
        <v>26.65</v>
      </c>
      <c r="M161">
        <v>53.43</v>
      </c>
      <c r="N161">
        <v>60.34</v>
      </c>
      <c r="O161">
        <v>52.72</v>
      </c>
      <c r="P161">
        <v>56.52</v>
      </c>
      <c r="Q161">
        <v>19.664999999999999</v>
      </c>
      <c r="R161">
        <v>1218.33</v>
      </c>
      <c r="S161">
        <v>33.92</v>
      </c>
      <c r="T161">
        <v>19.95</v>
      </c>
      <c r="U161">
        <v>15.95</v>
      </c>
      <c r="V161">
        <v>37.32</v>
      </c>
      <c r="W161">
        <v>44.69</v>
      </c>
      <c r="X161">
        <v>25.91</v>
      </c>
      <c r="Y161">
        <v>45.86</v>
      </c>
      <c r="Z161">
        <v>40.75</v>
      </c>
      <c r="AA161">
        <v>74.069999999999993</v>
      </c>
      <c r="AB161">
        <v>52.43</v>
      </c>
      <c r="AC161">
        <v>39.94</v>
      </c>
      <c r="AD161">
        <v>553.88</v>
      </c>
      <c r="AE161">
        <v>621.72</v>
      </c>
      <c r="AF161">
        <v>41.43</v>
      </c>
      <c r="AG161">
        <v>50.85</v>
      </c>
      <c r="AH161">
        <v>43.68</v>
      </c>
      <c r="AI161">
        <v>47.83</v>
      </c>
    </row>
    <row r="162" spans="1:35" x14ac:dyDescent="0.45">
      <c r="A162" s="2">
        <v>45869</v>
      </c>
      <c r="B162">
        <v>29.68</v>
      </c>
      <c r="C162">
        <v>29.83</v>
      </c>
      <c r="D162">
        <v>17.27</v>
      </c>
      <c r="E162">
        <v>25.42</v>
      </c>
      <c r="F162">
        <v>31.75</v>
      </c>
      <c r="G162">
        <v>48.65</v>
      </c>
      <c r="H162">
        <v>23.49</v>
      </c>
      <c r="I162">
        <v>58.36</v>
      </c>
      <c r="J162">
        <v>60.14</v>
      </c>
      <c r="K162">
        <v>72.81</v>
      </c>
      <c r="L162">
        <v>26.55</v>
      </c>
      <c r="M162">
        <v>53.05</v>
      </c>
      <c r="N162">
        <v>60.51</v>
      </c>
      <c r="O162">
        <v>52.64</v>
      </c>
      <c r="P162">
        <v>57.43</v>
      </c>
      <c r="Q162">
        <v>19.655000000000001</v>
      </c>
      <c r="R162">
        <v>1242.3499999999999</v>
      </c>
      <c r="S162">
        <v>33.85</v>
      </c>
      <c r="T162">
        <v>20.039899999999999</v>
      </c>
      <c r="U162">
        <v>16.010000000000002</v>
      </c>
      <c r="V162">
        <v>37.56</v>
      </c>
      <c r="W162">
        <v>45.05</v>
      </c>
      <c r="X162">
        <v>26.02</v>
      </c>
      <c r="Y162">
        <v>46.18</v>
      </c>
      <c r="Z162">
        <v>41.15</v>
      </c>
      <c r="AA162">
        <v>73.62</v>
      </c>
      <c r="AB162">
        <v>52.72</v>
      </c>
      <c r="AC162">
        <v>39.81</v>
      </c>
      <c r="AD162">
        <v>565.01</v>
      </c>
      <c r="AE162">
        <v>632.08000000000004</v>
      </c>
      <c r="AF162">
        <v>41.94</v>
      </c>
      <c r="AG162">
        <v>51.26</v>
      </c>
      <c r="AH162">
        <v>43.86</v>
      </c>
      <c r="AI162">
        <v>48.25</v>
      </c>
    </row>
    <row r="163" spans="1:35" x14ac:dyDescent="0.45">
      <c r="A163" s="2">
        <v>45868</v>
      </c>
      <c r="B163">
        <v>30.24</v>
      </c>
      <c r="C163">
        <v>29.48</v>
      </c>
      <c r="D163">
        <v>17.579999999999998</v>
      </c>
      <c r="E163">
        <v>26.175000000000001</v>
      </c>
      <c r="F163">
        <v>32.21</v>
      </c>
      <c r="G163">
        <v>47.99</v>
      </c>
      <c r="H163">
        <v>23.84</v>
      </c>
      <c r="I163">
        <v>58.35</v>
      </c>
      <c r="J163">
        <v>60.17</v>
      </c>
      <c r="K163">
        <v>73.680000000000007</v>
      </c>
      <c r="L163">
        <v>26.88</v>
      </c>
      <c r="M163">
        <v>53.99</v>
      </c>
      <c r="N163">
        <v>60.44</v>
      </c>
      <c r="O163">
        <v>52.7</v>
      </c>
      <c r="P163">
        <v>57.89</v>
      </c>
      <c r="Q163">
        <v>19.66</v>
      </c>
      <c r="R163">
        <v>1244.1400000000001</v>
      </c>
      <c r="S163">
        <v>33.659999999999997</v>
      </c>
      <c r="T163">
        <v>20.260000000000002</v>
      </c>
      <c r="U163">
        <v>16.03</v>
      </c>
      <c r="V163">
        <v>37.619999999999997</v>
      </c>
      <c r="W163">
        <v>45.19</v>
      </c>
      <c r="X163">
        <v>26.15</v>
      </c>
      <c r="Y163">
        <v>46.38</v>
      </c>
      <c r="Z163">
        <v>41.63</v>
      </c>
      <c r="AA163">
        <v>73.98</v>
      </c>
      <c r="AB163">
        <v>53.48</v>
      </c>
      <c r="AC163">
        <v>40.04</v>
      </c>
      <c r="AD163">
        <v>568.02</v>
      </c>
      <c r="AE163">
        <v>634.46</v>
      </c>
      <c r="AF163">
        <v>42.47</v>
      </c>
      <c r="AG163">
        <v>52.2</v>
      </c>
      <c r="AH163">
        <v>44.54</v>
      </c>
      <c r="AI163">
        <v>49.13</v>
      </c>
    </row>
    <row r="164" spans="1:35" x14ac:dyDescent="0.45">
      <c r="A164" s="2">
        <v>45867</v>
      </c>
      <c r="B164">
        <v>30.44</v>
      </c>
      <c r="C164">
        <v>29.83</v>
      </c>
      <c r="D164">
        <v>17.8</v>
      </c>
      <c r="E164">
        <v>26.37</v>
      </c>
      <c r="F164">
        <v>32.25</v>
      </c>
      <c r="G164">
        <v>49.44</v>
      </c>
      <c r="H164">
        <v>24.04</v>
      </c>
      <c r="I164">
        <v>58.62</v>
      </c>
      <c r="J164">
        <v>60.93</v>
      </c>
      <c r="K164">
        <v>73.489999999999995</v>
      </c>
      <c r="L164">
        <v>26.76</v>
      </c>
      <c r="M164">
        <v>54.54</v>
      </c>
      <c r="N164">
        <v>60.98</v>
      </c>
      <c r="O164">
        <v>53.49</v>
      </c>
      <c r="P164">
        <v>58.56</v>
      </c>
      <c r="Q164">
        <v>19.600000000000001</v>
      </c>
      <c r="R164">
        <v>1233.68</v>
      </c>
      <c r="S164">
        <v>33.28</v>
      </c>
      <c r="T164">
        <v>20.145</v>
      </c>
      <c r="U164">
        <v>15.9</v>
      </c>
      <c r="V164">
        <v>37.39</v>
      </c>
      <c r="W164">
        <v>45.834299999999999</v>
      </c>
      <c r="X164">
        <v>26.37</v>
      </c>
      <c r="Y164">
        <v>46.79</v>
      </c>
      <c r="Z164">
        <v>41.89</v>
      </c>
      <c r="AA164">
        <v>73.88</v>
      </c>
      <c r="AB164">
        <v>54.12</v>
      </c>
      <c r="AC164">
        <v>40.39</v>
      </c>
      <c r="AD164">
        <v>567.26</v>
      </c>
      <c r="AE164">
        <v>635.26</v>
      </c>
      <c r="AF164">
        <v>42.91</v>
      </c>
      <c r="AG164">
        <v>52.69</v>
      </c>
      <c r="AH164">
        <v>44.96</v>
      </c>
      <c r="AI164">
        <v>49.06</v>
      </c>
    </row>
    <row r="165" spans="1:35" x14ac:dyDescent="0.45">
      <c r="A165" s="2">
        <v>45866</v>
      </c>
      <c r="B165">
        <v>30.29</v>
      </c>
      <c r="C165">
        <v>29.78</v>
      </c>
      <c r="D165">
        <v>17.75</v>
      </c>
      <c r="E165">
        <v>26.55</v>
      </c>
      <c r="F165">
        <v>32.130000000000003</v>
      </c>
      <c r="G165">
        <v>49.15</v>
      </c>
      <c r="H165">
        <v>24.05</v>
      </c>
      <c r="I165">
        <v>59.06</v>
      </c>
      <c r="J165">
        <v>60.06</v>
      </c>
      <c r="K165">
        <v>72.709999999999994</v>
      </c>
      <c r="L165">
        <v>26.52</v>
      </c>
      <c r="M165">
        <v>54.22</v>
      </c>
      <c r="N165">
        <v>60.45</v>
      </c>
      <c r="O165">
        <v>53.23</v>
      </c>
      <c r="P165">
        <v>58.7</v>
      </c>
      <c r="Q165">
        <v>19.600000000000001</v>
      </c>
      <c r="R165">
        <v>1217.1500000000001</v>
      </c>
      <c r="S165">
        <v>33.43</v>
      </c>
      <c r="T165">
        <v>20.32</v>
      </c>
      <c r="U165">
        <v>16.78</v>
      </c>
      <c r="V165">
        <v>37.61</v>
      </c>
      <c r="W165">
        <v>45.64</v>
      </c>
      <c r="X165">
        <v>26.22</v>
      </c>
      <c r="Y165">
        <v>46.72</v>
      </c>
      <c r="Z165">
        <v>41.67</v>
      </c>
      <c r="AA165">
        <v>74.27</v>
      </c>
      <c r="AB165">
        <v>54.16</v>
      </c>
      <c r="AC165">
        <v>40.119999999999997</v>
      </c>
      <c r="AD165">
        <v>568.14</v>
      </c>
      <c r="AE165">
        <v>636.94000000000005</v>
      </c>
      <c r="AF165">
        <v>42.8</v>
      </c>
      <c r="AG165">
        <v>52.91</v>
      </c>
      <c r="AH165">
        <v>45.78</v>
      </c>
      <c r="AI165">
        <v>48.78</v>
      </c>
    </row>
    <row r="166" spans="1:35" x14ac:dyDescent="0.45">
      <c r="A166" s="2">
        <v>45863</v>
      </c>
      <c r="B166">
        <v>30.31</v>
      </c>
      <c r="C166">
        <v>30.34</v>
      </c>
      <c r="D166">
        <v>17.600000000000001</v>
      </c>
      <c r="E166">
        <v>26.752199999999998</v>
      </c>
      <c r="F166">
        <v>33.35</v>
      </c>
      <c r="G166">
        <v>49.61</v>
      </c>
      <c r="H166">
        <v>24.19</v>
      </c>
      <c r="I166">
        <v>59.43</v>
      </c>
      <c r="J166">
        <v>61.05</v>
      </c>
      <c r="K166">
        <v>73.209999999999994</v>
      </c>
      <c r="L166">
        <v>26.94</v>
      </c>
      <c r="M166">
        <v>54.74</v>
      </c>
      <c r="N166">
        <v>62.15</v>
      </c>
      <c r="O166">
        <v>53.8</v>
      </c>
      <c r="P166">
        <v>58.93</v>
      </c>
      <c r="Q166">
        <v>19.63</v>
      </c>
      <c r="R166">
        <v>1217.1500000000001</v>
      </c>
      <c r="S166">
        <v>33.79</v>
      </c>
      <c r="T166">
        <v>20.350000000000001</v>
      </c>
      <c r="U166">
        <v>16.47</v>
      </c>
      <c r="V166">
        <v>37.72</v>
      </c>
      <c r="W166">
        <v>46.051099999999998</v>
      </c>
      <c r="X166">
        <v>26.48</v>
      </c>
      <c r="Y166">
        <v>47.01</v>
      </c>
      <c r="Z166">
        <v>42.81</v>
      </c>
      <c r="AA166">
        <v>75.680000000000007</v>
      </c>
      <c r="AB166">
        <v>55.16</v>
      </c>
      <c r="AC166">
        <v>40.64</v>
      </c>
      <c r="AD166">
        <v>566.37</v>
      </c>
      <c r="AE166">
        <v>637.1</v>
      </c>
      <c r="AF166">
        <v>43.72</v>
      </c>
      <c r="AG166">
        <v>53.5</v>
      </c>
      <c r="AH166">
        <v>46.38</v>
      </c>
      <c r="AI166">
        <v>49.56</v>
      </c>
    </row>
    <row r="167" spans="1:35" x14ac:dyDescent="0.45">
      <c r="A167" s="2">
        <v>45862</v>
      </c>
      <c r="B167">
        <v>30.45</v>
      </c>
      <c r="C167">
        <v>30.49</v>
      </c>
      <c r="D167">
        <v>17.809999999999999</v>
      </c>
      <c r="E167">
        <v>27</v>
      </c>
      <c r="F167">
        <v>33.29</v>
      </c>
      <c r="G167">
        <v>49.98</v>
      </c>
      <c r="H167">
        <v>24.3</v>
      </c>
      <c r="I167">
        <v>59.39</v>
      </c>
      <c r="J167">
        <v>60.85</v>
      </c>
      <c r="K167">
        <v>73.31</v>
      </c>
      <c r="L167">
        <v>27.13</v>
      </c>
      <c r="M167">
        <v>55.44</v>
      </c>
      <c r="N167">
        <v>62</v>
      </c>
      <c r="O167">
        <v>54.06</v>
      </c>
      <c r="P167">
        <v>59.18</v>
      </c>
      <c r="Q167">
        <v>19.61</v>
      </c>
      <c r="R167">
        <v>1212.49</v>
      </c>
      <c r="S167">
        <v>33.950000000000003</v>
      </c>
      <c r="T167">
        <v>20.11</v>
      </c>
      <c r="U167">
        <v>15.994999999999999</v>
      </c>
      <c r="V167">
        <v>37.68</v>
      </c>
      <c r="W167">
        <v>45.98</v>
      </c>
      <c r="X167">
        <v>26.58</v>
      </c>
      <c r="Y167">
        <v>46.97</v>
      </c>
      <c r="Z167">
        <v>42.7</v>
      </c>
      <c r="AA167">
        <v>76.55</v>
      </c>
      <c r="AB167">
        <v>55.12</v>
      </c>
      <c r="AC167">
        <v>40.770000000000003</v>
      </c>
      <c r="AD167">
        <v>565.01</v>
      </c>
      <c r="AE167">
        <v>634.41999999999996</v>
      </c>
      <c r="AF167">
        <v>43.4</v>
      </c>
      <c r="AG167">
        <v>53.93</v>
      </c>
      <c r="AH167">
        <v>45.9</v>
      </c>
      <c r="AI167">
        <v>49.12</v>
      </c>
    </row>
    <row r="168" spans="1:35" x14ac:dyDescent="0.45">
      <c r="A168" s="2">
        <v>45861</v>
      </c>
      <c r="B168">
        <v>30.35</v>
      </c>
      <c r="C168">
        <v>30.41</v>
      </c>
      <c r="D168">
        <v>17.809999999999999</v>
      </c>
      <c r="E168">
        <v>27.09</v>
      </c>
      <c r="F168">
        <v>33.450000000000003</v>
      </c>
      <c r="G168">
        <v>50.3</v>
      </c>
      <c r="H168">
        <v>24.21</v>
      </c>
      <c r="I168">
        <v>59.8</v>
      </c>
      <c r="J168">
        <v>60.47</v>
      </c>
      <c r="K168">
        <v>73.849999999999994</v>
      </c>
      <c r="L168">
        <v>27.48</v>
      </c>
      <c r="M168">
        <v>56.27</v>
      </c>
      <c r="N168">
        <v>62.58</v>
      </c>
      <c r="O168">
        <v>54.73</v>
      </c>
      <c r="P168">
        <v>59.25</v>
      </c>
      <c r="Q168">
        <v>19.54</v>
      </c>
      <c r="R168">
        <v>1219.6199999999999</v>
      </c>
      <c r="S168">
        <v>33.86</v>
      </c>
      <c r="T168">
        <v>20.105</v>
      </c>
      <c r="U168">
        <v>16</v>
      </c>
      <c r="V168">
        <v>37.97</v>
      </c>
      <c r="W168">
        <v>46.134999999999998</v>
      </c>
      <c r="X168">
        <v>26.82</v>
      </c>
      <c r="Y168">
        <v>47.17</v>
      </c>
      <c r="Z168">
        <v>43.21</v>
      </c>
      <c r="AA168">
        <v>76.489999999999995</v>
      </c>
      <c r="AB168">
        <v>56.2</v>
      </c>
      <c r="AC168">
        <v>40.9</v>
      </c>
      <c r="AD168">
        <v>563.80999999999995</v>
      </c>
      <c r="AE168">
        <v>634.21</v>
      </c>
      <c r="AF168">
        <v>44.4</v>
      </c>
      <c r="AG168">
        <v>54.25</v>
      </c>
      <c r="AH168">
        <v>46.3</v>
      </c>
      <c r="AI168">
        <v>49.84</v>
      </c>
    </row>
    <row r="169" spans="1:35" x14ac:dyDescent="0.45">
      <c r="A169" s="2">
        <v>45860</v>
      </c>
      <c r="B169">
        <v>30.364999999999998</v>
      </c>
      <c r="C169">
        <v>30.39</v>
      </c>
      <c r="D169">
        <v>17.559999999999999</v>
      </c>
      <c r="E169">
        <v>26.52</v>
      </c>
      <c r="F169">
        <v>32.93</v>
      </c>
      <c r="G169">
        <v>49.55</v>
      </c>
      <c r="H169">
        <v>23.99</v>
      </c>
      <c r="I169">
        <v>58.72</v>
      </c>
      <c r="J169">
        <v>59.03</v>
      </c>
      <c r="K169">
        <v>72.89</v>
      </c>
      <c r="L169">
        <v>27</v>
      </c>
      <c r="M169">
        <v>55.74</v>
      </c>
      <c r="N169">
        <v>61.43</v>
      </c>
      <c r="O169">
        <v>54.61</v>
      </c>
      <c r="P169">
        <v>58.664999999999999</v>
      </c>
      <c r="Q169">
        <v>19.34</v>
      </c>
      <c r="R169">
        <v>1191.75</v>
      </c>
      <c r="S169">
        <v>33.869999999999997</v>
      </c>
      <c r="T169">
        <v>19.795000000000002</v>
      </c>
      <c r="U169">
        <v>15.82</v>
      </c>
      <c r="V169">
        <v>37.5</v>
      </c>
      <c r="W169">
        <v>46.155000000000001</v>
      </c>
      <c r="X169">
        <v>26.55</v>
      </c>
      <c r="Y169">
        <v>47.09</v>
      </c>
      <c r="Z169">
        <v>42.42</v>
      </c>
      <c r="AA169">
        <v>72.98</v>
      </c>
      <c r="AB169">
        <v>54.96</v>
      </c>
      <c r="AC169">
        <v>40.43</v>
      </c>
      <c r="AD169">
        <v>561.25</v>
      </c>
      <c r="AE169">
        <v>628.86</v>
      </c>
      <c r="AF169">
        <v>43.16</v>
      </c>
      <c r="AG169">
        <v>53.37</v>
      </c>
      <c r="AH169">
        <v>45.21</v>
      </c>
      <c r="AI169">
        <v>48.55</v>
      </c>
    </row>
    <row r="170" spans="1:35" x14ac:dyDescent="0.45">
      <c r="A170" s="2">
        <v>45859</v>
      </c>
      <c r="B170">
        <v>29.98</v>
      </c>
      <c r="C170">
        <v>30.3</v>
      </c>
      <c r="D170">
        <v>17.73</v>
      </c>
      <c r="E170">
        <v>26.34</v>
      </c>
      <c r="F170">
        <v>32.9</v>
      </c>
      <c r="G170">
        <v>48.93</v>
      </c>
      <c r="H170">
        <v>24.03</v>
      </c>
      <c r="I170">
        <v>59.36</v>
      </c>
      <c r="J170">
        <v>59.24</v>
      </c>
      <c r="K170">
        <v>73.87</v>
      </c>
      <c r="L170">
        <v>27.08</v>
      </c>
      <c r="M170">
        <v>55.7</v>
      </c>
      <c r="N170">
        <v>61.53</v>
      </c>
      <c r="O170">
        <v>54.75</v>
      </c>
      <c r="P170">
        <v>57.81</v>
      </c>
      <c r="Q170">
        <v>19.12</v>
      </c>
      <c r="R170">
        <v>1208.1300000000001</v>
      </c>
      <c r="S170">
        <v>33.93</v>
      </c>
      <c r="T170">
        <v>19.899999999999999</v>
      </c>
      <c r="U170">
        <v>15.35</v>
      </c>
      <c r="V170">
        <v>37.82</v>
      </c>
      <c r="W170">
        <v>46.367600000000003</v>
      </c>
      <c r="X170">
        <v>26.37</v>
      </c>
      <c r="Y170">
        <v>46.71</v>
      </c>
      <c r="Z170">
        <v>42.42</v>
      </c>
      <c r="AA170">
        <v>72.61</v>
      </c>
      <c r="AB170">
        <v>54.51</v>
      </c>
      <c r="AC170">
        <v>40.01</v>
      </c>
      <c r="AD170">
        <v>564.16999999999996</v>
      </c>
      <c r="AE170">
        <v>628.77</v>
      </c>
      <c r="AF170">
        <v>43.03</v>
      </c>
      <c r="AG170">
        <v>53.41</v>
      </c>
      <c r="AH170">
        <v>45.25</v>
      </c>
      <c r="AI170">
        <v>48.03</v>
      </c>
    </row>
    <row r="171" spans="1:35" x14ac:dyDescent="0.45">
      <c r="A171" s="2">
        <v>45856</v>
      </c>
      <c r="B171">
        <v>29.73</v>
      </c>
      <c r="C171">
        <v>30.16</v>
      </c>
      <c r="D171">
        <v>17.690000000000001</v>
      </c>
      <c r="E171">
        <v>26.11</v>
      </c>
      <c r="F171">
        <v>32.86</v>
      </c>
      <c r="G171">
        <v>48.32</v>
      </c>
      <c r="H171">
        <v>23.93</v>
      </c>
      <c r="I171">
        <v>59.24</v>
      </c>
      <c r="J171">
        <v>59.46</v>
      </c>
      <c r="K171">
        <v>72.39</v>
      </c>
      <c r="L171">
        <v>26.85</v>
      </c>
      <c r="M171">
        <v>54.81</v>
      </c>
      <c r="N171">
        <v>61.2</v>
      </c>
      <c r="O171">
        <v>54.5</v>
      </c>
      <c r="P171">
        <v>57.45</v>
      </c>
      <c r="Q171">
        <v>18.91</v>
      </c>
      <c r="R171">
        <v>1206.58</v>
      </c>
      <c r="S171">
        <v>32.994999999999997</v>
      </c>
      <c r="T171">
        <v>19.98</v>
      </c>
      <c r="U171">
        <v>15.574999999999999</v>
      </c>
      <c r="V171">
        <v>38.130000000000003</v>
      </c>
      <c r="W171">
        <v>45.695</v>
      </c>
      <c r="X171">
        <v>26.45</v>
      </c>
      <c r="Y171">
        <v>46.59</v>
      </c>
      <c r="Z171">
        <v>42.13</v>
      </c>
      <c r="AA171">
        <v>71.81</v>
      </c>
      <c r="AB171">
        <v>54.48</v>
      </c>
      <c r="AC171">
        <v>39.799999999999997</v>
      </c>
      <c r="AD171">
        <v>561.26</v>
      </c>
      <c r="AE171">
        <v>627.58000000000004</v>
      </c>
      <c r="AF171">
        <v>42.92</v>
      </c>
      <c r="AG171">
        <v>53.46</v>
      </c>
      <c r="AH171">
        <v>44.65</v>
      </c>
      <c r="AI171">
        <v>47.79</v>
      </c>
    </row>
    <row r="172" spans="1:35" x14ac:dyDescent="0.45">
      <c r="A172" s="2">
        <v>45855</v>
      </c>
      <c r="B172">
        <v>29.6</v>
      </c>
      <c r="C172">
        <v>30.23</v>
      </c>
      <c r="D172">
        <v>17.760000000000002</v>
      </c>
      <c r="E172">
        <v>26.08</v>
      </c>
      <c r="F172">
        <v>32.340000000000003</v>
      </c>
      <c r="G172">
        <v>48.2014</v>
      </c>
      <c r="H172">
        <v>23.93</v>
      </c>
      <c r="I172">
        <v>59.48</v>
      </c>
      <c r="J172">
        <v>59.79</v>
      </c>
      <c r="K172">
        <v>73.06</v>
      </c>
      <c r="L172">
        <v>27.69</v>
      </c>
      <c r="M172">
        <v>53.57</v>
      </c>
      <c r="N172">
        <v>61.52</v>
      </c>
      <c r="O172">
        <v>55.01</v>
      </c>
      <c r="P172">
        <v>56.92</v>
      </c>
      <c r="Q172">
        <v>18.96</v>
      </c>
      <c r="R172">
        <v>1198.1099999999999</v>
      </c>
      <c r="S172">
        <v>33.15</v>
      </c>
      <c r="T172">
        <v>20.05</v>
      </c>
      <c r="U172">
        <v>15.67</v>
      </c>
      <c r="V172">
        <v>38.17</v>
      </c>
      <c r="W172">
        <v>45.872</v>
      </c>
      <c r="X172">
        <v>26.28</v>
      </c>
      <c r="Y172">
        <v>46.71</v>
      </c>
      <c r="Z172">
        <v>42.35</v>
      </c>
      <c r="AA172">
        <v>72.39</v>
      </c>
      <c r="AB172">
        <v>54.36</v>
      </c>
      <c r="AC172">
        <v>39.83</v>
      </c>
      <c r="AD172">
        <v>561.79999999999995</v>
      </c>
      <c r="AE172">
        <v>628.04</v>
      </c>
      <c r="AF172">
        <v>42.98</v>
      </c>
      <c r="AG172">
        <v>53.51</v>
      </c>
      <c r="AH172">
        <v>44.98</v>
      </c>
      <c r="AI172">
        <v>47.75</v>
      </c>
    </row>
    <row r="173" spans="1:35" x14ac:dyDescent="0.45">
      <c r="A173" s="2">
        <v>45854</v>
      </c>
      <c r="B173">
        <v>29.26</v>
      </c>
      <c r="C173">
        <v>29.77</v>
      </c>
      <c r="D173">
        <v>17.7</v>
      </c>
      <c r="E173">
        <v>26.35</v>
      </c>
      <c r="F173">
        <v>31.97</v>
      </c>
      <c r="G173">
        <v>48.003799999999998</v>
      </c>
      <c r="H173">
        <v>23.71</v>
      </c>
      <c r="I173">
        <v>58.98</v>
      </c>
      <c r="J173">
        <v>59.77</v>
      </c>
      <c r="K173">
        <v>73.08</v>
      </c>
      <c r="L173">
        <v>27.57</v>
      </c>
      <c r="M173">
        <v>53.43</v>
      </c>
      <c r="N173">
        <v>60.8</v>
      </c>
      <c r="O173">
        <v>55.27</v>
      </c>
      <c r="P173">
        <v>56.51</v>
      </c>
      <c r="Q173">
        <v>18.779</v>
      </c>
      <c r="R173">
        <v>1157.6300000000001</v>
      </c>
      <c r="S173">
        <v>32.5</v>
      </c>
      <c r="T173">
        <v>19.86</v>
      </c>
      <c r="U173">
        <v>15.41</v>
      </c>
      <c r="V173">
        <v>38.1</v>
      </c>
      <c r="W173">
        <v>45.56</v>
      </c>
      <c r="X173">
        <v>26.19</v>
      </c>
      <c r="Y173">
        <v>46.47</v>
      </c>
      <c r="Z173">
        <v>42.18</v>
      </c>
      <c r="AA173">
        <v>72.02</v>
      </c>
      <c r="AB173">
        <v>54.55</v>
      </c>
      <c r="AC173">
        <v>39.85</v>
      </c>
      <c r="AD173">
        <v>557.29</v>
      </c>
      <c r="AE173">
        <v>624.22</v>
      </c>
      <c r="AF173">
        <v>42.74</v>
      </c>
      <c r="AG173">
        <v>53.47</v>
      </c>
      <c r="AH173">
        <v>44.63</v>
      </c>
      <c r="AI173">
        <v>47.76</v>
      </c>
    </row>
    <row r="174" spans="1:35" x14ac:dyDescent="0.45">
      <c r="A174" s="2">
        <v>45853</v>
      </c>
      <c r="B174">
        <v>29.29</v>
      </c>
      <c r="C174">
        <v>29.89</v>
      </c>
      <c r="D174">
        <v>17.72</v>
      </c>
      <c r="E174">
        <v>26.96</v>
      </c>
      <c r="F174">
        <v>31.66</v>
      </c>
      <c r="G174">
        <v>48.12</v>
      </c>
      <c r="H174">
        <v>23.8</v>
      </c>
      <c r="I174">
        <v>58.27</v>
      </c>
      <c r="J174">
        <v>59.38</v>
      </c>
      <c r="K174">
        <v>73.069999999999993</v>
      </c>
      <c r="L174">
        <v>27.47</v>
      </c>
      <c r="M174">
        <v>52.86</v>
      </c>
      <c r="N174">
        <v>60.25</v>
      </c>
      <c r="O174">
        <v>54.875</v>
      </c>
      <c r="P174">
        <v>56.68</v>
      </c>
      <c r="Q174">
        <v>18.690000000000001</v>
      </c>
      <c r="R174">
        <v>1161.01</v>
      </c>
      <c r="S174">
        <v>32.840000000000003</v>
      </c>
      <c r="T174">
        <v>19.41</v>
      </c>
      <c r="U174">
        <v>15.04</v>
      </c>
      <c r="V174">
        <v>38.090000000000003</v>
      </c>
      <c r="W174">
        <v>44.89</v>
      </c>
      <c r="X174">
        <v>26.07</v>
      </c>
      <c r="Y174">
        <v>46.04</v>
      </c>
      <c r="Z174">
        <v>41.82</v>
      </c>
      <c r="AA174">
        <v>71.69</v>
      </c>
      <c r="AB174">
        <v>54.18</v>
      </c>
      <c r="AC174">
        <v>39.590000000000003</v>
      </c>
      <c r="AD174">
        <v>556.72</v>
      </c>
      <c r="AE174">
        <v>622.14</v>
      </c>
      <c r="AF174">
        <v>42.56</v>
      </c>
      <c r="AG174">
        <v>54.45</v>
      </c>
      <c r="AH174">
        <v>44.69</v>
      </c>
      <c r="AI174">
        <v>47.32</v>
      </c>
    </row>
    <row r="175" spans="1:35" x14ac:dyDescent="0.45">
      <c r="A175" s="2">
        <v>45852</v>
      </c>
      <c r="B175">
        <v>29.395</v>
      </c>
      <c r="C175">
        <v>30.21</v>
      </c>
      <c r="D175">
        <v>17.63</v>
      </c>
      <c r="E175">
        <v>27.36</v>
      </c>
      <c r="F175">
        <v>32.14</v>
      </c>
      <c r="G175">
        <v>48.69</v>
      </c>
      <c r="H175">
        <v>24.09</v>
      </c>
      <c r="I175">
        <v>57.81</v>
      </c>
      <c r="J175">
        <v>59.61</v>
      </c>
      <c r="K175">
        <v>73.2</v>
      </c>
      <c r="L175">
        <v>27.31</v>
      </c>
      <c r="M175">
        <v>52.99</v>
      </c>
      <c r="N175">
        <v>60.82</v>
      </c>
      <c r="O175">
        <v>54.92</v>
      </c>
      <c r="P175">
        <v>55.55</v>
      </c>
      <c r="Q175">
        <v>18.71</v>
      </c>
      <c r="R175">
        <v>1143.31</v>
      </c>
      <c r="S175">
        <v>32.97</v>
      </c>
      <c r="T175">
        <v>19.37</v>
      </c>
      <c r="U175">
        <v>15.24</v>
      </c>
      <c r="V175">
        <v>38.65</v>
      </c>
      <c r="W175">
        <v>45.49</v>
      </c>
      <c r="X175">
        <v>26.39</v>
      </c>
      <c r="Y175">
        <v>46.44</v>
      </c>
      <c r="Z175">
        <v>42.35</v>
      </c>
      <c r="AA175">
        <v>72.41</v>
      </c>
      <c r="AB175">
        <v>54.71</v>
      </c>
      <c r="AC175">
        <v>40.03</v>
      </c>
      <c r="AD175">
        <v>556.21</v>
      </c>
      <c r="AE175">
        <v>624.80999999999995</v>
      </c>
      <c r="AF175">
        <v>43.12</v>
      </c>
      <c r="AG175">
        <v>54.4</v>
      </c>
      <c r="AH175">
        <v>45.3</v>
      </c>
      <c r="AI175">
        <v>48.16</v>
      </c>
    </row>
    <row r="176" spans="1:35" x14ac:dyDescent="0.45">
      <c r="A176" s="2">
        <v>45849</v>
      </c>
      <c r="B176">
        <v>29.2</v>
      </c>
      <c r="C176">
        <v>30.51</v>
      </c>
      <c r="D176">
        <v>17.87</v>
      </c>
      <c r="E176">
        <v>27.13</v>
      </c>
      <c r="F176">
        <v>31.95</v>
      </c>
      <c r="G176">
        <v>48.83</v>
      </c>
      <c r="H176">
        <v>24.08</v>
      </c>
      <c r="I176">
        <v>58.3</v>
      </c>
      <c r="J176">
        <v>60.13</v>
      </c>
      <c r="K176">
        <v>72.56</v>
      </c>
      <c r="L176">
        <v>27.53</v>
      </c>
      <c r="M176">
        <v>52.98</v>
      </c>
      <c r="N176">
        <v>60.99</v>
      </c>
      <c r="O176">
        <v>54.88</v>
      </c>
      <c r="P176">
        <v>54.95</v>
      </c>
      <c r="Q176">
        <v>18.73</v>
      </c>
      <c r="R176">
        <v>1121.1300000000001</v>
      </c>
      <c r="S176">
        <v>33.17</v>
      </c>
      <c r="T176">
        <v>19.21</v>
      </c>
      <c r="U176">
        <v>15.22</v>
      </c>
      <c r="V176">
        <v>38.89</v>
      </c>
      <c r="W176">
        <v>45.76</v>
      </c>
      <c r="X176">
        <v>26.36</v>
      </c>
      <c r="Y176">
        <v>46.13</v>
      </c>
      <c r="Z176">
        <v>42.45</v>
      </c>
      <c r="AA176">
        <v>72.36</v>
      </c>
      <c r="AB176">
        <v>54.7</v>
      </c>
      <c r="AC176">
        <v>39.92</v>
      </c>
      <c r="AD176">
        <v>554.20000000000005</v>
      </c>
      <c r="AE176">
        <v>623.62</v>
      </c>
      <c r="AF176">
        <v>43.28</v>
      </c>
      <c r="AG176">
        <v>54.41</v>
      </c>
      <c r="AH176">
        <v>45.57</v>
      </c>
      <c r="AI176">
        <v>47.99</v>
      </c>
    </row>
    <row r="177" spans="1:35" x14ac:dyDescent="0.45">
      <c r="A177" s="2">
        <v>45848</v>
      </c>
      <c r="B177">
        <v>29.32</v>
      </c>
      <c r="C177">
        <v>31.1</v>
      </c>
      <c r="D177">
        <v>17.760000000000002</v>
      </c>
      <c r="E177">
        <v>27.19</v>
      </c>
      <c r="F177">
        <v>32.049999999999997</v>
      </c>
      <c r="G177">
        <v>49.12</v>
      </c>
      <c r="H177">
        <v>24.11</v>
      </c>
      <c r="I177">
        <v>58.38</v>
      </c>
      <c r="J177">
        <v>60.29</v>
      </c>
      <c r="K177">
        <v>73.14</v>
      </c>
      <c r="L177">
        <v>27.72</v>
      </c>
      <c r="M177">
        <v>53.95</v>
      </c>
      <c r="N177">
        <v>61.32</v>
      </c>
      <c r="O177">
        <v>55.27</v>
      </c>
      <c r="P177">
        <v>55.01</v>
      </c>
      <c r="Q177">
        <v>18.75</v>
      </c>
      <c r="R177">
        <v>1110.4000000000001</v>
      </c>
      <c r="S177">
        <v>33.25</v>
      </c>
      <c r="T177">
        <v>19.079999999999998</v>
      </c>
      <c r="U177">
        <v>15.12</v>
      </c>
      <c r="V177">
        <v>39</v>
      </c>
      <c r="W177">
        <v>46.01</v>
      </c>
      <c r="X177">
        <v>26.58</v>
      </c>
      <c r="Y177">
        <v>46.41</v>
      </c>
      <c r="Z177">
        <v>42.86</v>
      </c>
      <c r="AA177">
        <v>72.94</v>
      </c>
      <c r="AB177">
        <v>55.45</v>
      </c>
      <c r="AC177">
        <v>40.270000000000003</v>
      </c>
      <c r="AD177">
        <v>555.45000000000005</v>
      </c>
      <c r="AE177">
        <v>625.82000000000005</v>
      </c>
      <c r="AF177">
        <v>43.75</v>
      </c>
      <c r="AG177">
        <v>54.63</v>
      </c>
      <c r="AH177">
        <v>46.39</v>
      </c>
      <c r="AI177">
        <v>48.53</v>
      </c>
    </row>
    <row r="178" spans="1:35" x14ac:dyDescent="0.45">
      <c r="A178" s="2">
        <v>45847</v>
      </c>
      <c r="B178">
        <v>29.07</v>
      </c>
      <c r="C178">
        <v>31.04</v>
      </c>
      <c r="D178">
        <v>17.47</v>
      </c>
      <c r="E178">
        <v>27.15</v>
      </c>
      <c r="F178">
        <v>32.72</v>
      </c>
      <c r="G178">
        <v>48.81</v>
      </c>
      <c r="H178">
        <v>23.98</v>
      </c>
      <c r="I178">
        <v>58.03</v>
      </c>
      <c r="J178">
        <v>60.28</v>
      </c>
      <c r="K178">
        <v>72.08</v>
      </c>
      <c r="L178">
        <v>28.16</v>
      </c>
      <c r="M178">
        <v>54</v>
      </c>
      <c r="N178">
        <v>61.08</v>
      </c>
      <c r="O178">
        <v>55.66</v>
      </c>
      <c r="P178">
        <v>54.58</v>
      </c>
      <c r="Q178">
        <v>18.75</v>
      </c>
      <c r="R178">
        <v>1110.4000000000001</v>
      </c>
      <c r="S178">
        <v>32.79</v>
      </c>
      <c r="T178">
        <v>19.13</v>
      </c>
      <c r="U178">
        <v>14.89</v>
      </c>
      <c r="V178">
        <v>38.89</v>
      </c>
      <c r="W178">
        <v>46.07</v>
      </c>
      <c r="X178">
        <v>26.24</v>
      </c>
      <c r="Y178">
        <v>46.13</v>
      </c>
      <c r="Z178">
        <v>43.26</v>
      </c>
      <c r="AA178">
        <v>73.3</v>
      </c>
      <c r="AB178">
        <v>55.28</v>
      </c>
      <c r="AC178">
        <v>40.01</v>
      </c>
      <c r="AD178">
        <v>556.25</v>
      </c>
      <c r="AE178">
        <v>624.05999999999995</v>
      </c>
      <c r="AF178">
        <v>43.84</v>
      </c>
      <c r="AG178">
        <v>54.58</v>
      </c>
      <c r="AH178">
        <v>46.05</v>
      </c>
      <c r="AI178">
        <v>49.17</v>
      </c>
    </row>
    <row r="179" spans="1:35" x14ac:dyDescent="0.45">
      <c r="A179" s="2">
        <v>45846</v>
      </c>
      <c r="B179">
        <v>29.12</v>
      </c>
      <c r="C179">
        <v>31.41</v>
      </c>
      <c r="D179">
        <v>17.309999999999999</v>
      </c>
      <c r="E179">
        <v>26.78</v>
      </c>
      <c r="F179">
        <v>32.619999999999997</v>
      </c>
      <c r="G179">
        <v>49.3</v>
      </c>
      <c r="H179">
        <v>23.95</v>
      </c>
      <c r="I179">
        <v>57.66</v>
      </c>
      <c r="J179">
        <v>60.89</v>
      </c>
      <c r="K179">
        <v>72.08</v>
      </c>
      <c r="L179">
        <v>28.71</v>
      </c>
      <c r="M179">
        <v>53.81</v>
      </c>
      <c r="N179">
        <v>60.9</v>
      </c>
      <c r="O179">
        <v>55.69</v>
      </c>
      <c r="P179">
        <v>55.13</v>
      </c>
      <c r="Q179">
        <v>18.73</v>
      </c>
      <c r="R179">
        <v>1115.6500000000001</v>
      </c>
      <c r="S179">
        <v>32.119999999999997</v>
      </c>
      <c r="T179">
        <v>18.84</v>
      </c>
      <c r="U179">
        <v>14.51</v>
      </c>
      <c r="V179">
        <v>38.9</v>
      </c>
      <c r="W179">
        <v>45.98</v>
      </c>
      <c r="X179">
        <v>26.14</v>
      </c>
      <c r="Y179">
        <v>46</v>
      </c>
      <c r="Z179">
        <v>42.59</v>
      </c>
      <c r="AA179">
        <v>73.19</v>
      </c>
      <c r="AB179">
        <v>54.82</v>
      </c>
      <c r="AC179">
        <v>39.79</v>
      </c>
      <c r="AD179">
        <v>552.34</v>
      </c>
      <c r="AE179">
        <v>620.34</v>
      </c>
      <c r="AF179">
        <v>43.27</v>
      </c>
      <c r="AG179">
        <v>54.33</v>
      </c>
      <c r="AH179">
        <v>45.55</v>
      </c>
      <c r="AI179">
        <v>48.34</v>
      </c>
    </row>
    <row r="180" spans="1:35" x14ac:dyDescent="0.45">
      <c r="A180" s="2">
        <v>45845</v>
      </c>
      <c r="B180">
        <v>28.86</v>
      </c>
      <c r="C180">
        <v>31.02</v>
      </c>
      <c r="D180">
        <v>17.34</v>
      </c>
      <c r="E180">
        <v>26.72</v>
      </c>
      <c r="F180">
        <v>32.25</v>
      </c>
      <c r="G180">
        <v>49.62</v>
      </c>
      <c r="H180">
        <v>23.93</v>
      </c>
      <c r="I180">
        <v>57.63</v>
      </c>
      <c r="J180">
        <v>61.11</v>
      </c>
      <c r="K180">
        <v>70.069999999999993</v>
      </c>
      <c r="L180">
        <v>28.6</v>
      </c>
      <c r="M180">
        <v>53.84</v>
      </c>
      <c r="N180">
        <v>59.12</v>
      </c>
      <c r="O180">
        <v>55.36</v>
      </c>
      <c r="P180">
        <v>54.62</v>
      </c>
      <c r="Q180">
        <v>18.68</v>
      </c>
      <c r="R180">
        <v>1123</v>
      </c>
      <c r="S180">
        <v>32.44</v>
      </c>
      <c r="T180">
        <v>18.86</v>
      </c>
      <c r="U180">
        <v>14.18</v>
      </c>
      <c r="V180">
        <v>39.08</v>
      </c>
      <c r="W180">
        <v>45.5</v>
      </c>
      <c r="X180">
        <v>25.98</v>
      </c>
      <c r="Y180">
        <v>46.18</v>
      </c>
      <c r="Z180">
        <v>42.23</v>
      </c>
      <c r="AA180">
        <v>72.819999999999993</v>
      </c>
      <c r="AB180">
        <v>54.53</v>
      </c>
      <c r="AC180">
        <v>39.42</v>
      </c>
      <c r="AD180">
        <v>552.03</v>
      </c>
      <c r="AE180">
        <v>620.67999999999995</v>
      </c>
      <c r="AF180">
        <v>42.68</v>
      </c>
      <c r="AG180">
        <v>53.98</v>
      </c>
      <c r="AH180">
        <v>45.52</v>
      </c>
      <c r="AI180">
        <v>47.87</v>
      </c>
    </row>
    <row r="181" spans="1:35" x14ac:dyDescent="0.45">
      <c r="A181" s="2">
        <v>45842</v>
      </c>
      <c r="B181">
        <v>28.91</v>
      </c>
      <c r="C181">
        <v>31.82</v>
      </c>
      <c r="D181">
        <v>17.47</v>
      </c>
      <c r="E181">
        <v>27.08</v>
      </c>
      <c r="F181">
        <v>32.82</v>
      </c>
      <c r="G181">
        <v>50.06</v>
      </c>
      <c r="H181">
        <v>24.41</v>
      </c>
      <c r="I181">
        <v>59.44</v>
      </c>
      <c r="J181">
        <v>61.7</v>
      </c>
      <c r="K181">
        <v>72.7</v>
      </c>
      <c r="L181">
        <v>29.31</v>
      </c>
      <c r="M181">
        <v>54.79</v>
      </c>
      <c r="N181">
        <v>59.72</v>
      </c>
      <c r="O181">
        <v>55.79</v>
      </c>
      <c r="P181">
        <v>54.72</v>
      </c>
      <c r="Q181">
        <v>18.63</v>
      </c>
      <c r="R181">
        <v>1119.94</v>
      </c>
      <c r="S181">
        <v>33.04</v>
      </c>
      <c r="T181">
        <v>18.84</v>
      </c>
      <c r="U181">
        <v>13.96</v>
      </c>
      <c r="V181">
        <v>38.89</v>
      </c>
      <c r="W181">
        <v>45.96</v>
      </c>
      <c r="X181">
        <v>26.48</v>
      </c>
      <c r="Y181">
        <v>46.67</v>
      </c>
      <c r="Z181">
        <v>42.21</v>
      </c>
      <c r="AA181">
        <v>74.599999999999994</v>
      </c>
      <c r="AB181">
        <v>54.9</v>
      </c>
      <c r="AC181">
        <v>39.82</v>
      </c>
      <c r="AD181">
        <v>556.22</v>
      </c>
      <c r="AE181">
        <v>625.34</v>
      </c>
      <c r="AF181">
        <v>43.08</v>
      </c>
      <c r="AG181">
        <v>54.29</v>
      </c>
      <c r="AH181">
        <v>45.62</v>
      </c>
      <c r="AI181">
        <v>48.21</v>
      </c>
    </row>
    <row r="182" spans="1:35" x14ac:dyDescent="0.45">
      <c r="A182" s="2">
        <v>45841</v>
      </c>
      <c r="B182">
        <v>28.91</v>
      </c>
      <c r="C182">
        <v>31.82</v>
      </c>
      <c r="D182">
        <v>17.47</v>
      </c>
      <c r="E182">
        <v>27.08</v>
      </c>
      <c r="F182">
        <v>32.82</v>
      </c>
      <c r="G182">
        <v>50.06</v>
      </c>
      <c r="H182">
        <v>24.41</v>
      </c>
      <c r="I182">
        <v>59.44</v>
      </c>
      <c r="J182">
        <v>61.7</v>
      </c>
      <c r="K182">
        <v>72.7</v>
      </c>
      <c r="L182">
        <v>29.31</v>
      </c>
      <c r="M182">
        <v>54.79</v>
      </c>
      <c r="N182">
        <v>59.72</v>
      </c>
      <c r="O182">
        <v>55.79</v>
      </c>
      <c r="P182">
        <v>54.72</v>
      </c>
      <c r="Q182">
        <v>18.63</v>
      </c>
      <c r="R182">
        <v>1127.21</v>
      </c>
      <c r="S182">
        <v>33.04</v>
      </c>
      <c r="T182">
        <v>18.84</v>
      </c>
      <c r="U182">
        <v>13.96</v>
      </c>
      <c r="V182">
        <v>38.89</v>
      </c>
      <c r="W182">
        <v>45.96</v>
      </c>
      <c r="X182">
        <v>26.48</v>
      </c>
      <c r="Y182">
        <v>46.67</v>
      </c>
      <c r="Z182">
        <v>42.21</v>
      </c>
      <c r="AA182">
        <v>74.599999999999994</v>
      </c>
      <c r="AB182">
        <v>54.9</v>
      </c>
      <c r="AC182">
        <v>39.82</v>
      </c>
      <c r="AD182">
        <v>556.22</v>
      </c>
      <c r="AE182">
        <v>625.34</v>
      </c>
      <c r="AF182">
        <v>43.08</v>
      </c>
      <c r="AG182">
        <v>54.29</v>
      </c>
      <c r="AH182">
        <v>45.62</v>
      </c>
      <c r="AI182">
        <v>48.21</v>
      </c>
    </row>
    <row r="183" spans="1:35" x14ac:dyDescent="0.45">
      <c r="A183" s="2">
        <v>45840</v>
      </c>
      <c r="B183">
        <v>28.7</v>
      </c>
      <c r="C183">
        <v>31.85</v>
      </c>
      <c r="D183">
        <v>17.48</v>
      </c>
      <c r="E183">
        <v>27</v>
      </c>
      <c r="F183">
        <v>32.19</v>
      </c>
      <c r="G183">
        <v>49.75</v>
      </c>
      <c r="H183">
        <v>24.41</v>
      </c>
      <c r="I183">
        <v>58.75</v>
      </c>
      <c r="J183">
        <v>61.59</v>
      </c>
      <c r="K183">
        <v>71.95</v>
      </c>
      <c r="L183">
        <v>28.91</v>
      </c>
      <c r="M183">
        <v>54.31</v>
      </c>
      <c r="N183">
        <v>59.34</v>
      </c>
      <c r="O183">
        <v>55.6</v>
      </c>
      <c r="P183">
        <v>55</v>
      </c>
      <c r="Q183">
        <v>18.559999999999999</v>
      </c>
      <c r="R183">
        <v>1115.69</v>
      </c>
      <c r="S183">
        <v>33.07</v>
      </c>
      <c r="T183">
        <v>18.600000000000001</v>
      </c>
      <c r="U183">
        <v>13.76</v>
      </c>
      <c r="V183">
        <v>38.44</v>
      </c>
      <c r="W183">
        <v>46.265000000000001</v>
      </c>
      <c r="X183">
        <v>26.54</v>
      </c>
      <c r="Y183">
        <v>46.33</v>
      </c>
      <c r="Z183">
        <v>42.17</v>
      </c>
      <c r="AA183">
        <v>74.459999999999994</v>
      </c>
      <c r="AB183">
        <v>55.27</v>
      </c>
      <c r="AC183">
        <v>39.61</v>
      </c>
      <c r="AD183">
        <v>550.79999999999995</v>
      </c>
      <c r="AE183">
        <v>620.45000000000005</v>
      </c>
      <c r="AF183">
        <v>43.27</v>
      </c>
      <c r="AG183">
        <v>54.3</v>
      </c>
      <c r="AH183">
        <v>45.51</v>
      </c>
      <c r="AI183">
        <v>48.29</v>
      </c>
    </row>
    <row r="184" spans="1:35" x14ac:dyDescent="0.45">
      <c r="A184" s="2">
        <v>45839</v>
      </c>
      <c r="B184">
        <v>28.71</v>
      </c>
      <c r="C184">
        <v>31.51</v>
      </c>
      <c r="D184">
        <v>17.489999999999998</v>
      </c>
      <c r="E184">
        <v>27.14</v>
      </c>
      <c r="F184">
        <v>32.06</v>
      </c>
      <c r="G184">
        <v>48.857199999999999</v>
      </c>
      <c r="H184">
        <v>24.38</v>
      </c>
      <c r="I184">
        <v>57.58</v>
      </c>
      <c r="J184">
        <v>61.12</v>
      </c>
      <c r="K184">
        <v>71.64</v>
      </c>
      <c r="L184">
        <v>28.79</v>
      </c>
      <c r="M184">
        <v>54.21</v>
      </c>
      <c r="N184">
        <v>58.63</v>
      </c>
      <c r="O184">
        <v>55.84</v>
      </c>
      <c r="P184">
        <v>55.27</v>
      </c>
      <c r="Q184">
        <v>18.579999999999998</v>
      </c>
      <c r="R184">
        <v>1110.01</v>
      </c>
      <c r="S184">
        <v>32.479999999999997</v>
      </c>
      <c r="T184">
        <v>18.66</v>
      </c>
      <c r="U184">
        <v>13.72</v>
      </c>
      <c r="V184">
        <v>38.25</v>
      </c>
      <c r="W184">
        <v>45.96</v>
      </c>
      <c r="X184">
        <v>26.35</v>
      </c>
      <c r="Y184">
        <v>46.19</v>
      </c>
      <c r="Z184">
        <v>42.01</v>
      </c>
      <c r="AA184">
        <v>74.42</v>
      </c>
      <c r="AB184">
        <v>54.98</v>
      </c>
      <c r="AC184">
        <v>39.85</v>
      </c>
      <c r="AD184">
        <v>546.99</v>
      </c>
      <c r="AE184">
        <v>617.65</v>
      </c>
      <c r="AF184">
        <v>42.87</v>
      </c>
      <c r="AG184">
        <v>54.07</v>
      </c>
      <c r="AH184">
        <v>45.19</v>
      </c>
      <c r="AI184">
        <v>48.05</v>
      </c>
    </row>
    <row r="185" spans="1:35" x14ac:dyDescent="0.45">
      <c r="A185" s="2">
        <v>45838</v>
      </c>
      <c r="B185">
        <v>28.71</v>
      </c>
      <c r="C185">
        <v>31.45</v>
      </c>
      <c r="D185">
        <v>17.63</v>
      </c>
      <c r="E185">
        <v>27.12</v>
      </c>
      <c r="F185">
        <v>32.26</v>
      </c>
      <c r="G185">
        <v>48.59</v>
      </c>
      <c r="H185">
        <v>24.34</v>
      </c>
      <c r="I185">
        <v>57.4</v>
      </c>
      <c r="J185">
        <v>60.56</v>
      </c>
      <c r="K185">
        <v>71.78</v>
      </c>
      <c r="L185">
        <v>28.85</v>
      </c>
      <c r="M185">
        <v>53.75</v>
      </c>
      <c r="N185">
        <v>58.04</v>
      </c>
      <c r="O185">
        <v>55.68</v>
      </c>
      <c r="P185">
        <v>55.1</v>
      </c>
      <c r="Q185">
        <v>18.62</v>
      </c>
      <c r="R185">
        <v>1089.56</v>
      </c>
      <c r="S185">
        <v>32.26</v>
      </c>
      <c r="T185">
        <v>18.72</v>
      </c>
      <c r="U185">
        <v>13.75</v>
      </c>
      <c r="V185">
        <v>38.54</v>
      </c>
      <c r="W185">
        <v>45.61</v>
      </c>
      <c r="X185">
        <v>26.32</v>
      </c>
      <c r="Y185">
        <v>46.2</v>
      </c>
      <c r="Z185">
        <v>42.31</v>
      </c>
      <c r="AA185">
        <v>74.97</v>
      </c>
      <c r="AB185">
        <v>54.81</v>
      </c>
      <c r="AC185">
        <v>39.72</v>
      </c>
      <c r="AD185">
        <v>551.64</v>
      </c>
      <c r="AE185">
        <v>617.85</v>
      </c>
      <c r="AF185">
        <v>42.8</v>
      </c>
      <c r="AG185">
        <v>54.5</v>
      </c>
      <c r="AH185">
        <v>45.74</v>
      </c>
      <c r="AI185">
        <v>48.14</v>
      </c>
    </row>
    <row r="186" spans="1:35" x14ac:dyDescent="0.45">
      <c r="A186" s="2">
        <v>45835</v>
      </c>
      <c r="B186">
        <v>28.46</v>
      </c>
      <c r="C186">
        <v>31.05</v>
      </c>
      <c r="D186">
        <v>17.489999999999998</v>
      </c>
      <c r="E186">
        <v>27.23</v>
      </c>
      <c r="F186">
        <v>31.69</v>
      </c>
      <c r="G186">
        <v>48.49</v>
      </c>
      <c r="H186">
        <v>24.07</v>
      </c>
      <c r="I186">
        <v>57.85</v>
      </c>
      <c r="J186">
        <v>60.32</v>
      </c>
      <c r="K186">
        <v>70.739999999999995</v>
      </c>
      <c r="L186">
        <v>28.14</v>
      </c>
      <c r="M186">
        <v>52.64</v>
      </c>
      <c r="N186">
        <v>58.17</v>
      </c>
      <c r="O186">
        <v>55.86</v>
      </c>
      <c r="P186">
        <v>55.18</v>
      </c>
      <c r="Q186">
        <v>18.57</v>
      </c>
      <c r="R186">
        <v>1082.42</v>
      </c>
      <c r="S186">
        <v>30.49</v>
      </c>
      <c r="T186">
        <v>18.57</v>
      </c>
      <c r="U186">
        <v>13.73</v>
      </c>
      <c r="V186">
        <v>38.26</v>
      </c>
      <c r="W186">
        <v>45.37</v>
      </c>
      <c r="X186">
        <v>26.09</v>
      </c>
      <c r="Y186">
        <v>45.58</v>
      </c>
      <c r="Z186">
        <v>42.3</v>
      </c>
      <c r="AA186">
        <v>75.28</v>
      </c>
      <c r="AB186">
        <v>54.63</v>
      </c>
      <c r="AC186">
        <v>39.72</v>
      </c>
      <c r="AD186">
        <v>548.09</v>
      </c>
      <c r="AE186">
        <v>614.91</v>
      </c>
      <c r="AF186">
        <v>42.61</v>
      </c>
      <c r="AG186">
        <v>54.36</v>
      </c>
      <c r="AH186">
        <v>46.02</v>
      </c>
      <c r="AI186">
        <v>47.86</v>
      </c>
    </row>
    <row r="187" spans="1:35" x14ac:dyDescent="0.45">
      <c r="A187" s="2">
        <v>45834</v>
      </c>
      <c r="B187">
        <v>28.79</v>
      </c>
      <c r="C187">
        <v>31.26</v>
      </c>
      <c r="D187">
        <v>17.510000000000002</v>
      </c>
      <c r="E187">
        <v>26.85</v>
      </c>
      <c r="F187">
        <v>31.65</v>
      </c>
      <c r="G187">
        <v>49.107799999999997</v>
      </c>
      <c r="H187">
        <v>24.07</v>
      </c>
      <c r="I187">
        <v>57.85</v>
      </c>
      <c r="J187">
        <v>60.31</v>
      </c>
      <c r="K187">
        <v>71.94</v>
      </c>
      <c r="L187">
        <v>28.13</v>
      </c>
      <c r="M187">
        <v>52.98</v>
      </c>
      <c r="N187">
        <v>59.31</v>
      </c>
      <c r="O187">
        <v>55.71</v>
      </c>
      <c r="P187">
        <v>55.54</v>
      </c>
      <c r="Q187">
        <v>18.53</v>
      </c>
      <c r="R187">
        <v>1106.73</v>
      </c>
      <c r="S187">
        <v>30.19</v>
      </c>
      <c r="T187">
        <v>18.5</v>
      </c>
      <c r="U187">
        <v>13.61</v>
      </c>
      <c r="V187">
        <v>38.159999999999997</v>
      </c>
      <c r="W187">
        <v>45.32</v>
      </c>
      <c r="X187">
        <v>26.43</v>
      </c>
      <c r="Y187">
        <v>45.92</v>
      </c>
      <c r="Z187">
        <v>41.64</v>
      </c>
      <c r="AA187">
        <v>73.97</v>
      </c>
      <c r="AB187">
        <v>54.26</v>
      </c>
      <c r="AC187">
        <v>39.69</v>
      </c>
      <c r="AD187">
        <v>546.22</v>
      </c>
      <c r="AE187">
        <v>611.87</v>
      </c>
      <c r="AF187">
        <v>42.14</v>
      </c>
      <c r="AG187">
        <v>53.97</v>
      </c>
      <c r="AH187">
        <v>45.33</v>
      </c>
      <c r="AI187">
        <v>47.5</v>
      </c>
    </row>
    <row r="188" spans="1:35" x14ac:dyDescent="0.45">
      <c r="A188" s="2">
        <v>45833</v>
      </c>
      <c r="B188">
        <v>28.805</v>
      </c>
      <c r="C188">
        <v>30.86</v>
      </c>
      <c r="D188">
        <v>17.18</v>
      </c>
      <c r="E188">
        <v>26.81</v>
      </c>
      <c r="F188">
        <v>30.57</v>
      </c>
      <c r="G188">
        <v>47.315899999999999</v>
      </c>
      <c r="H188">
        <v>23.82</v>
      </c>
      <c r="I188">
        <v>57.31</v>
      </c>
      <c r="J188">
        <v>59.68</v>
      </c>
      <c r="K188">
        <v>72.37</v>
      </c>
      <c r="L188">
        <v>27.57</v>
      </c>
      <c r="M188">
        <v>52.89</v>
      </c>
      <c r="N188">
        <v>58.42</v>
      </c>
      <c r="O188">
        <v>55</v>
      </c>
      <c r="P188">
        <v>55.53</v>
      </c>
      <c r="Q188">
        <v>18.36</v>
      </c>
      <c r="R188">
        <v>1107.69</v>
      </c>
      <c r="S188">
        <v>30.68</v>
      </c>
      <c r="T188">
        <v>18.22</v>
      </c>
      <c r="U188">
        <v>13.54</v>
      </c>
      <c r="V188">
        <v>37.82</v>
      </c>
      <c r="W188">
        <v>44.6</v>
      </c>
      <c r="X188">
        <v>26.03</v>
      </c>
      <c r="Y188">
        <v>45.32</v>
      </c>
      <c r="Z188">
        <v>41.15</v>
      </c>
      <c r="AA188">
        <v>72.44</v>
      </c>
      <c r="AB188">
        <v>53.75</v>
      </c>
      <c r="AC188">
        <v>39.28</v>
      </c>
      <c r="AD188">
        <v>541.16</v>
      </c>
      <c r="AE188">
        <v>607.12</v>
      </c>
      <c r="AF188">
        <v>41.89</v>
      </c>
      <c r="AG188">
        <v>53.8</v>
      </c>
      <c r="AH188">
        <v>44.67</v>
      </c>
      <c r="AI188">
        <v>47.17</v>
      </c>
    </row>
    <row r="189" spans="1:35" x14ac:dyDescent="0.45">
      <c r="A189" s="2">
        <v>45832</v>
      </c>
      <c r="B189">
        <v>28.55</v>
      </c>
      <c r="C189">
        <v>30.96</v>
      </c>
      <c r="D189">
        <v>17.38</v>
      </c>
      <c r="E189">
        <v>26.61</v>
      </c>
      <c r="F189">
        <v>30.56</v>
      </c>
      <c r="G189">
        <v>47.313000000000002</v>
      </c>
      <c r="H189">
        <v>23.77</v>
      </c>
      <c r="I189">
        <v>56.82</v>
      </c>
      <c r="J189">
        <v>59.21</v>
      </c>
      <c r="K189">
        <v>72.650000000000006</v>
      </c>
      <c r="L189">
        <v>27.98</v>
      </c>
      <c r="M189">
        <v>53.46</v>
      </c>
      <c r="N189">
        <v>57.86</v>
      </c>
      <c r="O189">
        <v>54.8</v>
      </c>
      <c r="P189">
        <v>55.57</v>
      </c>
      <c r="Q189">
        <v>18.25</v>
      </c>
      <c r="R189">
        <v>1100.01</v>
      </c>
      <c r="S189">
        <v>30.86</v>
      </c>
      <c r="T189">
        <v>18.3</v>
      </c>
      <c r="U189">
        <v>13.62</v>
      </c>
      <c r="V189">
        <v>37.72</v>
      </c>
      <c r="W189">
        <v>44.79</v>
      </c>
      <c r="X189">
        <v>26.05</v>
      </c>
      <c r="Y189">
        <v>45.62</v>
      </c>
      <c r="Z189">
        <v>41.39</v>
      </c>
      <c r="AA189">
        <v>72.739999999999995</v>
      </c>
      <c r="AB189">
        <v>54.32</v>
      </c>
      <c r="AC189">
        <v>39.409999999999997</v>
      </c>
      <c r="AD189">
        <v>539.78</v>
      </c>
      <c r="AE189">
        <v>606.78</v>
      </c>
      <c r="AF189">
        <v>42.04</v>
      </c>
      <c r="AG189">
        <v>54.16</v>
      </c>
      <c r="AH189">
        <v>44.95</v>
      </c>
      <c r="AI189">
        <v>47.2</v>
      </c>
    </row>
    <row r="190" spans="1:35" x14ac:dyDescent="0.45">
      <c r="A190" s="2">
        <v>45831</v>
      </c>
      <c r="B190">
        <v>28.03</v>
      </c>
      <c r="C190">
        <v>30.03</v>
      </c>
      <c r="D190">
        <v>16.89</v>
      </c>
      <c r="E190">
        <v>25.96</v>
      </c>
      <c r="F190">
        <v>29.51</v>
      </c>
      <c r="G190">
        <v>46.97</v>
      </c>
      <c r="H190">
        <v>23.53</v>
      </c>
      <c r="I190">
        <v>55.18</v>
      </c>
      <c r="J190">
        <v>57.94</v>
      </c>
      <c r="K190">
        <v>69.42</v>
      </c>
      <c r="L190">
        <v>27.66</v>
      </c>
      <c r="M190">
        <v>52.35</v>
      </c>
      <c r="N190">
        <v>56.55</v>
      </c>
      <c r="O190">
        <v>54.31</v>
      </c>
      <c r="P190">
        <v>54.13</v>
      </c>
      <c r="Q190">
        <v>17.96</v>
      </c>
      <c r="R190">
        <v>1062.78</v>
      </c>
      <c r="S190">
        <v>30.08</v>
      </c>
      <c r="T190">
        <v>17.66</v>
      </c>
      <c r="U190">
        <v>13.4</v>
      </c>
      <c r="V190">
        <v>37.1</v>
      </c>
      <c r="W190">
        <v>44.86</v>
      </c>
      <c r="X190">
        <v>25.79</v>
      </c>
      <c r="Y190">
        <v>45.33</v>
      </c>
      <c r="Z190">
        <v>40.75</v>
      </c>
      <c r="AA190">
        <v>72.02</v>
      </c>
      <c r="AB190">
        <v>53.46</v>
      </c>
      <c r="AC190">
        <v>39.17</v>
      </c>
      <c r="AD190">
        <v>531.65</v>
      </c>
      <c r="AE190">
        <v>600.15</v>
      </c>
      <c r="AF190">
        <v>41.57</v>
      </c>
      <c r="AG190">
        <v>53.03</v>
      </c>
      <c r="AH190">
        <v>43.96</v>
      </c>
      <c r="AI190">
        <v>46.45</v>
      </c>
    </row>
    <row r="191" spans="1:35" x14ac:dyDescent="0.45">
      <c r="A191" s="2">
        <v>45828</v>
      </c>
      <c r="B191">
        <v>27.925000000000001</v>
      </c>
      <c r="C191">
        <v>30.1</v>
      </c>
      <c r="D191">
        <v>17.18</v>
      </c>
      <c r="E191">
        <v>26.5</v>
      </c>
      <c r="F191">
        <v>29.72</v>
      </c>
      <c r="G191">
        <v>47.08</v>
      </c>
      <c r="H191">
        <v>23.41</v>
      </c>
      <c r="I191">
        <v>54.84</v>
      </c>
      <c r="J191">
        <v>58.11</v>
      </c>
      <c r="K191">
        <v>68.53</v>
      </c>
      <c r="L191">
        <v>27.67</v>
      </c>
      <c r="M191">
        <v>51.73</v>
      </c>
      <c r="N191">
        <v>54.71</v>
      </c>
      <c r="O191">
        <v>53.9</v>
      </c>
      <c r="P191">
        <v>53.5</v>
      </c>
      <c r="Q191">
        <v>17.72</v>
      </c>
      <c r="R191">
        <v>1067.6300000000001</v>
      </c>
      <c r="S191">
        <v>29.96</v>
      </c>
      <c r="T191">
        <v>17.260000000000002</v>
      </c>
      <c r="U191">
        <v>13.345000000000001</v>
      </c>
      <c r="V191">
        <v>36.56</v>
      </c>
      <c r="W191">
        <v>44.6</v>
      </c>
      <c r="X191">
        <v>25.55</v>
      </c>
      <c r="Y191">
        <v>45.1</v>
      </c>
      <c r="Z191">
        <v>40.340000000000003</v>
      </c>
      <c r="AA191">
        <v>71.760000000000005</v>
      </c>
      <c r="AB191">
        <v>52.68</v>
      </c>
      <c r="AC191">
        <v>38.9</v>
      </c>
      <c r="AD191">
        <v>526.83000000000004</v>
      </c>
      <c r="AE191">
        <v>594.28</v>
      </c>
      <c r="AF191">
        <v>41.29</v>
      </c>
      <c r="AG191">
        <v>51.892699999999998</v>
      </c>
      <c r="AH191">
        <v>43.81</v>
      </c>
      <c r="AI191">
        <v>46.36</v>
      </c>
    </row>
    <row r="192" spans="1:35" x14ac:dyDescent="0.45">
      <c r="A192" s="2">
        <v>45827</v>
      </c>
      <c r="B192">
        <v>27.96</v>
      </c>
      <c r="C192">
        <v>30.34</v>
      </c>
      <c r="D192">
        <v>17.87</v>
      </c>
      <c r="E192">
        <v>26.7</v>
      </c>
      <c r="F192">
        <v>29.36</v>
      </c>
      <c r="G192">
        <v>47.413699999999999</v>
      </c>
      <c r="H192">
        <v>23.59</v>
      </c>
      <c r="I192">
        <v>56.03</v>
      </c>
      <c r="J192">
        <v>58.97</v>
      </c>
      <c r="K192">
        <v>67.87</v>
      </c>
      <c r="L192">
        <v>28.08</v>
      </c>
      <c r="M192">
        <v>51.8</v>
      </c>
      <c r="N192">
        <v>54.58</v>
      </c>
      <c r="O192">
        <v>53.79</v>
      </c>
      <c r="P192">
        <v>53.93</v>
      </c>
      <c r="Q192">
        <v>17.82</v>
      </c>
      <c r="R192">
        <v>1068.73</v>
      </c>
      <c r="S192">
        <v>30.11</v>
      </c>
      <c r="T192">
        <v>16.989999999999998</v>
      </c>
      <c r="U192">
        <v>13.36</v>
      </c>
      <c r="V192">
        <v>36.36</v>
      </c>
      <c r="W192">
        <v>45.08</v>
      </c>
      <c r="X192">
        <v>25.86</v>
      </c>
      <c r="Y192">
        <v>45.32</v>
      </c>
      <c r="Z192">
        <v>40.28</v>
      </c>
      <c r="AA192">
        <v>73.05</v>
      </c>
      <c r="AB192">
        <v>53.25</v>
      </c>
      <c r="AC192">
        <v>39.22</v>
      </c>
      <c r="AD192">
        <v>528.99</v>
      </c>
      <c r="AE192">
        <v>597.44000000000005</v>
      </c>
      <c r="AF192">
        <v>41.67</v>
      </c>
      <c r="AG192">
        <v>52.247599999999998</v>
      </c>
      <c r="AH192">
        <v>43.98</v>
      </c>
      <c r="AI192">
        <v>46.46</v>
      </c>
    </row>
    <row r="193" spans="1:35" x14ac:dyDescent="0.45">
      <c r="A193" s="2">
        <v>45826</v>
      </c>
      <c r="B193">
        <v>27.96</v>
      </c>
      <c r="C193">
        <v>30.34</v>
      </c>
      <c r="D193">
        <v>17.87</v>
      </c>
      <c r="E193">
        <v>26.7</v>
      </c>
      <c r="F193">
        <v>29.36</v>
      </c>
      <c r="G193">
        <v>47.413699999999999</v>
      </c>
      <c r="H193">
        <v>23.59</v>
      </c>
      <c r="I193">
        <v>56.03</v>
      </c>
      <c r="J193">
        <v>58.97</v>
      </c>
      <c r="K193">
        <v>67.87</v>
      </c>
      <c r="L193">
        <v>28.08</v>
      </c>
      <c r="M193">
        <v>51.8</v>
      </c>
      <c r="N193">
        <v>54.58</v>
      </c>
      <c r="O193">
        <v>53.79</v>
      </c>
      <c r="P193">
        <v>53.93</v>
      </c>
      <c r="Q193">
        <v>17.82</v>
      </c>
      <c r="R193">
        <v>1094.58</v>
      </c>
      <c r="S193">
        <v>30.11</v>
      </c>
      <c r="T193">
        <v>16.989999999999998</v>
      </c>
      <c r="U193">
        <v>13.36</v>
      </c>
      <c r="V193">
        <v>36.36</v>
      </c>
      <c r="W193">
        <v>45.08</v>
      </c>
      <c r="X193">
        <v>25.86</v>
      </c>
      <c r="Y193">
        <v>45.32</v>
      </c>
      <c r="Z193">
        <v>40.28</v>
      </c>
      <c r="AA193">
        <v>73.05</v>
      </c>
      <c r="AB193">
        <v>53.25</v>
      </c>
      <c r="AC193">
        <v>39.22</v>
      </c>
      <c r="AD193">
        <v>528.99</v>
      </c>
      <c r="AE193">
        <v>597.44000000000005</v>
      </c>
      <c r="AF193">
        <v>41.67</v>
      </c>
      <c r="AG193">
        <v>52.247599999999998</v>
      </c>
      <c r="AH193">
        <v>43.98</v>
      </c>
      <c r="AI193">
        <v>46.46</v>
      </c>
    </row>
    <row r="194" spans="1:35" x14ac:dyDescent="0.45">
      <c r="A194" s="2">
        <v>45825</v>
      </c>
      <c r="B194">
        <v>28</v>
      </c>
      <c r="C194">
        <v>30.45</v>
      </c>
      <c r="D194">
        <v>18.02</v>
      </c>
      <c r="E194">
        <v>26.98</v>
      </c>
      <c r="F194">
        <v>29.39</v>
      </c>
      <c r="G194">
        <v>47.62</v>
      </c>
      <c r="H194">
        <v>23.53</v>
      </c>
      <c r="I194">
        <v>55.65</v>
      </c>
      <c r="J194">
        <v>58.91</v>
      </c>
      <c r="K194">
        <v>66.63</v>
      </c>
      <c r="L194">
        <v>28.11</v>
      </c>
      <c r="M194">
        <v>51.56</v>
      </c>
      <c r="N194">
        <v>54.88</v>
      </c>
      <c r="O194">
        <v>53.83</v>
      </c>
      <c r="P194">
        <v>54.44</v>
      </c>
      <c r="Q194">
        <v>17.895</v>
      </c>
      <c r="R194">
        <v>1113.58</v>
      </c>
      <c r="S194">
        <v>30.21</v>
      </c>
      <c r="T194">
        <v>17.239999999999998</v>
      </c>
      <c r="U194">
        <v>13.31</v>
      </c>
      <c r="V194">
        <v>36.83</v>
      </c>
      <c r="W194">
        <v>45.09</v>
      </c>
      <c r="X194">
        <v>25.77</v>
      </c>
      <c r="Y194">
        <v>45.45</v>
      </c>
      <c r="Z194">
        <v>40.4</v>
      </c>
      <c r="AA194">
        <v>72.28</v>
      </c>
      <c r="AB194">
        <v>53.42</v>
      </c>
      <c r="AC194">
        <v>39.200000000000003</v>
      </c>
      <c r="AD194">
        <v>529.08000000000004</v>
      </c>
      <c r="AE194">
        <v>597.53</v>
      </c>
      <c r="AF194">
        <v>41.74</v>
      </c>
      <c r="AG194">
        <v>52.33</v>
      </c>
      <c r="AH194">
        <v>44.43</v>
      </c>
      <c r="AI194">
        <v>46.26</v>
      </c>
    </row>
    <row r="195" spans="1:35" x14ac:dyDescent="0.45">
      <c r="A195" s="2">
        <v>45824</v>
      </c>
      <c r="B195">
        <v>28.12</v>
      </c>
      <c r="C195">
        <v>31.11</v>
      </c>
      <c r="D195">
        <v>18.010000000000002</v>
      </c>
      <c r="E195">
        <v>27.35</v>
      </c>
      <c r="F195">
        <v>29.38</v>
      </c>
      <c r="G195">
        <v>47.7117</v>
      </c>
      <c r="H195">
        <v>23.93</v>
      </c>
      <c r="I195">
        <v>56.46</v>
      </c>
      <c r="J195">
        <v>59.82</v>
      </c>
      <c r="K195">
        <v>68.19</v>
      </c>
      <c r="L195">
        <v>28.31</v>
      </c>
      <c r="M195">
        <v>53.04</v>
      </c>
      <c r="N195">
        <v>55.79</v>
      </c>
      <c r="O195">
        <v>54.56</v>
      </c>
      <c r="P195">
        <v>55.01</v>
      </c>
      <c r="Q195">
        <v>18.045000000000002</v>
      </c>
      <c r="R195">
        <v>1114.49</v>
      </c>
      <c r="S195">
        <v>30.63</v>
      </c>
      <c r="T195">
        <v>17.559999999999999</v>
      </c>
      <c r="U195">
        <v>13.26</v>
      </c>
      <c r="V195">
        <v>37.479999999999997</v>
      </c>
      <c r="W195">
        <v>45.97</v>
      </c>
      <c r="X195">
        <v>26.09</v>
      </c>
      <c r="Y195">
        <v>45.76</v>
      </c>
      <c r="Z195">
        <v>41.13</v>
      </c>
      <c r="AA195">
        <v>73.150000000000006</v>
      </c>
      <c r="AB195">
        <v>53.77</v>
      </c>
      <c r="AC195">
        <v>39.619999999999997</v>
      </c>
      <c r="AD195">
        <v>534.29</v>
      </c>
      <c r="AE195">
        <v>602.67999999999995</v>
      </c>
      <c r="AF195">
        <v>42.21</v>
      </c>
      <c r="AG195">
        <v>53.08</v>
      </c>
      <c r="AH195">
        <v>44.91</v>
      </c>
      <c r="AI195">
        <v>47.21</v>
      </c>
    </row>
    <row r="196" spans="1:35" x14ac:dyDescent="0.45">
      <c r="A196" s="2">
        <v>45821</v>
      </c>
      <c r="B196">
        <v>28.15</v>
      </c>
      <c r="C196">
        <v>31.83</v>
      </c>
      <c r="D196">
        <v>18.62</v>
      </c>
      <c r="E196">
        <v>27.66</v>
      </c>
      <c r="F196">
        <v>29.86</v>
      </c>
      <c r="G196">
        <v>48.2913</v>
      </c>
      <c r="H196">
        <v>24.26</v>
      </c>
      <c r="I196">
        <v>55.85</v>
      </c>
      <c r="J196">
        <v>61.06</v>
      </c>
      <c r="K196">
        <v>66.42</v>
      </c>
      <c r="L196">
        <v>28.14</v>
      </c>
      <c r="M196">
        <v>53.3</v>
      </c>
      <c r="N196">
        <v>56</v>
      </c>
      <c r="O196">
        <v>54.04</v>
      </c>
      <c r="P196">
        <v>54.77</v>
      </c>
      <c r="Q196">
        <v>18.2</v>
      </c>
      <c r="R196">
        <v>1122.7</v>
      </c>
      <c r="S196">
        <v>30.75</v>
      </c>
      <c r="T196">
        <v>17.88</v>
      </c>
      <c r="U196">
        <v>13.02</v>
      </c>
      <c r="V196">
        <v>37.130000000000003</v>
      </c>
      <c r="W196">
        <v>45.19</v>
      </c>
      <c r="X196">
        <v>26.32</v>
      </c>
      <c r="Y196">
        <v>45.88</v>
      </c>
      <c r="Z196">
        <v>41.51</v>
      </c>
      <c r="AA196">
        <v>73.599999999999994</v>
      </c>
      <c r="AB196">
        <v>55.22</v>
      </c>
      <c r="AC196">
        <v>40.42</v>
      </c>
      <c r="AD196">
        <v>526.96</v>
      </c>
      <c r="AE196">
        <v>597</v>
      </c>
      <c r="AF196">
        <v>42.83</v>
      </c>
      <c r="AG196">
        <v>53.54</v>
      </c>
      <c r="AH196">
        <v>45.49</v>
      </c>
      <c r="AI196">
        <v>47.43</v>
      </c>
    </row>
    <row r="197" spans="1:35" x14ac:dyDescent="0.45">
      <c r="A197" s="2">
        <v>45820</v>
      </c>
      <c r="B197">
        <v>28.42</v>
      </c>
      <c r="C197">
        <v>32.51</v>
      </c>
      <c r="D197">
        <v>18.899999999999999</v>
      </c>
      <c r="E197">
        <v>28.08</v>
      </c>
      <c r="F197">
        <v>30.63</v>
      </c>
      <c r="G197">
        <v>48.584800000000001</v>
      </c>
      <c r="H197">
        <v>24.54</v>
      </c>
      <c r="I197">
        <v>56.74</v>
      </c>
      <c r="J197">
        <v>61.57</v>
      </c>
      <c r="K197">
        <v>67.69</v>
      </c>
      <c r="L197">
        <v>28.15</v>
      </c>
      <c r="M197">
        <v>54.77</v>
      </c>
      <c r="N197">
        <v>56.89</v>
      </c>
      <c r="O197">
        <v>54.8</v>
      </c>
      <c r="P197">
        <v>55.79</v>
      </c>
      <c r="Q197">
        <v>18.899999999999999</v>
      </c>
      <c r="R197">
        <v>1128.6199999999999</v>
      </c>
      <c r="S197">
        <v>31.57</v>
      </c>
      <c r="T197">
        <v>18.395</v>
      </c>
      <c r="U197">
        <v>13.36</v>
      </c>
      <c r="V197">
        <v>38.07</v>
      </c>
      <c r="W197">
        <v>46.07</v>
      </c>
      <c r="X197">
        <v>26.64</v>
      </c>
      <c r="Y197">
        <v>46</v>
      </c>
      <c r="Z197">
        <v>42.22</v>
      </c>
      <c r="AA197">
        <v>74.209999999999994</v>
      </c>
      <c r="AB197">
        <v>56.27</v>
      </c>
      <c r="AC197">
        <v>40.78</v>
      </c>
      <c r="AD197">
        <v>533.66</v>
      </c>
      <c r="AE197">
        <v>603.75</v>
      </c>
      <c r="AF197">
        <v>43.57</v>
      </c>
      <c r="AG197">
        <v>54.73</v>
      </c>
      <c r="AH197">
        <v>46.02</v>
      </c>
      <c r="AI197">
        <v>48.25</v>
      </c>
    </row>
    <row r="198" spans="1:35" x14ac:dyDescent="0.45">
      <c r="A198" s="2">
        <v>45819</v>
      </c>
      <c r="B198">
        <v>28.29</v>
      </c>
      <c r="C198">
        <v>32.54</v>
      </c>
      <c r="D198">
        <v>18.91</v>
      </c>
      <c r="E198">
        <v>27.93</v>
      </c>
      <c r="F198">
        <v>30.62</v>
      </c>
      <c r="G198">
        <v>48.44</v>
      </c>
      <c r="H198">
        <v>24.45</v>
      </c>
      <c r="I198">
        <v>55.83</v>
      </c>
      <c r="J198">
        <v>61.56</v>
      </c>
      <c r="K198">
        <v>66.989999999999995</v>
      </c>
      <c r="L198">
        <v>28.22</v>
      </c>
      <c r="M198">
        <v>54.08</v>
      </c>
      <c r="N198">
        <v>56.52</v>
      </c>
      <c r="O198">
        <v>55.33</v>
      </c>
      <c r="P198">
        <v>55.86</v>
      </c>
      <c r="Q198">
        <v>18.96</v>
      </c>
      <c r="R198">
        <v>1141.58</v>
      </c>
      <c r="S198">
        <v>32.11</v>
      </c>
      <c r="T198">
        <v>18.72</v>
      </c>
      <c r="U198">
        <v>13.32</v>
      </c>
      <c r="V198">
        <v>38.46</v>
      </c>
      <c r="W198">
        <v>45.76</v>
      </c>
      <c r="X198">
        <v>26.6</v>
      </c>
      <c r="Y198">
        <v>45.66</v>
      </c>
      <c r="Z198">
        <v>42.11</v>
      </c>
      <c r="AA198">
        <v>73.67</v>
      </c>
      <c r="AB198">
        <v>55.43</v>
      </c>
      <c r="AC198">
        <v>40.409999999999997</v>
      </c>
      <c r="AD198">
        <v>532.41</v>
      </c>
      <c r="AE198">
        <v>601.36</v>
      </c>
      <c r="AF198">
        <v>43.11</v>
      </c>
      <c r="AG198">
        <v>54.37</v>
      </c>
      <c r="AH198">
        <v>45.9</v>
      </c>
      <c r="AI198">
        <v>47.93</v>
      </c>
    </row>
    <row r="199" spans="1:35" x14ac:dyDescent="0.45">
      <c r="A199" s="2">
        <v>45818</v>
      </c>
      <c r="B199">
        <v>28.1</v>
      </c>
      <c r="C199">
        <v>31.82</v>
      </c>
      <c r="D199">
        <v>18.84</v>
      </c>
      <c r="E199">
        <v>27.82</v>
      </c>
      <c r="F199">
        <v>30.83</v>
      </c>
      <c r="G199">
        <v>48.231099999999998</v>
      </c>
      <c r="H199">
        <v>24.28</v>
      </c>
      <c r="I199">
        <v>55.8</v>
      </c>
      <c r="J199">
        <v>61.36</v>
      </c>
      <c r="K199">
        <v>66.16</v>
      </c>
      <c r="L199">
        <v>27.72</v>
      </c>
      <c r="M199">
        <v>54.66</v>
      </c>
      <c r="N199">
        <v>56.48</v>
      </c>
      <c r="O199">
        <v>55.26</v>
      </c>
      <c r="P199">
        <v>55.69</v>
      </c>
      <c r="Q199">
        <v>18.920000000000002</v>
      </c>
      <c r="R199">
        <v>1139.1600000000001</v>
      </c>
      <c r="S199">
        <v>32.17</v>
      </c>
      <c r="T199">
        <v>18.78</v>
      </c>
      <c r="U199">
        <v>13.4</v>
      </c>
      <c r="V199">
        <v>38.72</v>
      </c>
      <c r="W199">
        <v>45.65</v>
      </c>
      <c r="X199">
        <v>26.71</v>
      </c>
      <c r="Y199">
        <v>45.43</v>
      </c>
      <c r="Z199">
        <v>42.12</v>
      </c>
      <c r="AA199">
        <v>73.88</v>
      </c>
      <c r="AB199">
        <v>55.67</v>
      </c>
      <c r="AC199">
        <v>40.31</v>
      </c>
      <c r="AD199">
        <v>534.21</v>
      </c>
      <c r="AE199">
        <v>603.08000000000004</v>
      </c>
      <c r="AF199">
        <v>43.21</v>
      </c>
      <c r="AG199">
        <v>54.57</v>
      </c>
      <c r="AH199">
        <v>45.94</v>
      </c>
      <c r="AI199">
        <v>47.93</v>
      </c>
    </row>
    <row r="200" spans="1:35" x14ac:dyDescent="0.45">
      <c r="A200" s="2">
        <v>45817</v>
      </c>
      <c r="B200">
        <v>28.3</v>
      </c>
      <c r="C200">
        <v>31.75</v>
      </c>
      <c r="D200">
        <v>18.59</v>
      </c>
      <c r="E200">
        <v>28.12</v>
      </c>
      <c r="F200">
        <v>30</v>
      </c>
      <c r="G200">
        <v>48.53</v>
      </c>
      <c r="H200">
        <v>24.32</v>
      </c>
      <c r="I200">
        <v>54.71</v>
      </c>
      <c r="J200">
        <v>61.09</v>
      </c>
      <c r="K200">
        <v>66.48</v>
      </c>
      <c r="L200">
        <v>27.62</v>
      </c>
      <c r="M200">
        <v>54.44</v>
      </c>
      <c r="N200">
        <v>55.85</v>
      </c>
      <c r="O200">
        <v>55.24</v>
      </c>
      <c r="P200">
        <v>55.52</v>
      </c>
      <c r="Q200">
        <v>18.829999999999998</v>
      </c>
      <c r="R200">
        <v>1135.24</v>
      </c>
      <c r="S200">
        <v>31.66</v>
      </c>
      <c r="T200">
        <v>18.71</v>
      </c>
      <c r="U200">
        <v>13.26</v>
      </c>
      <c r="V200">
        <v>38.57</v>
      </c>
      <c r="W200">
        <v>45.32</v>
      </c>
      <c r="X200">
        <v>26.44</v>
      </c>
      <c r="Y200">
        <v>45.3</v>
      </c>
      <c r="Z200">
        <v>42.31</v>
      </c>
      <c r="AA200">
        <v>73.930000000000007</v>
      </c>
      <c r="AB200">
        <v>55.62</v>
      </c>
      <c r="AC200">
        <v>40.340000000000003</v>
      </c>
      <c r="AD200">
        <v>530.70000000000005</v>
      </c>
      <c r="AE200">
        <v>599.67999999999995</v>
      </c>
      <c r="AF200">
        <v>43.08</v>
      </c>
      <c r="AG200">
        <v>54.02</v>
      </c>
      <c r="AH200">
        <v>45.91</v>
      </c>
      <c r="AI200">
        <v>48.18</v>
      </c>
    </row>
    <row r="201" spans="1:35" x14ac:dyDescent="0.45">
      <c r="A201" s="2">
        <v>45814</v>
      </c>
      <c r="B201">
        <v>28.22</v>
      </c>
      <c r="C201">
        <v>31.84</v>
      </c>
      <c r="D201">
        <v>18.510000000000002</v>
      </c>
      <c r="E201">
        <v>27.95</v>
      </c>
      <c r="F201">
        <v>29.46</v>
      </c>
      <c r="G201">
        <v>48.5916</v>
      </c>
      <c r="H201">
        <v>24.25</v>
      </c>
      <c r="I201">
        <v>54.11</v>
      </c>
      <c r="J201">
        <v>61.24</v>
      </c>
      <c r="K201">
        <v>65.569999999999993</v>
      </c>
      <c r="L201">
        <v>27.72</v>
      </c>
      <c r="M201">
        <v>53.94</v>
      </c>
      <c r="N201">
        <v>55.46</v>
      </c>
      <c r="O201">
        <v>54.91</v>
      </c>
      <c r="P201">
        <v>54.92</v>
      </c>
      <c r="Q201">
        <v>18.829999999999998</v>
      </c>
      <c r="R201">
        <v>1136.43</v>
      </c>
      <c r="S201">
        <v>31.61</v>
      </c>
      <c r="T201">
        <v>18.670000000000002</v>
      </c>
      <c r="U201">
        <v>13.64</v>
      </c>
      <c r="V201">
        <v>38.51</v>
      </c>
      <c r="W201">
        <v>45.31</v>
      </c>
      <c r="X201">
        <v>26.37</v>
      </c>
      <c r="Y201">
        <v>45.39</v>
      </c>
      <c r="Z201">
        <v>42.52</v>
      </c>
      <c r="AA201">
        <v>73.819999999999993</v>
      </c>
      <c r="AB201">
        <v>55.64</v>
      </c>
      <c r="AC201">
        <v>40.35</v>
      </c>
      <c r="AD201">
        <v>529.91999999999996</v>
      </c>
      <c r="AE201">
        <v>599.14</v>
      </c>
      <c r="AF201">
        <v>43.04</v>
      </c>
      <c r="AG201">
        <v>53.63</v>
      </c>
      <c r="AH201">
        <v>46.14</v>
      </c>
      <c r="AI201">
        <v>48.3</v>
      </c>
    </row>
    <row r="202" spans="1:35" x14ac:dyDescent="0.45">
      <c r="A202" s="2">
        <v>45813</v>
      </c>
      <c r="B202">
        <v>28.29</v>
      </c>
      <c r="C202">
        <v>32.17</v>
      </c>
      <c r="D202">
        <v>18.559999999999999</v>
      </c>
      <c r="E202">
        <v>27.96</v>
      </c>
      <c r="F202">
        <v>29.75</v>
      </c>
      <c r="G202">
        <v>48.796100000000003</v>
      </c>
      <c r="H202">
        <v>24.31</v>
      </c>
      <c r="I202">
        <v>53.74</v>
      </c>
      <c r="J202">
        <v>60.72</v>
      </c>
      <c r="K202">
        <v>65.36</v>
      </c>
      <c r="L202">
        <v>27.6</v>
      </c>
      <c r="M202">
        <v>54.03</v>
      </c>
      <c r="N202">
        <v>55.77</v>
      </c>
      <c r="O202">
        <v>54.18</v>
      </c>
      <c r="P202">
        <v>54.99</v>
      </c>
      <c r="Q202">
        <v>18.78</v>
      </c>
      <c r="R202">
        <v>1140.6300000000001</v>
      </c>
      <c r="S202">
        <v>31.44</v>
      </c>
      <c r="T202">
        <v>18.61</v>
      </c>
      <c r="U202">
        <v>13.74</v>
      </c>
      <c r="V202">
        <v>38.479999999999997</v>
      </c>
      <c r="W202">
        <v>45.53</v>
      </c>
      <c r="X202">
        <v>26.36</v>
      </c>
      <c r="Y202">
        <v>45.32</v>
      </c>
      <c r="Z202">
        <v>42.57</v>
      </c>
      <c r="AA202">
        <v>73.39</v>
      </c>
      <c r="AB202">
        <v>55.47</v>
      </c>
      <c r="AC202">
        <v>40.22</v>
      </c>
      <c r="AD202">
        <v>524.79</v>
      </c>
      <c r="AE202">
        <v>593.04999999999995</v>
      </c>
      <c r="AF202">
        <v>43.04</v>
      </c>
      <c r="AG202">
        <v>53.36</v>
      </c>
      <c r="AH202">
        <v>46.17</v>
      </c>
      <c r="AI202">
        <v>47.98</v>
      </c>
    </row>
    <row r="204" spans="1:35" x14ac:dyDescent="0.45">
      <c r="A204" t="s">
        <v>78</v>
      </c>
      <c r="B204">
        <f>AVERAGE(_xlfn.ANCHORARRAY(B2))</f>
        <v>33.073588059701493</v>
      </c>
      <c r="C204">
        <f t="shared" ref="C204:AI204" si="0">AVERAGE(_xlfn.ANCHORARRAY(C2))</f>
        <v>36.276666666666685</v>
      </c>
      <c r="D204">
        <f t="shared" si="0"/>
        <v>18.048557213930337</v>
      </c>
      <c r="E204">
        <f t="shared" si="0"/>
        <v>25.9124736318408</v>
      </c>
      <c r="F204">
        <f t="shared" si="0"/>
        <v>33.888656716417906</v>
      </c>
      <c r="G204">
        <f t="shared" si="0"/>
        <v>64.682780597014926</v>
      </c>
      <c r="H204">
        <f t="shared" si="0"/>
        <v>26.28034825870645</v>
      </c>
      <c r="I204">
        <f t="shared" si="0"/>
        <v>63.66278606965173</v>
      </c>
      <c r="J204">
        <f t="shared" si="0"/>
        <v>67.423482587064669</v>
      </c>
      <c r="K204">
        <f t="shared" si="0"/>
        <v>92.046268656716435</v>
      </c>
      <c r="L204">
        <f t="shared" si="0"/>
        <v>31.5457711442786</v>
      </c>
      <c r="M204">
        <f t="shared" si="0"/>
        <v>64.230746268656716</v>
      </c>
      <c r="N204">
        <f t="shared" si="0"/>
        <v>65.11098905472636</v>
      </c>
      <c r="O204">
        <f t="shared" si="0"/>
        <v>53.452587064676621</v>
      </c>
      <c r="P204">
        <f t="shared" si="0"/>
        <v>60.707636815920416</v>
      </c>
      <c r="Q204">
        <f t="shared" si="0"/>
        <v>19.312762189054737</v>
      </c>
      <c r="R204">
        <f t="shared" si="0"/>
        <v>1271.4253731343283</v>
      </c>
      <c r="S204">
        <f t="shared" si="0"/>
        <v>35.097635820895512</v>
      </c>
      <c r="T204">
        <f t="shared" si="0"/>
        <v>19.56383880597015</v>
      </c>
      <c r="U204">
        <f t="shared" si="0"/>
        <v>17.458631840796027</v>
      </c>
      <c r="V204">
        <f t="shared" si="0"/>
        <v>38.270348258706477</v>
      </c>
      <c r="W204">
        <f t="shared" si="0"/>
        <v>45.822423880597</v>
      </c>
      <c r="X204">
        <f t="shared" si="0"/>
        <v>26.930398009950228</v>
      </c>
      <c r="Y204">
        <f t="shared" si="0"/>
        <v>50.974079601990056</v>
      </c>
      <c r="Z204">
        <f t="shared" si="0"/>
        <v>42.028507462686584</v>
      </c>
      <c r="AA204">
        <f t="shared" si="0"/>
        <v>81.099353233830854</v>
      </c>
      <c r="AB204">
        <f t="shared" si="0"/>
        <v>57.464079601990043</v>
      </c>
      <c r="AC204">
        <f t="shared" si="0"/>
        <v>42.819253731343281</v>
      </c>
      <c r="AD204">
        <f t="shared" si="0"/>
        <v>593.03920398009939</v>
      </c>
      <c r="AE204">
        <f t="shared" si="0"/>
        <v>660.68771144278594</v>
      </c>
      <c r="AF204">
        <f t="shared" si="0"/>
        <v>44.212985074626872</v>
      </c>
      <c r="AG204">
        <f t="shared" si="0"/>
        <v>57.15561144278611</v>
      </c>
      <c r="AH204">
        <f t="shared" si="0"/>
        <v>48.230497512437793</v>
      </c>
      <c r="AI204">
        <f t="shared" si="0"/>
        <v>52.033731343283584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3387373"><![CDATA[{"KSA^FG_TOTAL_RETURNC(-5AY,0,AM)":[7.026863,5.3982973,1.6334414,6.5523624,0.18064976,5.9505463,1.2885928,1.8963099,3.7455797,-9.718442,11.627674,1.8833756,3.830731,7.6362133,-7.2140274,-3.719461,-8.404499,12.193335,-3.6081314,-4.8548164,-0.11921525,-11.888277,7.4266315,-4.868722,0.21436214,6.7914367,2.4286509,2.0283937,3.4666657,-4.8969088,-1.5521109,-7.007003,4.3056965,4.618168,6.8498254,2.525735,1.3458014,-1.0128319,-2.501136,-4.513282,2.2806048,-1.2845337,1.1784911,1.5530229,0.26284456,0.7626295,-1.5304923,3.2810926,-5.026078,-1.1982024,1.1621952,-4.920083,3.8802028,-3.599894,-2.0538807,8.415031,-1.6076446,-4.518753,2.3544908,2.9613972,-2.670771],"GREK^FG_TOTAL_RETURNC(-5AY,0,AM)":[10.028887,4.9137235,1.1440873,6.044531,-7.5666666,0.2884984,2.4092078,-2.7036548,0.90219975,-2.3605168,7.0138097,2.5883198,-16.808731,11.106563,-9.443015,2.3625255,-12.5110445,14.181495,-5.1118255,-8.080811,18.910254,2.9649615,9.27434,9.655905,-3.7143767,5.287659,0.8844018,12.586093,9.342551,-3.8372993,-7.076347,-5.840254,6.293702,5.4633856,7.9757094,2.178371,0.22573471,-3.0530453,8.828079,-1.5654624,1.5164137,-2.4999976,0.85469484,0.40097237,-3.3174455,1.771009,1.46029,5.779803,11.590123,-1.9850612,12.369335,10.25194,8.8333845,8.788323,-1.7784476,0.4296422,-1.7265022,4.5397997,5.523753,5.856955,-11.895055],"EPOL^FG_TOTAL_RETURNC(-5AY,0,AM)":[0.36553144,0.3121853,5.6016564,8.691907,-1.1780679,1.054573,4.3557167,2.6956558,-4.3607116,-7.613987,11.922752,-12.115973,-15.706545,6.7172885,-21.893818,6.496477,-12.4170065,13.040185,-12.407774,-17.917305,36.753727,4.092777,13.156784,-7.3070107,-1.7164648,5.6921124,8.690333,4.842341,8.431792,0.04953146,-12.623769,0.6232381,13.851345,11.325431,-1.1919141,4.442382,5.6269407,-2.558726,6.3495517,-2.885729,8.152866,-8.716136,1.5053749,1.1440754,-7.4151697,2.03619,-1.9548893,20.629692,5.843401,0.29444695,11.926603,0.4262209,6.129575,6.3849807,-5.0309,-1.54894,8.307099,2.2661328,6.864655,4.2056084,-8.018994],"EWD^FG_PRICE(0,-200D)":[50.53,51.41,51.76,51.37,51.74,52.04,52.91,51.87,53.17,54.72,54.56,54.13,54.01,53.49,54.0,53.4,53.5,53.26,53.47,53.47,53.42,54.56,54.17,53.38,52.93,51.86,52.92,53.23,52.88,52.27,53.45,52.93,53.64,52.72,52.38,51.74,51.52,50.46,51.31,51.31,51.05,50.61,50.7,50.91,50.78,50.28,50.87,50.11,50.39,49.6,49.23,49.23,49.55,49.32,49.65,49.31,49.31,49.21,48.8,48.55,48.18,47.62,48.23,49.11,49.38,49.67,49.36,48.55,48.4,48.37,48.09,47.77,47.61,47.58,47.91,47.43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39,46.63,46.46,46.64,46.57,47.24,46.08,46.45,46.56,46.28,46.61,46.06,46.02,45.99,45.23,45.88,45.6,44.82,44.45,44.3,43.68,43.86,44.54,44.96,45.78,46.38,45.9,46.3,45.21,45.25,44.65,44.98,44.63,44.69,45.3,45.57,46.39,46.05,45.55,45.52,45.62,45.62,45.51,45.19,45.74,46.02,45.33,44.67,44.95,43.96,43.81,43.98,43.98,44.43,44.91,45.49,46.02,45.9,45.94,45.91,46.14,46.17],"SET-BKK^FG_PRICE(0,-200D)":[1429.8,1407.34,1405.76,1382.97,1410.37,1417.29,1384.61,1466.51,1466.51,1528.26,1533.64,1516.01,1490.4,1480.24,1479.71,1493.91,1466.67,1459.68,1438.09,1430.41,1441.53,1411.7,1410.44,1400.89,1354.01,1346.23,1346.54,1336.11,1321.42,1325.62,1331.07,1338.9,1334.45,1307.07,1314.39,1311.64,1317.56,1296.37,1283.2,1275.6,1261.39,1244.3,1235.3,1242.2,1254.09,1253.6,1280.82,1274.75,1280.05,1259.67,1259.67,1259.67,1259.67,1254.03,1259.25,1264.77,1275.33,1271.11,1269.68,1252.19,1250.07,1256.85,1260.68,1273.4,1254.1,1253.54,1269.87,1269.87,1261.39,1273.77,1273.77,1274.82,1277.58,1276.57,1256.69,1252.71,1261.18,1268.78,1252.73,1254.4,1281.81,1272.17,1270.04,1280.07,1269.26,1287.44,1284.81,1300.47,1306.26,1302.91,1313.31,1295.29,1298.6,1308.86,1309.5,1314.65,1315.64,1314.28,1323.52,1313.91,1302.35,1302.35,1290.72,1284.47,1274.61,1291.46,1286.69,1266.38,1286.9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59.07,1259.07,1265.15,1264.47,1246.96,1229.4,1218.33,1242.35,1244.14,1233.68,1217.15,1217.15,1212.49,1219.62,1191.75,1208.13,1206.58,1198.11,1157.63,1161.01,1143.31,1121.13,1110.4,1110.4,1115.65,1123.0,1119.94,1127.21,1115.69,1110.01,1089.56,1082.42,1106.73,1107.69,1100.01,1062.78,1067.63,1068.73,1094.58,1113.58,1114.49,1122.7,1128.62,1141.58,1139.16,1135.24,1136.43,1140.63],"EWW^FG_PRICE(0,-200D)":[72.17,74.69,74.76,73.89,73.72,75.25,77.91,75.37,79.46,80.94,80.66,80.45,80.37,79.54,81.23,79.94,80.15,80.76,81.03,81.03,79.92,80.7,80.48,80.67,79.87,76.83,77.22,78.76,75.43,75.12,78.45,78.73,77.86,76.7,76.08,75.75,75.36,74.61,74.0,74.0,73.25,73.38,71.97,72.06,71.06,70.48,69.92,70.04,70.58,69.66,69.33,69.33,69.49,70.51,71.15,70.95,70.95,71.04,69.95,68.85,68.75,67.45,68.28,70.48,70.69,71.06,69.04,69.27,68.64,68.68,68.82,68.43,68.71,68.46,68.42,67.88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1.94,62.52,61.94,61.44,61.71,62.8,61.55,61.17,61.25,61.19,61.34,60.99,61.99,62.33,61.54,61.64,61.65,60.76,60.19,59.23,59.6,60.14,60.17,60.93,60.06,61.05,60.85,60.47,59.03,59.24,59.46,59.79,59.77,59.38,59.61,60.13,60.29,60.28,60.89,61.11,61.7,61.7,61.59,61.12,60.56,60.32,60.31,59.68,59.21,57.94,58.11,58.97,58.97,58.91,59.82,61.06,61.57,61.56,61.36,61.09,61.24,60.72],"CNYA^FG_PRICE(0,-200D)":[35.52,35.82,35.62,35.4,34.94,35.09,35.29,34.9,36.13,36.15,35.96,36.36,35.94,35.85,35.79,35.622,35.8,35.65,35.3684,35.3684,35.56,35.76,35.715,35.82,35.41,34.84,35.14,35.0,34.72,35.11,35.89,35.52,35.64,35.58,35.55,35.78,35.805,35.5,35.515,35.515,35.87,35.6,35.59,36.23,35.83,35.49,35.5,35.64,35.21,34.91,34.58,34.58,34.59,34.37,34.71,34.44,34.44,34.31,34.24,33.89,33.58,33.63,33.197,34.05,34.08,34.09,34.34,34.225,34.36,34.21,33.74,33.76,33.81,34.25,33.95,33.59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47,33.16,32.26,32.91,32.91,32.71,31.62,31.74,31.02,31.32,30.97,30.72,31.01,30.73,30.295,30.27,30.3,30.33,30.17,29.9,29.6,29.68,30.24,30.44,30.29,30.31,30.45,30.35,30.365,29.98,29.73,29.6,29.26,29.29,29.395,29.2,29.32,29.07,29.12,28.86,28.91,28.91,28.7,28.71,28.71,28.46,28.79,28.805,28.55,28.03,27.925,27.96,27.96,28.0,28.12,28.15,28.42,28.29,28.1,28.3,28.22,28.29],"EWU^FG_TOTAL_RETURNC(-5AY,0,AM)":[4.354942,0.47066212,4.0287375,3.0023932,-1.6004741,1.0240912,-2.385211,0.3970623,1.9470572,-1.3428748,7.321763,-0.20272136,-8.589667,6.8888783,-9.236706,2.9022932,-5.5375633,7.19918,-4.7009945,-12.751675,14.884615,5.523932,4.2333364,0.0,-2.4714231,5.9233427,-0.65788627,-1.7705977,1.3433337,0.18496513,-1.5076995,-0.46859384,-2.5737584,5.0257683,2.8042555,-1.7093956,4.472041,0.23782253,7.206404,-0.21337867,1.837194,-1.443243,3.6046267,-0.65235496,-5.253071,2.7721643,-3.9252996,9.19677,1.5039682,-4.175645,7.506335,6.6422462,-0.10501146,2.7805686,2.2178888,-0.5007148,4.265511,-0.5286157,6.203568,4.258144,-2.403736],"EPHE^FG_TOTAL_RETURNC(-5AY,0,AM)":[-5.094939,-1.8005967,-3.7690997,12.510085,-4.6416163,-5.5960298,7.8568935,2.861786,5.7224154,-2.9007077,-1.796025,0.59804916,-5.788481,-0.9299278,-5.6654396,-1.9862711,-6.749815,7.828486,-2.8456807,-16.184753,12.410402,5.540049,6.857896,1.1184096,-7.514042,-0.8731961,0.8425832,-1.4432371,3.2371283,-4.835659,-1.4688373,-1.5713096,0.98239183,2.432108,6.1674476,3.0815482,1.7134547,-6.774193,-2.345252,-2.6053786,3.939271,1.5396714,9.758949,1.5232086,-9.07188,-1.3046801,-2.8163552,-3.8740933,5.289674,-0.47847033,11.177885,1.1891842,-2.2316873,-2.1378517,-2.8248608,-3.6046445,-5.1065564,5.5084705,6.9039702,2.0068169,-6.9413543],"VNM^FG_PRICE(0,-200D)":[16.75,17.41,17.06,17.23,17.45,18.02,18.3,18.12,18.63,19.08,19.16,19.085,19.25,19.23,19.285,18.76,18.77,18.73,18.89,18.89,18.51,18.71,18.08,18.045,18.03,18.12,18.61,18.45,18.77,19.07,18.81,18.5,18.76,18.91,19.42,19.625,19.39,19.51,19.73,19.73,19.53,19.69,19.8,19.67,19.28,19.31,19.44,19.43,19.02,19.11,19.08,19.08,19.01,18.92,18.4,19.01,19.01,19.08,18.61,18.39,17.88,17.54,17.85,17.42,17.49,18.27,18.28,18.65,18.72,18.65,18.59,18.69,18.65,18.38,18.34,18.2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29,18.315,18.02,17.96,17.22,17.36,17.6,17.69,17.9,17.84,17.71,17.76,17.46,17.44,17.27,17.18,16.8,17.09,16.67,16.58,15.95,16.01,16.03,15.9,16.78,16.47,15.995,16.0,15.82,15.35,15.575,15.67,15.41,15.04,15.24,15.22,15.12,14.89,14.51,14.18,13.96,13.96,13.76,13.72,13.75,13.73,13.61,13.54,13.62,13.4,13.345,13.36,13.36,13.31,13.26,13.02,13.36,13.32,13.4,13.26,13.64,13.74],"MCHI^FG_TOTAL_RETURNC(-5AY,0,AM)":[-12.274324,-3.6073387,-4.294479,4.6882033,-4.9214544,-7.602942,0.43307543,-4.576439,3.0029178,-6.7364874,-0.35867095,-4.541266,-21.086472,5.6619167,-10.466462,15.743279,-1.2535095,-5.30504,-1.8407345,-17.18304,5.5131674,12.71286,11.352658,-3.2440603,-8.908379,3.2527328,-4.2072535,-0.64112544,2.1982908,-1.3981521,-2.6832461,-2.6003122,-2.1864235,-3.5294116,-3.0207932,-1.3666809,6.222224,-3.3226728,15.0203705,-3.5615325,1.4522791,-4.703474,-2.789694,29.114544,-9.080547,2.0685315,-8.833492,18.668497,7.2488904,-10.695666,10.829306,1.3258219,-0.54672956,6.878984,8.888138,-4.0031314,5.1962852,-4.7383127,5.739844,-5.726737,-4.7870636],"EWL^FG_PRICE(0,-200D)":[59.36,60.09,60.24,61.01,61.14,61.05,62.56,62.21,63.59,65.08,64.63,64.85,64.82,64.31,64.38,64.16,64.26,64.44,63.79,63.79,63.46,63.24,63.43,63.45,63.09,62.24,62.47,61.89,62.25,61.54,62.22,61.05,62.57,61.19,60.87,60.59,60.49,60.16,60.51,60.51,60.52,60.87,60.17,60.63,60.58,60.21,60.31,60.55,60.43,60.34,59.96,59.96,60.17,60.35,60.54,60.53,60.53,60.4,59.93,59.57,59.47,58.84,59.02,59.06,58.37,58.49,58.38,57.69,57.76,58.03,57.91,58.07,57.94,57.42,57.82,57.55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33,55.24,55.11,54.97,55.64,54.94,55.52,54.9,54.35,54.5,54.1,54.2,53.81,53.2,53.6,53.68,52.98,53.48,53.31,52.43,52.72,53.48,54.12,54.16,55.16,55.12,56.2,54.96,54.51,54.48,54.36,54.55,54.18,54.71,54.7,55.45,55.28,54.82,54.53,54.9,54.9,55.27,54.98,54.81,54.63,54.26,53.75,54.32,53.46,52.68,53.25,53.25,53.42,53.77,55.22,56.27,55.43,55.67,55.62,55.64,55.47],"ENZL^FG_TOTAL_RETURNC(-5AY,0,AM)":[-2.7735472,-2.3824453,1.8625617,-1.2899578,-0.3383875,-1.4227927,3.9363623,-2.9351413,0.032520294,-4.1686954,0.14550686,-7.960802,0.6538391,-0.68671703,-14.333767,0.84005594,-2.3178399,12.502802,-4.3019295,-16.066593,13.761461,7.432437,1.3614893,3.6605,-7.217699,3.8586378,0.65398216,-3.7469864,4.9853086,-5.8282557,-6.5605106,-0.4998803,-0.20552874,5.949652,6.093693,-4.4056473,-0.28260946,-2.7032852,1.4564157,3.036189,1.2526989,-1.3385296,8.513058,-1.4943242,-3.7823617,-4.246372,-2.0661414,1.8400788,-5.5543184,0.11808872,5.567348,2.9497147,0.2675891,-0.22071004,2.367556,-2.0004332,-0.3226757,0.11564493,2.1388054,2.94317,-5.8821917],"EWI^FG_PRICE(0,-200D)":[52.65,53.56,53.79,53.54,52.96,53.43,54.57,53.89,55.95,57.33,57.93,57.61,56.94,56.94,56.81,55.89,56.32,56.02,55.54,55.54,56.52,56.98,57.32,57.61,56.28,55.7,56.95,56.93,56.37,55.88,56.17,55.83,56.63,55.39,54.91,54.77,54.44,54.02,54.92,54.92,54.8,55.04,54.81,55.32,55.03,55.24,54.97,55.29,55.67,55.16,54.33,54.33,54.59,54.16,54.62,54.56,54.56,54.4,54.24,54.21,53.81,53.51,53.58,54.35,53.66,53.95,53.55,53.02,52.98,52.98,53.15,53.29,53.0,52.66,52.93,52.54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05,51.19,50.91,51.42,51.76,52.34,51.53,51.69,51.62,51.54,51.79,51.56,51.1,50.64,49.99,50.16,49.95,49.52,48.74,48.57,47.83,48.25,49.13,49.06,48.78,49.56,49.12,49.84,48.55,48.03,47.79,47.75,47.76,47.32,48.16,47.99,48.53,49.17,48.34,47.87,48.21,48.21,48.29,48.05,48.14,47.86,47.5,47.17,47.2,46.45,46.36,46.46,46.46,46.26,47.21,47.43,48.25,47.93,47.93,48.18,48.3,47.98],"EWJ^FG_PRICE(0,-200D)":[84.19,85.73,86.46,85.64,84.77,85.89,88.59,86.83,90.2,92.37,92.48,92.44,91.23,91.39,91.47,91.2,91.38,91.87,93.85,93.85,93.37,93.97,93.1,91.29,89.4,86.1,87.49,86.68,85.89,85.72,86.09,85.21,85.84,84.63,84.56,84.86,84.78,83.72,85.48,85.48,85.42,85.04,84.45,85.29,84.61,82.86,82.92,83.07,83.13,81.33,80.74,80.74,80.98,81.09,80.97,81.0,81.0,81.14,80.46,80.58,79.97,79.74,80.85,84.87,84.0,84.22,83.91,83.31,83.19,83.7,83.62,82.61,82.47,82.53,83.01,83.26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8.28,79.29,78.63,78.92,79.05,80.02,78.7,79.64,80.02,80.3,80.15,78.8,79.27,79.23,77.79,77.93,76.62,76.03,75.03,75.29,74.07,73.62,73.98,73.88,74.27,75.68,76.55,76.49,72.98,72.61,71.81,72.39,72.02,71.69,72.41,72.36,72.94,73.3,73.19,72.82,74.6,74.6,74.46,74.42,74.97,75.28,73.97,72.44,72.74,72.02,71.76,73.05,73.05,72.28,73.15,73.6,74.21,73.67,73.88,73.93,73.82,73.39],"TUR^FG_PRICE(0,-200D)":[39.34,39.29,39.18,38.74,37.22,38.73,38.96,38.78,39.59,40.63,41.23,41.19,41.93,41.76,41.65,41.26,42.41,42.34,42.22,42.22,41.91,41.21,40.97,41.54,40.84,40.66,41.37,41.54,41.14,41.25,41.58,40.39,39.56,39.86,39.43,39.08,38.64,38.87,38.41,38.41,37.94,37.59,37.73,37.54,37.16,36.73,36.63,36.77,35.81,34.92,34.42,34.42,34.42,34.41,34.76,34.87,34.87,34.815,34.61,34.86,34.82,34.735,34.71,35.29,34.82,34.82,34.73,34.66,34.42,33.84,33.55,33.87,34.1,34.03,33.5,33.59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29,35.54,35.51,35.97,35.93,35.69,35.51,35.04,34.5,34.47,34.24,34.11,34.47,34.54,34.8448,34.68,34.61,34.46,34.29,34.32,33.92,33.85,33.66,33.28,33.43,33.79,33.95,33.86,33.87,33.93,32.995,33.15,32.5,32.84,32.97,33.17,33.25,32.79,32.12,32.44,33.04,33.04,33.07,32.48,32.26,30.49,30.19,30.68,30.86,30.08,29.96,30.11,30.11,30.21,30.63,30.75,31.57,32.11,32.17,31.66,31.61,31.44],"EWY^FG_PRICE(0,-200D)":[123.5,132.85,130.3,133.89,126.73,125.74,134.37,132.34,147.54,151.37,150.41,148.89,144.55,139.3,141.88,135.21,132.93,130.68,133.97,133.97,130.8,130.6,124.45,126.05,124.71,120.21,120.26,124.32,120.93,122.41,124.5,125.56,122.7,117.32,117.97,115.99,115.66,110.97,112.22,112.22,111.05,109.64,107.54,108.93,108.89,106.59,107.03,107.61,104.83,102.22,97.22,97.22,98.62,98.72,95.84,94.6,94.6,92.7,91.75,91.34,90.07,88.58,89.52,92.73,92.67,94.96,96.75,95.57,95.07,94.3,91.87,93.0,92.07,90.62,90.87,91.55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2.24,73.64,72.47,72.39,72.73,73.51,71.22,71.36,71.44,72.8,73.39,73.66,74.72,74.1,73.03,73.5,73.44,73.18,72.89,72.33,70.65,72.81,73.68,73.49,72.71,73.21,73.31,73.85,72.89,73.87,72.39,73.06,73.08,73.07,73.2,72.56,73.14,72.08,72.08,70.07,72.7,72.7,71.95,71.64,71.78,70.74,71.94,72.37,72.65,69.42,68.53,67.87,67.87,66.63,68.19,66.42,67.69,66.99,66.16,66.48,65.57,65.36],"ECH^FG_PRICE(0,-200D)":[39.28,40.64,40.68,39.73,38.99,38.97,40.31,39.57,41.56,43.5,44.34,44.73,44.54,43.51,43.58,43.52,43.69,43.8,43.81,43.81,44.25,45.35,44.54,46.17,45.24,45.19,45.66,47.19,46.05,45.24,46.875,47.06,47.37,46.78,46.4,46.175,45.2,43.89,44.09,44.09,44.15,44.51,44.34,43.87,42.85,42.75,42.39,42.55,41.6,40.37,40.4,40.4,40.54,40.15,40.29,40.03,40.03,39.92,39.79,39.31,38.69,38.28,38.84,38.995,39.78,39.28,38.75,38.34,38.24,38.18,38.51,38.62,38.29,37.69,37.86,37.61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81,32.58,32.55,32.44,32.71,32.8,31.9,32.04,32.19,32.55,32.4,32.27,32.54,31.97,31.47,31.41,30.74,30.09,30.26,30.24,29.98,29.83,29.48,29.83,29.78,30.34,30.49,30.41,30.39,30.3,30.16,30.23,29.77,29.89,30.21,30.51,31.1,31.04,31.41,31.02,31.82,31.82,31.85,31.51,31.45,31.05,31.26,30.86,30.96,30.03,30.1,30.34,30.34,30.45,31.11,31.83,32.51,32.54,31.82,31.75,31.84,32.17],"QQQ^FG_TOTAL_RETURNC(-5AY,0,AM)":[-6.238675,6.8557262,-5.875188,7.684052,6.329155,1.4099598,2.465105,-5.0574303,10.516882,0.8386135,-2.5527,-10.401445,-6.5291286,4.7689795,-14.228905,-0.7934034,-0.71421266,15.424132,-5.947524,-15.322131,9.632217,-0.8265078,-2.049166,7.4001193,-3.7203968,8.654714,3.8301826,10.9097595,3.5624027,-1.7649293,1.7884493,-0.6238222,2.286923,5.3595543,2.9895306,6.2945604,1.9111514,-1.0854065,0.864768,7.25919,4.527056,-8.778948,4.8384905,4.4020414,3.962624,2.6495934,-3.5138428,4.1621447,-9.725529,-4.5829954,11.762762,5.082202,3.9643645,4.6643734,1.1395574,0.5998969,5.3570867,-1.2011349,2.3392916,-4.230106,-0.5627334],"EWG^FG_PRICE(0,-200D)":[40.34,40.8,41.1,41.09,40.82,41.18,42.1,41.57,42.91,44.34,44.56,44.35,43.95,43.9,44.32,43.88,44.12,44.04,43.97,43.97,43.96,44.05,44.22,44.32,43.53,42.84,43.25,43.51,43.48,43.11,43.44,44.01,44.3,43.84,43.48,43.1,42.82,42.54,43.34,43.34,43.24,43.49,43.57,43.83,43.41,43.31,43.26,43.13,43.05,42.56,42.5,42.5,42.75,42.51,42.65,42.57,42.57,42.44,42.34,42.1,41.94,41.61,42.03,42.1,42.18,42.39,41.94,41.53,41.34,41.41,41.14,40.95,40.89,40.52,40.92,40.6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1.88,42.02,41.89,42.13,42.12,42.66,42.08,42.39,42.39,42.45,42.58,42.5,42.38,42.15,41.94,42.34,42.33,41.84,41.49,41.3,40.75,41.15,41.63,41.89,41.67,42.81,42.7,43.21,42.42,42.42,42.13,42.35,42.18,41.82,42.35,42.45,42.86,43.26,42.59,42.23,42.21,42.21,42.17,42.01,42.31,42.3,41.64,41.15,41.39,40.75,40.34,40.28,40.28,40.4,41.13,41.51,42.22,42.11,42.12,42.31,42.52,42.57],"VNM^FG_TOTAL_RETURNC(-5AY,0,AM)":[-1.2770653,6.4116955,-1.2685001,7.066381,-2.7999997,1.8518448,1.161623,-2.0968556,5.6093693,-0.14485121,2.493,-6.970125,-5.555558,0.16189814,-17.672413,2.4214625,-8.370602,9.274757,-3.3184469,-18.613857,-9.083533,12.132025,0.61804056,-4.628891,-2.4267793,5.3173183999999996,1.710093,6.64531,3.7537575,9.80463,2.8665543,-12.363863,-3.6549687,2.8072834,-0.9408057,3.2600284,1.5595317,-0.67415833,-5.2790346,3.105092,-3.861004,-4.658633,4.4650316,2.016127,-6.7193627,0.33898354,-5.9966207,1.7969489,11.032653,-5.6438804,6.9081664,5.2797437,13.922155,14.586067,3.0389786,5.6204796,-7.639617,-0.22818446,12.693906,-5.8973074,-9.508377],"EZA^FG_TOTAL_RETURNC(-5AY,0,AM)":[-0.97185373,0.9609461,1.9643545,4.8092246,-6.9038095,-1.2119949,-1.6011655,1.9864678,-1.0567725,-4.8167524,13.0364895,0.6489754,2.3642063,3.798437,-18.812061,1.1739492,-5.699241,11.529123,-8.770407,-12.499994,19.547426,-2.3945272,12.297428,-8.829742,-6.047267,3.4032106,-6.5347075,5.187869,3.158927,-2.6555061,-3.883016,-1.968807,0.9128809,0.8787751,2.7008057,-2.5006354,1.0103703,1.5644908,7.398987,-2.4661183,10.430944,-2.6385784,5.3290844,8.237839,-6.072712,4.147172,-11.529475,11.548746,0.19615889,-0.76137185,10.017538,9.125328,-2.1270633,8.531523,5.3391337,4.540205,7.5173736,0.80786943,11.87619,1.8823862,-6.918412],"EPHE^FG_PRICE(0,-200D)":[25.07,25.38,25.54,25.28,25.32,26.13,26.39,26.64,26.91,27.91,28.15,28.37,27.73,27.53,27.16,26.83,26.78,26.68,26.97,26.97,26.94,27.25,26.93,26.42,26.73,26.45,26.33,26.45,26.24,25.97,25.65,26.33,26.23,26.03,26.21,26.35,26.27,26.0,26.42,26.42,26.38,26.04,26.24,26.41,26.13,26.08,25.92,25.98,25.46,25.3,24.92,24.92,25.06,25.09,25.08,24.94,24.94,24.93,24.96,24.66,25.01,25.1,25.19,24.95,24.9,25.02,24.73,24.67,24.58,24.73,24.2,24.68,25.06,25.24,25.21,25.02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15,26.39,26.56,26.12,26.69,26.63,26.15,26.35,26.25,26.34,26.39,26.28,26.72,26.55,26.19,26.63,26.49,26.41,26.16,26.35,25.78,25.42,26.175,26.37,26.55,26.7522,27.0,27.09,26.52,26.34,26.11,26.08,26.35,26.96,27.36,27.13,27.19,27.15,26.78,26.72,27.08,27.08,27.0,27.14,27.12,27.23,26.85,26.81,26.61,25.96,26.5,26.7,26.7,26.98,27.35,27.66,28.08,27.93,27.82,28.12,27.95,27.96],"EWA^FG_TOTAL_RETURNC(-5AY,0,AM)":[0.03979206,1.1933208,2.751565,4.690838,-3.3716202,1.3420224,-2.3836613,-0.6201565,1.677072,-3.1837344,2.5357485,-5.2462935,3.0431032,8.121419,-13.505316,1.3290763,-6.8811417,11.564302,-2.838707,-13.147408,16.207945,1.8421054,4.538107,1.4267683,-7.9437313,5.0786495,-2.0958066,-0.06839037,1.6926408,-2.5405169,-1.1235952,-3.5454571,0.7540107,6.969142,5.8089375,-0.33740997,3.3008933,-2.0893097,2.4267793,1.6154408,5.0409794,-5.384314,7.4226737,1.7274499,-3.773582,-1.1764705,-3.9292395,6.089878,-7.7197194,-2.3166,10.584105,5.7982445,0.455904,2.2761703,1.0385752,-2.936852,0.5295038,-0.22572875,1.4496684,10.018897,-2.3367703],"EWZ^FG_PRICE(0,-200D)":[36.12,37.61,37.53,37.1,36.28,36.36,37.49,36.82,38.64,38.73,39.1,39.59,39.47,38.77,39.37,38.61,38.03,37.74,38.06,38.06,38.49,39.16,38.32,38.42,37.56,36.91,36.98,38.04,37.45,37.04,38.12,38.33,37.89,36.61,36.59,35.95,35.02,33.62,33.17,33.17,33.36,33.16,32.63,32.93,33.06,32.88,32.7,33.11,32.79,32.2,31.77,31.77,31.99,31.42,31.73,31.55,31.55,31.65,30.97,31.17,31.17,31.0,31.6,33.58,33.32,33.16,32.77,32.74,32.75,32.53,34.72,34.2,34.03,33.4,33.61,33.47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5,29.49,29.02,28.61,28.74,28.61,27.66,27.69,27.36,28.29,28.2,27.89,28.18,28.39,27.64,27.81,28.05,27.45,27.02,26.93,26.65,26.55,26.88,26.76,26.52,26.94,27.13,27.48,27.0,27.08,26.85,27.69,27.57,27.47,27.31,27.53,27.72,28.16,28.71,28.6,29.31,29.31,28.91,28.79,28.85,28.14,28.13,27.57,27.98,27.66,27.67,28.08,28.08,28.11,28.31,28.14,28.15,28.22,27.72,27.62,27.72,27.6],"EWN^FG_PRICE(0,-200D)":[58.96,60.03,59.71,59.23,58.13,59.54,60.74,59.67,61.33,62.8,63.05,63.77,63.0,62.95,63.18,62.66,62.94,62.23,61.65,61.65,61.53,63.06,63.07,62.99,62.03,60.56,61.07,61.9,62.77,62.27,63.48,63.05,63.7,62.81,62.33,62.14,61.539,60.64,61.91,61.91,61.6,60.67,60.78,61.04,60.4,59.21,59.8,60.44,60.14,58.64,57.03,57.03,57.227,57.0,57.16,57.1,57.1,56.84,57.01,56.61,56.02,55.57,56.41,58.76,58.6,59.5,58.8,58.55,58.7224,58.55,58.78,59.18,58.57,58.32,58.17,57.79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0,53.5,53.59,53.77,53.84,54.188,53.08,53.58,53.215,53.13,53.16,53.3,53.36,52.9674,52.37,52.52,52.2,51.43,51.33,51.35,50.85,51.26,52.2,52.69,52.91,53.5,53.93,54.25,53.37,53.41,53.46,53.51,53.47,54.45,54.4,54.41,54.63,54.58,54.33,53.98,54.29,54.29,54.3,54.07,54.5,54.36,53.97,53.8,54.16,53.03,51.8927,52.2476,52.2476,52.33,53.08,53.54,54.73,54.37,54.57,54.02,53.63,53.36],"EWC^FG_PRICE(0,-200D)":[55.85,56.48,56.7,56.61,56.35,56.91,57.47,57.07,58.16,57.98,58.15,57.59,57.15,56.95,57.16,56.75,56.46,55.86,56.17,56.17,55.26,56.58,56.72,56.27,55.01,54.14,55.01,54.84,54.55,54.26,56.53,56.35,56.18,55.69,55.77,55.2,55.02,54.75,55.13,55.13,55.22,55.18,55.12,55.09,54.63,54.46,54.01,54.65,54.59,54.19,53.93,53.93,54.3,54.33,54.8,54.6,54.6,54.54,54.17,53.68,53.22,52.81,52.98,53.8,53.89,54.08,53.72,53.07,52.95,53.29,53.07,52.47,52.14,52.18,52.7,52.25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79,48.46,48.37,48.02,47.55,48.03,47.28,47.11,47.0,47.35,47.27,47.33,47.64,47.51,47.28,47.34,47.34,47.73,46.93,46.58,45.86,46.18,46.38,46.79,46.72,47.01,46.97,47.17,47.09,46.71,46.59,46.71,46.47,46.04,46.44,46.13,46.41,46.13,46.0,46.18,46.67,46.67,46.33,46.19,46.2,45.58,45.92,45.32,45.62,45.33,45.1,45.32,45.32,45.45,45.76,45.88,46.0,45.66,45.43,45.3,45.39,45.32],"QAT^FG_PRICE(0,-200D)":[18.7,18.8,18.93,18.81,18.75,18.86,18.89,19.01,18.87,19.46,19.52,19.89,19.99,19.92,19.845,19.8556,20.115,19.98,20.0967,20.0967,20.075,20.125,20.095,20.1,19.94,19.82,19.96,19.9169,19.97,19.71,19.82,20.0,19.94,19.937,19.82,19.9,19.71,19.71,19.46,19.46,19.425,19.6596,19.71,19.6099,19.36,19.28,19.405,19.3551,19.19,18.825,18.8183,18.8183,18.95,18.8751,18.865,18.96,18.96,18.9302,18.8396,18.775,18.74,18.6081,18.6969,19.01,19.32,19.315,19.1685,19.0414,18.9554,18.9304,18.9402,18.9302,18.775,18.71,18.88,18.885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20.0,19.96,20.13,20.14,20.0026,20.1896,20.065,20.08,20.24,20.38,20.54,20.52,20.56,20.27,20.0346,19.93,19.946,19.85,19.785,19.71,19.665,19.655,19.66,19.6,19.6,19.63,19.61,19.54,19.34,19.12,18.91,18.96,18.779,18.69,18.71,18.73,18.75,18.75,18.73,18.68,18.63,18.63,18.56,18.58,18.62,18.57,18.53,18.36,18.25,17.96,17.72,17.82,17.82,17.895,18.045,18.2,18.9,18.96,18.92,18.83,18.83,18.78],"EWT^FG_PRICE(0,-200D)":[69.76,71.91,70.44,70.76,69.52,70.4,71.62,71.29,75.07,75.67,76.14,77.06,75.73,73.18,74.38,72.67,72.98,72.89,73.05,73.05,72.56,73.35,71.44,70.76,70.05,67.86,68.15,68.83,68.94,68.06,69.83,71.19,71.32,69.94,69.71,68.25,67.45,66.54,67.34,67.34,67.29,66.51,66.1,66.62,65.92,65.44,65.59,65.83,65.3,64.77,63.53,63.53,63.71,63.33,63.02,62.53,62.53,62.5,61.98,61.64,60.87,60.03,61.12,64.11,64.1,65.92,66.8,65.72,65.57,65.35,64.51,64.85,64.63,64.13,64.51,63.66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8.82,59.9,59.77,59.5,59.26,59.66,58.57,58.78,60.09,61.04,60.42,60.65,61.03,61.09,60.28,60.29,60.36,59.14,58.92,58.84,58.39,58.36,58.35,58.62,59.06,59.43,59.39,59.8,58.72,59.36,59.24,59.48,58.98,58.27,57.81,58.3,58.38,58.03,57.66,57.63,59.44,59.44,58.75,57.58,57.4,57.85,57.85,57.31,56.82,55.18,54.84,56.03,56.03,55.65,56.46,55.85,56.74,55.83,55.8,54.71,54.11,53.74],"CNYA^JULIAN(FG_PRICE(0,-200D).DATES)":[46093,46092,46091,46090,46087,46086,46085,46084,46083,46080,46079,46078,46077,46076,46073,46072,46071,46070,46069,46066,46065,46064,46063,46062,46059,46058,46057,46056,46055,46052,46051,46050,46049,46048,46045,46044,46043,46042,46041,46038,46037,46036,46035,46034,46031,46030,46029,46028,46027,46024,46023,46022,46021,46020,46017,46016,46015,46014,46013,46010,46009,46008,46007,46006,46003,46002,46001,46000,45999,45996,45995,45994,45993,45992,45989,45988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901,45898,45897,45896,45895,45894,45891,45890,45889,45888,45887,45884,45883,45882,45881,45880,45877,45876,45875,45874,45873,45870,45869,45868,45867,45866,45863,45862,45861,45860,45859,45856,45855,45854,45853,45852,45849,45848,45847,45846,45845,45842,45841,45840,45839,45838,45835,45834,45833,45832,45831,45828,45827,45826,45825,45824,45821,45820,45819,45818,45817,45814,45813],"EWL^FG_TOTAL_RETURNC(-5AY,0,AM)":[-3.1084657,4.596138,0.32629967,9.617508,-0.02014041,1.8134117,-2.2560835,-4.2316256,7.9704046,0.33288002,0.8391857,-5.844778,-7.173693,9.189547,-12.81687,-2.3745835,0.19450188,6.7702055,-4.318184,-12.32779,17.339479999999998,-1.1313796,3.8066387,-0.26996136,-3.3386052,9.05484,3.4667253,-3.3166647,1.9466281,-0.23600459,-2.838707,-2.6339054,-2.09139,7.8244686,3.1007767,-2.7986646,4.7056317,-6.484711,5.2007914,4.440403,1.4885783,-0.5224049,3.1508803,0.7832408,-7.072079,-1.2962639,-1.6945541,8.209443,4.360807,-2.594924,4.857981,5.1186323,-0.9401202,-1.6270578,3.419435,0.80862045,3.493762,0.5339265,3.8718581,4.6676517,-6.460762],"UAE^FG_TOTAL_RETURNC(-5AY,0,AM)":[0.87685585,1.5117168,2.084887,9.625948,-3.030306,2.414775,5.4091573,-4.0355206,10.512388,7.320094,-5.015129,5.409026,6.4553857,5.796039,-13.346613,-0.13102889,-5.665028,10.966063,-7.2352886,-4.8192797,7.1285844,-6.50124,-0.41239858,1.1211514,-4.4183373,1.1772871,1.300478,-0.6793618,5.241084,1.2616158,-1.311475,-3.3887029,1.5818477,-2.437377,6.2410474,-3.7120342,-0.99485517,0.0020742416,0.20689964,-4.217595,4.854369,2.9914498,3.4578204,-1.3368964,4.6747923,-0.3669858,8.092833,5.655825,-4.441905,-1.6090631,9.812223,1.4616728,7.974887,4.893291,-4.8635187,-0.88680387,2.526319,-0.6673455,2.0225883,11.9693165,-18.273186],"EWZ^FG_TOTAL_RETURNC(-5AY,0,AM)":[-7.604766,0.6909013,9.486877,11.490547,-2.2580624,-6.47372,-6.0803533,-7.3699417,-3.7129462,-0.58327913,1.1823416,12.720966,2.613771,12.526226,-17.203724,2.8751373,-14.379305,22.379494,0.5314112,-2.4564624,-2.3270667,-4.960829,9.883714,-5.4826736,-3.8434148,8.771276,1.3950348,9.055567,0.94578266,-1.4053762,-0.38010478,-4.1971445,7.534027,3.1481385,6.466818,-3.2615006,-2.0168602,-3.9324105,1.0873079,-10.995472,7.0117474,0.9605527,-0.5096853,-3.2786906,-2.2245705,-7.0783734,-7.802689,11.679149,-3.3938468,0.85784197,11.340618,2.400875,-0.42275786,3.1238556,5.7766914,-4.129201,15.387285,0.30101538,2.3795366,16.884304,-6.1574516],"EIDO^FG_TOTAL_RETURNC(-5AY,0,AM)":[-3.638643,-8.376736,0.7105589,5.321026,-8.31461,0.98040104,3.7378669,10.809541,1.0979772,-1.879704,0.83522797,1.0204077,2.525258,0.77996254,-6.517303,2.7802825,-6.4918337,11.4482765,1.4438987,-5.815375,2.5474906,-4.168421,-1.0318935,4.9327374,-5.5128155,7.6435924,-1.0084033,1.8567443,0.68056583,-3.168565,-0.47993064,-4.7786055,-3.4530401,2.1459222,6.5500736,0.04416704,1.147902,-6.329119,-4.5666337,-4.419512,8.46113,0.243783,8.4630375,-1.7937183,-6.712323,-1.2236893,-8.145613,-4.273975,-3.4344494,-5.9276876,9.640825,8.620691,-2.905178,4.141021,-4.1912975,-2.9164374,6.52802,1.7353535,2.2073627,-5.7925224,-11.347121],"EWQ^FG_PRICE(0,-200D)":[43.58,44.2,44.08,44.2,44.14,44.28,45.23,45.07,46.57,47.87,48.35,48.02,47.62,47.49,47.68,46.91,47.03,47.05,46.7,46.7,46.68,47.08,46.83,46.99,46.4,45.73,46.03,45.69,45.68,45.35,45.82,45.53,46.15,45.65,45.51,45.16,45.05,44.55,45.29,45.29,45.4,45.87,45.96,46.1,45.88,45.46,45.4,45.6,45.42,45.31,44.99,44.99,45.14,44.99,45.18,44.98,44.98,44.9,44.96,44.91,44.8,44.62,44.94,45.18,44.88,45.0,44.58,44.21,44.65,44.62,44.75,44.79,44.44,44.41,44.57,44.43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59,42.9,42.56,42.58,42.96,44.18,43.55,43.97,43.82,43.55,43.89,43.5,43.31,42.89,42.35,42.68,42.49,42.02,41.83,41.86,41.43,41.94,42.47,42.91,42.8,43.72,43.4,44.4,43.16,43.03,42.92,42.98,42.74,42.56,43.12,43.28,43.75,43.84,43.27,42.68,43.08,43.08,43.27,42.87,42.8,42.61,42.14,41.89,42.04,41.57,41.29,41.67,41.67,41.74,42.21,42.83,43.57,43.11,43.21,43.08,43.04,43.04],"EWA^FG_PRICE(0,-200D)":[28.42,29.0,28.95,28.86,28.33,28.61,29.35,29.09,29.93,30.09,30.14,30.16,29.58,29.45,29.7,29.37,29.31,29.32,29.16,29.16,29.1,29.3,28.64,28.83,28.23,27.84,28.35,28.12,27.95,27.75,28.42,28.17,28.24,27.62,27.38,27.07,26.7,26.46,26.74,26.74,26.65,26.54,26.41,26.45,26.26,26.37,26.27,26.49,26.61,26.47,26.19,26.19,26.41,26.48,26.68,26.6,26.6,26.61,26.15,25.88,25.81,25.58,25.82,26.42,26.52,26.64,26.65,26.35,26.24,26.34,26.29,26.13,25.93,25.73,25.85,25.82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8,27.09,27.0,26.97,26.83,27.26,26.86,26.7,26.61,26.84,26.83,26.74,26.91,26.96,26.65,26.63,26.6,26.66,26.41,26.28,25.91,26.02,26.15,26.37,26.22,26.48,26.58,26.82,26.55,26.37,26.45,26.28,26.19,26.07,26.39,26.36,26.58,26.24,26.14,25.98,26.48,26.48,26.54,26.35,26.32,26.09,26.43,26.03,26.05,25.79,25.55,25.86,25.86,25.77,26.09,26.32,26.64,26.6,26.71,26.44,26.37,26.36],"MCHI^FG_PRICE(0,-200D)":[57.68,58.31,58.7,57.67,56.72,56.18,57.13,56.9,58.51,59.06,59.23,60.67,60.43,60.76,61.01,60.72,60.95,60.61,60.35,60.35,60.58,61.93,61.99,61.97,61.67,60.1,60.31,61.07,61.61,62.4,64.23,63.91,63.29,62.66,62.74,62.78,62.49,61.65,62.52,62.52,63.59,63.55,63.52,64.26,62.22,62.28,61.88,62.71,62.67,62.24,60.07,60.07,60.58,60.37,61.27,60.61,60.61,60.67,60.89,60.63,59.99,59.47,59.7,60.87,61.52,61.69,61.81,61.35,62.22,62.66,61.98,61.88,62.24,62.66,62.2,61.91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1.31,60.45,60.02,61.62,61.54,61.57,60.0,59.92,59.59,60.04,59.68,59.3,60.56,58.73,57.82,58.19,58.2,58.36,57.86,57.47,56.52,57.43,57.89,58.56,58.7,58.93,59.18,59.25,58.665,57.81,57.45,56.92,56.51,56.68,55.55,54.95,55.01,54.58,55.13,54.62,54.72,54.72,55.0,55.27,55.1,55.18,55.54,55.53,55.57,54.13,53.5,53.93,53.93,54.44,55.01,54.77,55.79,55.86,55.69,55.52,54.92,54.99],"EWM^FG_PRICE(0,-200D)":[28.53,28.78,28.58,28.27,28.49,28.54,28.82,28.36,28.69,29.22,29.65,30.01,30.02,30.01,30.13,29.82,29.67,29.65,29.72,29.72,29.71,29.98,29.69,29.83,29.57,29.18,29.49,29.42,29.32,29.18,29.27,29.84,30.06,29.5,28.78,28.43,28.26,27.88,28.17,28.17,28.28,28.2,28.05,27.97,27.59,27.36,27.43,27.63,27.61,27.42,27.36,27.36,27.57,27.53,27.64,27.69,27.69,27.53,27.41,27.2,26.88,26.6,26.79,27.09,26.98,26.87,26.52,26.37,26.32,26.64,26.59,26.73,26.67,26.6,26.43,26.64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4.87,25.13,25.05,25.13,25.5,25.72,25.19,25.19,25.18,25.13,24.98,25.03,25.27,24.94,24.6,24.51,24.38,24.4,24.24,24.13,23.98,23.49,23.84,24.04,24.05,24.19,24.3,24.21,23.99,24.03,23.93,23.93,23.71,23.8,24.09,24.08,24.11,23.98,23.95,23.93,24.41,24.41,24.41,24.38,24.34,24.07,24.07,23.82,23.77,23.53,23.41,23.59,23.59,23.53,23.93,24.26,24.54,24.45,24.28,24.32,24.25,24.31],"EWI^FG_TOTAL_RETURNC(-5AY,0,AM)":[2.1985173,0.1581788,1.1370778,6.5615654,-3.530103,3.597784,-4.1258516,-0.49535632,5.538261,-3.9504588,5.128467,-4.8563776,-16.433239,7.113588,-8.205843,-1.3812721,-8.907366,10.430241,-3.7780344,-12.801641,28.330208,1.096487,8.769691,2.1592498,-2.1136105,6.275308,-0.5714297,-0.35949945,7.0584416,-2.054584,-1.3775826,-3.7142873,2.7035952,7.447839,2.5322914,0.5606413,8.744133,-2.9411793,6.1717987,-0.12629628,1.4776945,-5.5599747,6.7844152,0.6300926,-5.400479,3.2818556,-1.0433078,9.452057,6.382978,-4.6352983,12.657297,5.6723595,1.192081,5.521977,2.1327019,-2.7262151,7.5730443,-0.84996223,4.4445276,2.1692038,-6.8471313],"EWJ^FG_TOTAL_RETURNC(-5AY,0,AM)":[-3.6477983,0.43514967,-5.5025935,6.0455203,-0.36295056,-0.29141307,6.4006925,-6.9907904,3.4849405,-2.354455,0.6762266,-5.9273424,-8.474046,-1.3836741,-4.417115,0.26462078,-3.248775,7.583475,-6.9086432,-8.19363,12.720549,0.56425333,2.5441408,2.8126717,-2.3055732,2.2719264,3.6679864,4.737544,-0.5749881,-1.4136553,1.5316963,-3.1776607,0.2320528,4.266572,6.8458796,0.81288815,4.494548,-1.3146698,-1.6072989,1.3997436,4.401231,-7.9411745,6.8766117,1.1387944,-3.5890281,2.7299285,-5.8362246,4.2611837,2.2052288,-5.322206,10.604679,1.9368052,-1.7049074,9.494198,1.9310832,-2.9717684,7.631445,-0.4031241,5.3803444,9.473562,-9.831852],"TUR^FG_TOTAL_RETURNC(-5AY,0,AM)":[-5.236137,-16.612494,-0.9094894,5.7644725,-9.574467,7.0117593,0.35179853,-7.2743177,5.576563,-10.966879,5.0421476,-2.9807627,-9.0188265,25.0,-7.886714,-5.772382,-6.2984047,15.867769,25.154531,-7.2948337,23.114765,17.809582,-4.6978474,-12.544698,24.87223,-5.4570255,-6.4646482,-5.193061,3.5401225,17.193104,6.557369,-0.7301152,-8.983445,-1.8470526,0.4656911,12.511086,-5.3627787,6.02777,8.226358,-0.86984634,7.194066,-13.353324,-3.832841,-6.8364263,2.7332187,7.779062,-2.8379917,-3.299135,7.855499,-14.726204,1.6832829,-3.2188833,6.6672444,4.1302443,-6.5720916,1.7663479,0.57855844,5.419314,8.927584,11.640919,-6.1321855],"EWY^FG_TOTAL_RETURNC(-5AY,0,AM)":[-6.4505816,3.2034516,-2.9389083,5.0578356,-1.8782377,-3.9273918,-4.2597055,-8.539647,4.2500377,1.2794733,0.9238839,-8.612257,-7.9423904,2.101028,-8.523053,0.71793795,-10.375416,9.915161,-9.422731,-12.799579,23.635996,-4.1659775,7.7351093,0.83925724,-7.5384083,7.5991035,-4.6492934,12.434614,-0.81032515,-4.5083227,-1.7585576,-4.8056784,2.1514535,4.56053,-0.13483763,5.0358534,4.297912,-6.858081,3.6256194,0.75525045,5.0175905,-9.308088,0.40154457,1.4077783,-10.317087,-2.4098516,-1.1951566,3.0642748,1.4322042,-2.9311895,6.867981,16.626465,7.194555,2.1223783,6.1538577,2.6188612,18.830526,-3.388238,20.220959,20.077122,-5.5810394],"ECH^FG_TOTAL_RETURNC(-5AY,0,AM)":[5.0586104,2.29007,-9.213549,-5.2777767,-5.4989758,-0.35919547,-0.07209778,-12.193357,11.75021,-6.985301,1.6136765,6.468463,-0.7924497,6.504369,-10.071426,14.421105,-18.880875,25.389408,1.224494,-17.566622,16.971504,-1.8181801,4.4728875,6.4727306,-1.5027344,-1.3869584,6.680727,-2.0112872,6.9954515,-3.6122918,-9.920305,-5.9111414,-1.2404919,9.278763,-2.7151704,-4.4495583,7.3063016,0.07482767,5.1214933,-1.3839483,1.4798403,-6.3798785,0.661993,3.4816265,-7.0280313,4.101324,-2.8456926,13.841248,2.8030753,-3.237903,13.948572,0.49458742,-4.1236877,4.785311,3.9099216,-5.177605,18.285704,6.7632914,10.672701,0.86619854,-11.231643],"SPY^FG_PRICE(0,-200D)":[666.06,676.33,677.18,678.27,672.38,681.31,685.13,680.33,686.38,685.99,689.3,693.15,687.35,682.39,689.43,684.48,686.29,682.85,681.75,681.75,681.27,691.96,692.12,693.95,690.62,677.62,686.19,689.53,695.41,691.97,694.04,695.42,695.49,692.73,689.23,688.98,685.4,677.58,691.66,691.66,692.24,690.36,693.77,695.16,694.07,689.51,689.58,691.81,687.72,683.17,681.92,681.92,687.01,687.85,690.31,690.38,690.38,687.96,684.83,680.59,676.47,671.4,678.87,680.73,681.76,689.17,687.57,683.04,683.63,685.69,684.39,683.89,681.53,680.27,683.39,679.68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5.34,620.45,617.65,617.85,614.91,611.87,607.12,606.78,600.15,594.28,597.44,597.44,597.53,602.68,597.0,603.75,601.36,603.08,599.68,599.14,593.05],"ENZL^FG_PRICE(0,-200D)":[44.6653,45.1753,44.9836,45.21,45.7138,46.06,46.58,46.05,47.1153,47.4776,47.225,47.1645,46.72,45.9335,45.8355,46.0172,45.25,44.905,46.7721,46.7721,47.4568,47.898,47.995,47.975,47.6,47.11,46.72,47.242,47.1177,46.9408,47.234,47.11,47.52,46.87,46.624,46.755,46.11,46.09,45.755,45.755,45.6301,45.89,45.52,46.1,45.98,46.115,46.295,46.1476,45.8584,45.4719,45.2715,45.2715,45.41,45.41,45.73,45.74,45.74,45.54,45.18,44.82,44.6999,44.635,45.1265,45.75,45.71,46.35,46.2943,45.9504,46.0267,45.995,46.005,46.1656,45.8184,45.48,45.6257,45.4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6,44.87,44.67,45.19,45.62,45.7829,45.58,45.675,45.605,45.845,45.684,45.57,45.82,45.659,45.79,45.745,45.795,45.63,45.255,44.93,44.69,45.05,45.19,45.8343,45.64,46.0511,45.98,46.135,46.155,46.3676,45.695,45.872,45.56,44.89,45.49,45.76,46.01,46.07,45.98,45.5,45.96,45.96,46.265,45.96,45.61,45.37,45.32,44.6,44.79,44.86,44.6,45.08,45.08,45.09,45.97,45.19,46.07,45.76,45.65,45.32,45.31,45.53],"INDA^FG_PRICE(0,-200D)":[48.52,49.27,49.93,49.98,49.99,50.37,50.27,50.22,50.95,52.27,52.58,52.74,52.67,52.61,53.42,52.3,53.32,53.27,52.89,52.89,53.11,53.53,53.74,53.44,53.28,52.95,53.44,53.15,53.28,51.74,51.61,51.49,51.69,51.44,51.24,51.795,51.55,51.73,52.85,52.85,53.22,53.25,53.04,53.4,53.175,53.72,54.2,54.08,54.29,54.56,54.05,54.05,53.64,53.47,53.84,54.01,54.01,54.47,54.19,54.15,53.28,52.97,52.95,53.1,53.14,53.57,53.36,53.27,53.08,53.97,53.76,53.41,53.88,54.33,54.71,54.67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1.98,52.54,52.68,52.55,53.23,53.58,53.57,53.8,53.65,53.5,52.71,52.41,52.71,52.465,52.27,52.12,52.53,52.255,52.41,52.48,52.72,52.64,52.7,53.49,53.23,53.8,54.06,54.73,54.61,54.75,54.5,55.01,55.27,54.875,54.92,54.88,55.27,55.66,55.69,55.36,55.79,55.79,55.6,55.84,55.68,55.86,55.71,55.0,54.8,54.31,53.9,53.79,53.79,53.83,54.56,54.04,54.8,55.33,55.26,55.24,54.91,54.18],"EPU^FG_PRICE(0,-200D)":[81.95,84.67,86.87,83.97,83.19,84.72,88.67,87.55,93.38,93.84,93.46,93.37,92.18,90.66,89.66,88.13,86.571,84.91,86.67,86.67,87.03,90.05,89.43,91.08,88.15,85.17,88.38,91.33,87.4,86.6,92.57,92.07,91.61,90.43,88.38,86.2,85.04,84.78,82.63,82.63,83.01,82.26,80.99,80.55,78.19,76.55,75.42,76.71,74.87,72.71,72.35,72.35,72.91,71.95,73.77,72.74,72.74,72.78,72.08,71.2,69.98,69.18,69.3,69.25,69.3,69.68,68.29,67.48,66.53,67.03,67.0,66.03,64.67,64.57,64.47,63.1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8,53.4188,52.9672,53.39,52.93,53.23,52.009,51.75,51.68,52.3821,52.1916,51.95,52.16,51.75,51.1309,51.72,50.7055,50.1833,49.7,49.27,48.35,48.65,47.99,49.44,49.15,49.61,49.98,50.3,49.55,48.93,48.32,48.2014,48.0038,48.12,48.69,48.83,49.12,48.81,49.3,49.62,50.06,50.06,49.75,48.8572,48.59,48.49,49.1078,47.3159,47.313,46.97,47.08,47.4137,47.4137,47.62,47.7117,48.2913,48.5848,48.44,48.2311,48.53,48.5916,48.7961],"EWD^FG_TOTAL_RETURNC(-5AY,0,AM)":[5.344224,2.658403,0.3452778,6.0257435,-1.1415482,2.1205068,-2.0764768,-5.3747654,7.987571,-4.848975,3.1886697,-11.72027,-12.004889,6.3350916,-12.568593,2.5562763,-7.7661095,9.980499,-6.1483917,-15.968502,27.886057,-0.3516972,4.653728,-1.243645,-4.092729,6.923318,0.5581856,-1.8318057,2.4597168,-6.0430527,-3.7591755,2.7464032,-2.168101,14.875531,2.30695,0.555861,8.844423,-6.3361526,5.4737926,4.422128,-0.8575499,-6.7515554,5.333674,2.005875,-7.170266,0.5683303,-3.5191357,14.430237,1.8380642,-7.904953,11.858093,2.0625472,1.250124,0.9216666,2.7179837,-0.6774008,4.049444,1.1470795,4.383564,4.9302697,-5.409956],"EWG^FG_TOTAL_RETURNC(-5AY,0,AM)":[0.72836876,4.127753,-0.52083135,5.367148,-1.3475537,-0.1707375,-1.7103851,-5.684453,4.8892975,-4.1923227,3.4269214,-5.7893157,-15.394365,1.3103724,-7.243162,1.9830704,-11.759967,10.451853,-4.7520695,-14.403468,25.84896,1.8525958,9.843147,0.0,-1.6924798,5.567765,0.10409355,0.21730661,2.594173,-2.6324928,-3.2017112,-4.152882,0.99693537,10.478365,0.41761398,0.410676,7.089293,-3.7237406,6.3801646,-0.17626882,1.8181801,-5.7017508,6.744194,3.2990932,-4.8508525,4.5598507,-2.9981852,11.6141205,6.2657356,-4.264289,11.025572,4.5567155,2.2053957,-0.7067144,-1.9928813,0.5083442,0.38535595,1.199615,3.9118052,0.2965927,-8.234757],"SET-BKK^FG_TOTAL_RETURNC(-5AY,0,AM)":[3.9672494,-1.7261922,1.9940019,4.1168094,-5.2989244,-1.1052728,6.6966414,0.5069256,-0.5901575,-0.96147656,3.724444,1.233244,-2.4240792,0.98490715,-5.3645015,3.0356169,-5.2565756,4.8784614,2.6802063,-6.301099,4.902041,-0.8648455,3.9627075,-1.3558924,-3.9000988,-0.43634176,-1.9665122,-0.6366253,-3.884852,2.9521108,0.6735444,-6.130701,-4.2171297,-1.1262417,2.8829932,-1.7141461,-0.6960392,1.2140989,-1.7531037,-4.0243506,1.1658072,-2.6253045,9.599328,3.413105,-1.7026067,-0.35845637,-4.9934387,-6.141859,-9.650528,-2.7067602,7.2900534,-6.798023,-0.6636441,12.30365,2.7440906,-0.51329136,-0.16860366,-2.3902416,-0.94888806,16.046535,-0.81371665],"EWW^FG_TOTAL_RETURNC(-5AY,0,AM)":[3.1051636,2.5781393,2.3354053,8.077836,-3.0198634,2.5705457,1.8948555,-3.379321,0.95198154,-1.4350057,8.39839,-2.0821154,-2.3251176,8.0773115,-9.356171,-0.026535988,-4.788023,7.7979684,-1.8701196,-4.41885,17.462753,-2.9099047,10.753071,-0.31864047,1.1898398,4.6156526,4.2106986,1.551044,1.4851451,-2.360344,-3.3843637,-7.589656,6.516242,9.320461,4.439628,1.7935276,-2.9760182,2.8841734,1.5574098,-18.247055,11.241221,-11.206472,-1.9332528,2.4177074,-8.153254,1.7595887,-5.495751,10.118794,-1.7915606,-0.58846474,14.127863,6.448829,-0.57024956,3.6587358,6.080544,-2.6164591,5.8549523,3.7118554,3.919363,10.907578,-9.697199],"CNYA^FG_TOTAL_RETURNC(-5AY,0,AM)":[-14.531827,-3.034383,2.8245807,6.63203,-0.36215186,-2.271694,1.7433763,-3.381312,2.74297,3.4522414,-3.861177,-7.3563814,-5.2684546,-3.5125136,-10.479868,8.7986355,2.7233958,-1.1322856,-4.776531,-11.704313,3.7541509,3.9705515,5.7517886,0.0,-4.6539426,2.659583,-5.1813483,-4.560107,0.67499876,-1.3037264,-3.0267239,-2.6269674,-1.9424438,-1.8341899,-4.610592,1.9587874,6.984186,-4.335952,6.253183,-3.5418332,-1.8369675,-2.9239774,-4.0160656,26.15063,-0.895524,-1.4056206,-8.832979,6.9939137,1.1273861,-4.7300816,5.0203085,-0.10545254,3.1540751,5.239725,9.339404,-2.0238101,4.5868874,-1.0165513,8.071339,-1.8492937,-0.112485886],"QQQ^FG_PRICE(0,-200D)":[597.26,607.69,607.77,607.76,599.75,608.91,610.75,601.58,608.09,607.29,609.24,616.68,607.87,601.41,608.81,603.47,605.79,601.3,601.92,601.92,600.64,613.11,611.47,614.32,609.65,597.03,605.75,616.52,626.14,621.87,629.43,633.22,631.13,625.46,622.72,620.76,616.28,608.06,621.26,621.26,621.78,619.55,626.24,627.17,626.65,620.47,624.02,623.42,617.99,613.12,614.31,614.31,619.43,620.87,623.89,623.93,623.93,622.11,619.21,617.05,609.11,600.41,611.75,610.54,613.62,625.58,627.61,625.05,624.28,625.48,622.94,623.52,622.0,617.17,619.25,614.27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6.22,550.8,546.99,551.64,548.09,546.22,541.16,539.78,531.65,526.83,528.99,528.99,529.08,534.29,526.96,533.66,532.41,534.21,530.7,529.92,524.79],"KSA^FG_PRICE(0,-200D)":[37.9,38.11,38.28,38.25,37.09,37.25,37.46,36.68,36.58,37.17,37.13,37.92,38.18,38.3,38.63,38.13,39.12,38.94,39.16,39.16,38.94,39.19,39.23,39.46,39.75,39.22,39.63,39.57,39.79,39.86,39.87,40.14,40.12,39.61,39.01,38.93,38.3,37.94,37.83,37.83,37.99,38.21,38.21,37.82,36.87,36.82,36.32,37.03,36.0,36.77,36.41,36.41,36.05,36.39,36.57,36.6,36.6,36.76,36.55,36.36,36.3,35.83,36.09,36.81,37.4,37.62,37.66,37.43,37.19,37.2,37.17,37.04,36.98,37.06,37.44,37.38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36,37.47,37.68,38.02,38.08,38.13,37.94,37.89,37.84,37.83,37.55,37.59,37.44,37.49,37.43,37.83,37.83,38.04,37.78,37.63,37.32,37.56,37.62,37.39,37.61,37.72,37.68,37.97,37.5,37.82,38.13,38.17,38.1,38.09,38.65,38.89,39.0,38.89,38.9,39.08,38.89,38.89,38.44,38.25,38.54,38.26,38.16,37.82,37.72,37.1,36.56,36.36,36.36,36.83,37.48,37.13,38.07,38.46,38.72,38.57,38.51,38.48],"GREK^FG_PRICE(0,-200D)":[64.81,66.58,66.37,65.08,65.15,65.87,66.74,63.86,67.67,70.68,72.03,71.51,70.34,71.04,70.9,71.04,72.89,70.66,71.9,71.9,73.56,73.84,74.54,74.77,75.17,74.65,76.09,76.02,74.66,73.75,75.62,77.2,75.35,73.06,72.25,72.2,70.74,69.88,70.03,70.03,69.84,69.15,69.0,69.49,68.98,69.19,67.98,67.39,67.61,67.4446,65.91,65.91,66.5,68.0,68.61,68.16,68.16,68.21,68.39,67.25,66.94,66.25,66.81,67.45,67.24,67.67,66.77,65.8,66.97,66.45,66.3,66.37,66.64,66.28,65.32,66.15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09,63.94,64.49,64.98,65.62,65.995,65.2,65.4,65.15,65.58,66.89,66.53,66.81,66.35,65.68,65.0692,64.58,64.2,62.98,62.02,60.34,60.51,60.44,60.98,60.45,62.15,62.0,62.58,61.43,61.53,61.2,61.52,60.8,60.25,60.82,60.99,61.32,61.08,60.9,59.12,59.72,59.72,59.34,58.63,58.04,58.17,59.31,58.42,57.86,56.55,54.71,54.58,54.58,54.88,55.79,56.0,56.89,56.52,56.48,55.85,55.46,55.77],"EPOL^FG_PRICE(0,-200D)":[34.87,35.73,35.68,35.66,35.37,35.8,36.21,35.53,37.31,38.13,38.19,38.71,37.95,38.1,37.81,37.65,37.73,37.5,37.67,37.67,37.91,38.39,38.11,38.76,37.92,37.37,38.28,38.35,37.66,37.59,38.38,38.25,38.44,37.74,36.89,37.26,36.15,35.84,35.92,35.92,36.15,36.03,36.09,36.38,36.2,35.82,36.6,36.26,36.17,36.25,35.19,35.19,35.16,34.96,35.2,35.15,35.15,34.99,35.2,34.78,34.41,34.27,34.41,35.9,35.2,35.27,34.88,34.25,33.51,33.44,33.53,33.61,33.65,33.9,34.07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1.7,32.07,32.34,32.86,32.59,32.7,33.38,33.78,33.79,33.64,33.45,33.27,34.07,33.99,33.44,33.97,33.53,32.84,31.79,31.94,31.7,31.75,32.21,32.25,32.13,33.35,33.29,33.45,32.93,32.9,32.86,32.34,31.97,31.66,32.14,31.95,32.05,32.72,32.62,32.25,32.82,32.82,32.19,32.06,32.26,31.69,31.65,30.57,30.56,29.51,29.72,29.36,29.36,29.39,29.38,29.86,30.63,30.62,30.83,30.0,29.46,29.75],"EWN^FG_TOTAL_RETURNC(-5AY,0,AM)":[-2.4363756,5.997777,-1.9562483,7.422006,-2.2316039,4.5856476,3.8537145,-7.099581,8.029342,-6.979811,0.9422302,-9.235734,-14.419013,3.997922,-10.496759,3.1881213,-7.4753523,13.820648,-7.5402975,-15.860521,26.169788,3.8145661,6.9114327,-0.12007356,-4.376054,5.783248,-0.8081794,2.6227474,4.132235,-2.8798103,-7.681531,-3.1360686,4.7258496,8.451759,0.9397626,8.214771,4.092455,-1.7926276,5.0611973,3.9632916,1.1138916,-9.401709,2.9140472,1.9759655,-9.848184,1.9720793,-2.1133602,7.262647,0.45194626,-4.8004923,12.639153,6.065893,0.7424474,-2.6513517,3.195548,3.6223888,4.2196274,-0.72844625,8.154022,0.80274343,-4.1768255],"EWC^FG_TOTAL_RETURNC(-5AY,0,AM)":[4.866171,1.3631105,3.6337614,5.06016,-1.5071392,1.2885928,-1.2986958,1.3694882,5.960262,-4.9250007,4.836917,-1.321137,-0.82389116,2.2845268,-11.472082,4.644692,-8.915263,9.818184,-2.3730695,-14.2170725,15.4530525,-2.9395044,3.5155177,2.276659,-7.382369,6.5713406,-0.6565809,-0.9606242,2.403283,0.0572443,-1.372999,-3.6832988,0.24089813,4.8963547,5.397284,0.38557053,3.7585735,-1.7715454,2.7994514,-1.9079089,4.0420413,-1.8388987,6.596303,2.9702902,1.5625,-0.23668408,-3.7790716,4.847574,-5.052429,0.07529259,8.051168,6.778085,0.9530544,2.9915452,4.399073,0.524199,3.790617,4.135263,3.1431317,0.30858517,1.0676861],"QAT^FG_TOTAL_RETURNC(-5AY,0,AM)":[-1.2714624,2.8544307,2.7673244,-0.54244995,0.5956888,1.6710162,1.1813164,4.6527863,3.1692982,-3.8081884,4.6851516,8.911443,2.1496177,4.882157,-5.939001,-3.9583564,-6.25,14.0196085,-4.408002,-3.124386,3.047347,-11.967701,-2.35039,-6.0174046,3.7650585,-1.1898279,5.309248,-3.3654153,-0.39128065,3.5353541,-2.7100265,-5.2367687,1.116991,-3.372091,8.303249,-3.6111116,3.1700253,-3.2960892,-0.635463,0.560081,5.1452756,-0.34543276,4.563844,1.43646,0.21785498,-0.8152127,-2.0794272,1.7055154,1.0620475,-2.5995553,6.189668,1.06951,1.483357,8.222103,-3.6013782,-1.5864968,1.6900659,-1.2017429,2.7309537,2.3717642,-6.849313],"EWT^FG_TOTAL_RETURNC(-5AY,0,AM)":[-1.6846359,4.2666197,-6.557107,11.71298,1.826191,-1.7161429,2.5011897,-7.489264,8.29463,2.4356723,3.6442041,-3.2468438,-7.4471354,-2.996689,-10.001707,4.0584087,-11.518133,9.186399,-6.22524,-14.805878,13.553726,3.3686757,2.8966308,3.599453,-3.1403124,3.4950495,-3.7769318,10.898172,0.08327961,-4.743081,-0.8080423,0.55041313,1.2480974,5.514705,1.8902183,6.2585115,4.8015356,-1.5068233,2.253461,6.429434,7.9217315,-8.713257,1.2340903,4.9333334,-1.9241273,0.055527687,-2.3096442,2.366054,-3.2091677,-9.966451,16.067516,7.1576953,2.7493834,4.7855973,2.8482556,-1.925838,6.1506033,-2.0027578,8.720076,8.916235,-3.8588703],"ECH^JULIAN(FG_TOTAL_RETURNC(-5AY,0,AM).DATES)":[44267,44298,44328,44358,44389,44420,44449,44481,44512,44540,44573,44603,44631,44663,44693,44722,44754,44785,44816,44846,44876,44907,44938,44967,44995,45028,45058,45089,45119,45149,45181,45211,45240,45272,45303,45334,45363,45394,45422,45455,45485,45516,45547,45576,45608,45638,45667,45700,45728,45758,45789,45820,45849,45881,45912,45940,45973,46003,46034,46065,46093],"EWU^FG_PRICE(0,-200D)":[45.88,46.31,46.41,46.29,46.02,46.24,47.24,46.76,48.12,48.68,48.61,48.66,47.98,47.89,48.04,47.68,47.88,47.42,47.25,47.25,47.01,47.43,46.74,47.02,46.9,45.94,47.05,46.47,46.54,46.16,46.44,46.24,46.5,45.83,45.57,45.07,45.16,44.7,45.18,45.18,45.09,45.28,44.98,45.09,44.79,44.6,44.49,45.05,44.81,44.46,43.98,43.98,44.22,44.02,44.24,44.08,44.08,43.98,43.79,43.54,43.13,42.94,42.73,43.75,43.28,43.65,43.46,42.88,43.08,43.22,43.42,43.46,43.01,42.93,43.15,42.99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46,41.57,41.66,41.74,41.79,42.08,41.66,41.72,41.29,41.29,41.27,41.5,41.36,41.03,40.64,40.53,40.49,40.38,40.23,40.21,39.94,39.81,40.04,40.39,40.12,40.64,40.77,40.9,40.43,40.01,39.8,39.83,39.85,39.59,40.03,39.92,40.27,40.01,39.79,39.42,39.82,39.82,39.61,39.85,39.72,39.72,39.69,39.28,39.41,39.17,38.9,39.22,39.22,39.2,39.62,40.42,40.78,40.41,40.31,40.34,40.35,40.22],"EZA^FG_PRICE(0,-200D)":[69.02,71.05,73.04,72.0,70.52,71.42,74.34,73.56,79.9,81.6,80.76,80.27,79.25,77.89,77.25,75.01,75.57,74.71,75.32,75.32,74.15,76.53,75.41,75.72,74.77,71.6,73.98,74.56,73.25,73.2,79.58,80.14,79.02,77.38,76.34,75.56,73.52,73.44,72.78,72.78,73.74,73.39,73.09,72.78,70.69,70.34,71.45,72.74,70.24,69.4,68.8,68.8,69.23,68.43,70.31,69.92,69.92,69.54,68.79,67.6,67.51,66.64,65.7,69.61,68.63,69.5,68.18,66.91,66.39,67.88,67.05,66.92,66.5,67.45,66.74,67.83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67,57.15,57.38,58.1,58.35,58.8,56.91,57.11,56.67,57.11,57.62,57.64,58.36,57.5,56.36,56.45,56.66,56.17,55.4,55.05,53.43,53.05,53.99,54.54,54.22,54.74,55.44,56.27,55.74,55.7,54.81,53.57,53.43,52.86,52.99,52.98,53.95,54.0,53.81,53.84,54.79,54.79,54.31,54.21,53.75,52.64,52.98,52.89,53.46,52.35,51.73,51.8,51.8,51.56,53.04,53.3,54.77,54.08,54.66,54.44,53.94,54.03],"EWQ^FG_TOTAL_RETURNC(-5AY,0,AM)":[4.0959716,1.2928605,3.107655,6.4504385,-2.7862966,3.3394694,-1.7048299,-3.2876015,7.2269797,-2.6210785,4.7421336,-6.03621,-12.981802,4.490936,-7.4183106,2.45862,-6.90096,11.9080305,-5.335784,-12.406868,21.708572,2.765119,7.571709,0.44138432,-0.8239448,7.5879216,-0.33461452,-1.7777443,4.8655868,-1.9994855,-3.6358893,-4.505974,1.620233,7.60839,0.46815872,1.0677099,6.467402,-4.1384277,6.033826,-2.866155,-0.8527696,-5.2112284,4.056585,0.8976579,-7.498729,0.98928213,-1.5821993,10.334253,3.4334779,-4.8816204,7.2876573,4.2095184,1.580286,-0.901109,1.3989329,-0.45987964,4.273498,-0.5759835,3.2396674,1.2581348,-6.640959],"EWM^FG_TOTAL_RETURNC(-5AY,0,AM)":[-1.1075377,-0.36127567,-2.248007,1.3515353,-5.851263,-1.1226952,6.4071417,0.9908557,-3.4339607,-3.7123919,6.5146685,-1.101929,-0.31834245,2.3153663,-7.5302305,-3.1652272,-4.179639,5.7540655,-1.4480114,-11.175418,8.721805,4.8870444,3.2314897,-1.1607945,-7.0465384,4.6794534,-3.1291962,-4.721445,1.7258286,3.4900665,-1.4051557,-1.1401415,1.0571957,0.38040876,3.117323,-0.8882582,4.3867826,-2.2141874,4.9907565,2.3619413,1.8785477,2.9159546,6.04167,1.7681718,-5.5598497,0.73589087,-2.2165835,1.7758965,-6.3980045,-0.31070113,9.082818,0.16326904,0.208354,3.5714269,2.1250963,-0.5496621,4.7374725,1.6961932,5.3156734,6.2209487,-3.9717197],"UAE^FG_PRICE(0,-200D)":[17.89,18.68,19.11,19.17,19.08,19.4,19.835,19.69,20.31,21.35,21.54,22.0,22.0,21.96,21.63,21.69,22.23,21.85,21.94,21.94,21.89,21.83,21.9,21.89,21.73,21.39,21.29,21.11,20.94,20.49,20.66,20.75,20.71,20.41,20.46,20.62,20.3,20.09,19.87,19.87,19.73,19.59,19.76,19.55,19.43,19.65,19.65,19.425,19.22,19.2151,19.12,19.12,19.05,19.6,19.54,19.52,19.52,19.56,19.45,19.25,19.31,19.1129,19.24,19.38,19.35,19.51,19.4401,19.38,19.08,19.22,19.05,18.85,18.53,18.4941,18.58,18.53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38,19.53,19.68,19.75,19.83,19.96,19.753,19.8,19.8383,19.965,19.905,19.98,19.93,20.15,20.08,20.14,20.1,20.25,20.01,20.21,19.95,20.0399,20.26,20.145,20.32,20.35,20.11,20.105,19.795,19.9,19.98,20.05,19.86,19.41,19.37,19.21,19.08,19.13,18.84,18.86,18.84,18.84,18.6,18.66,18.72,18.57,18.5,18.22,18.3,17.66,17.26,16.99,16.99,17.24,17.56,17.88,18.395,18.72,18.78,18.71,18.67,18.61],"EIDO^FG_PRICE(0,-200D)":[15.86,16.17,16.32,16.4,16.21,16.66,16.87,17.15,17.52,17.82,17.89,18.22,17.95,18.11,18.06,17.83,17.87,17.82,17.77,17.77,17.89,18.09,17.75,17.6,17.6,17.51,17.79,17.59,17.41,17.65,17.58,17.26,19.18,19.2,19.01,19.05,18.94,19.13,19.14,19.14,19.22,19.14,19.03,18.99,19.01,18.99,19.03,19.08,19.04,18.81,18.7,18.7,18.67,18.67,18.47,18.45,18.45,18.56,18.68,18.58,18.63,18.6,18.67,18.86,18.76,18.68,18.86,18.68,18.87,18.82,18.79,18.83,18.92,18.79,18.67,18.8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7.67,18.19,18.16,18.38,18.61,18.65,18.44,18.6,18.31,18.43,18.5,18.63,18.83,18.61,17.98,17.83,17.72,17.66,17.62,17.59,17.61,17.27,17.58,17.8,17.75,17.6,17.81,17.81,17.56,17.73,17.69,17.76,17.7,17.72,17.63,17.87,17.76,17.47,17.31,17.34,17.47,17.47,17.48,17.49,17.63,17.49,17.51,17.18,17.38,16.89,17.18,17.87,17.87,18.02,18.01,18.62,18.9,18.91,18.84,18.59,18.51,18.56],"SPY^FG_TOTAL_RETURNC(-5AY,0,AM)":[0.36164522,4.8039675,-1.5134633,4.6619415,3.3511639,1.837194,0.07414818,-2.3386002,7.7602506,0.74261427,0.41553974,-6.488049,-4.6292486,4.6579957,-10.483927,-0.6474018,-1.8800914,12.149787,-3.7766337,-12.880182,11.765205,0.110411644,-0.036346912,2.791214,-5.423486,6.1454654,0.8675456,5.3961396,3.2002807,-0.082957745,0.076293945,-2.4174273,1.6026378,5.331254,3.1277537,5.097759,3.1538248,-0.83824396,1.9555688,3.9397836,3.7754893,-4.771507,4.8418283,3.9833188,2.9883742,1.2447596,-3.6254942,3.9397717,-7.3737087,-4.173553,9.186422,3.5609603,3.5972,3.0579567,2.290368,-0.39371848,4.6491623,-0.23705363,2.264142,-1.9980967,-2.2325993],"INDA^FG_TOTAL_RETURNC(-5AY,0,AM)":[-0.32550693,-6.321436,2.8510928,9.55509,-1.9022346,3.3821821,7.5027347,0.081157684,2.9393792,-4.4505653,6.4561605,-8.92784,-4.709077,7.127583,-10.35707,-0.4205823,-0.69565177,9.357012,1.6243458,-8.734798,8.60877,-2.4528682,-1.1408627,-4.9929323,-2.4789274,2.1860719,2.7860641,2.5168777,4.6830654,-1.4459968,3.301239,-1.642257,0.38357973,6.4958453,5.4453254,0.6405115,2.8042912,-0.038695335,-0.58060884,6.423986,4.3899775,-2.4531305,3.75427,-0.9868443,-5.9101224,2.7689934,-6.718296,-2.753371,-2.1485925,4.1658044,7.0134044,0.8836508,0.1459837,-4.40051,1.3056397,-0.7149577,3.3920765,-2.6026428,0.4892826,-0.5430758,-8.642441],"EPU^FG_TOTAL_RETURNC(-5AY,0,AM)":[-2.09772,-3.1272054,-1.4754891,-11.449832,-6.537217,-8.067864,3.1261802,3.9810061,6.4629436,-5.3447666,19.96559,0.7436037,8.709776,-3.4763694,-22.115929,9.571362,-16.95726,12.391925,-2.8571367,-4.411763,16.607487,-0.47361255,10.43998,-6.764799,-2.082634,6.2435627,-2.0665169,3.0252934,4.652691,2.6299238,-3.9048135,-8.222222,1.1760592,4.697776,13.350761,-0.38235784,10.2096195,6.9304585,6.7017436,-1.7520249,3.428018,-6.439394,1.0918498,9.75808,-2.919042,2.2081256,-5.0177574,4.3187737,-0.1028955,0.8093953,6.308663,8.593655,2.3921132,5.9799314,11.628985,5.4389954,5.6969285,7.642138,16.710842,8.044683,-5.837071]}]]></FdsFormulaCache>
</file>

<file path=customXml/itemProps1.xml><?xml version="1.0" encoding="utf-8"?>
<ds:datastoreItem xmlns:ds="http://schemas.openxmlformats.org/officeDocument/2006/customXml" ds:itemID="{E4344BFA-5B9C-4FE3-8E18-748197232F1C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2026-03-13T07:36:13Z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