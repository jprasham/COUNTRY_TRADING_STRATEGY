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AB944E1F-E353-400F-9218-8892C7ED53DF}" xr6:coauthVersionLast="47" xr6:coauthVersionMax="47" xr10:uidLastSave="{00000000-0000-0000-0000-000000000000}"/>
  <bookViews>
    <workbookView xWindow="25620" yWindow="-98" windowWidth="22140" windowHeight="11821" firstSheet="1" activeTab="2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2" i="6" l="1" a="1"/>
  <c r="AI2" i="6" l="1"/>
  <c r="AH2" i="6" a="1"/>
  <c r="AH2" i="6" l="1"/>
  <c r="AG2" i="6" a="1"/>
  <c r="AG2" i="6" l="1"/>
  <c r="AF2" i="6" a="1"/>
  <c r="AF2" i="6" l="1"/>
  <c r="AE2" i="6" a="1"/>
  <c r="AE2" i="6" l="1"/>
  <c r="AD2" i="6" a="1"/>
  <c r="AD2" i="6" l="1"/>
  <c r="AC2" i="6" a="1"/>
  <c r="AC2" i="6" l="1"/>
  <c r="AB2" i="6" a="1"/>
  <c r="AB2" i="6" l="1"/>
  <c r="AA2" i="6" a="1"/>
  <c r="AA2" i="6" l="1"/>
  <c r="Z2" i="6" a="1"/>
  <c r="Z2" i="6" l="1"/>
  <c r="Y2" i="6" a="1"/>
  <c r="Y2" i="6" l="1"/>
  <c r="X2" i="6" a="1"/>
  <c r="X2" i="6" l="1"/>
  <c r="W2" i="6" a="1"/>
  <c r="W2" i="6" l="1"/>
  <c r="V2" i="6" a="1"/>
  <c r="V2" i="6" l="1"/>
  <c r="U2" i="6" a="1"/>
  <c r="U2" i="6" l="1"/>
  <c r="T2" i="6" a="1"/>
  <c r="T2" i="6" l="1"/>
  <c r="S2" i="6" a="1"/>
  <c r="S2" i="6" l="1"/>
  <c r="R2" i="6" a="1"/>
  <c r="R2" i="6" l="1"/>
  <c r="Q2" i="6" a="1"/>
  <c r="Q2" i="6" l="1"/>
  <c r="P2" i="6" a="1"/>
  <c r="P2" i="6" l="1"/>
  <c r="O2" i="6" a="1"/>
  <c r="O2" i="6" l="1"/>
  <c r="N2" i="6" a="1"/>
  <c r="N2" i="6" l="1"/>
  <c r="M2" i="6" a="1"/>
  <c r="M2" i="6" l="1"/>
  <c r="L2" i="6" a="1"/>
  <c r="L2" i="6" l="1"/>
  <c r="K2" i="6" a="1"/>
  <c r="K2" i="6" l="1"/>
  <c r="J2" i="6" a="1"/>
  <c r="J2" i="6" l="1"/>
  <c r="I2" i="6" a="1"/>
  <c r="I2" i="6" l="1"/>
  <c r="H2" i="6" a="1"/>
  <c r="H2" i="6" l="1"/>
  <c r="G2" i="6" a="1"/>
  <c r="G2" i="6" l="1"/>
  <c r="F2" i="6" a="1"/>
  <c r="F2" i="6" l="1"/>
  <c r="E2" i="6" a="1"/>
  <c r="E2" i="6" l="1"/>
  <c r="D2" i="6" a="1"/>
  <c r="D2" i="6" l="1"/>
  <c r="C2" i="6" a="1"/>
  <c r="C2" i="6" l="1"/>
  <c r="B2" i="6" a="1"/>
  <c r="B2" i="6" l="1"/>
  <c r="A2" i="6" a="1"/>
  <c r="A2" i="6" l="1"/>
  <c r="AI2" i="1" a="1"/>
  <c r="AI2" i="1" l="1"/>
  <c r="AH2" i="1" a="1"/>
  <c r="AH2" i="1" l="1"/>
  <c r="AG2" i="1" a="1"/>
  <c r="AG2" i="1" l="1"/>
  <c r="AF2" i="1" a="1"/>
  <c r="AF2" i="1" l="1"/>
  <c r="AE2" i="1" a="1"/>
  <c r="AE2" i="1" l="1"/>
  <c r="AD2" i="1" a="1"/>
  <c r="AD2" i="1" l="1"/>
  <c r="AC2" i="1" a="1"/>
  <c r="AC2" i="1" l="1"/>
  <c r="AB2" i="1" a="1"/>
  <c r="AB2" i="1" l="1"/>
  <c r="AA2" i="1" a="1"/>
  <c r="AA2" i="1" l="1"/>
  <c r="Z2" i="1" a="1"/>
  <c r="Z2" i="1" l="1"/>
  <c r="Y2" i="1" a="1"/>
  <c r="Y2" i="1" l="1"/>
  <c r="X2" i="1" a="1"/>
  <c r="X2" i="1" l="1"/>
  <c r="W2" i="1" a="1"/>
  <c r="W2" i="1" l="1"/>
  <c r="V2" i="1" a="1"/>
  <c r="V2" i="1" l="1"/>
  <c r="U2" i="1" a="1"/>
  <c r="U2" i="1" l="1"/>
  <c r="T2" i="1" a="1"/>
  <c r="T2" i="1" l="1"/>
  <c r="S2" i="1" a="1"/>
  <c r="S2" i="1" l="1"/>
  <c r="R2" i="1" a="1"/>
  <c r="R2" i="1" l="1"/>
  <c r="Q2" i="1" a="1"/>
  <c r="Q2" i="1" l="1"/>
  <c r="P2" i="1" a="1"/>
  <c r="P2" i="1" l="1"/>
  <c r="O2" i="1" a="1"/>
  <c r="O2" i="1" l="1"/>
  <c r="N2" i="1" a="1"/>
  <c r="N2" i="1" l="1"/>
  <c r="M2" i="1" a="1"/>
  <c r="M2" i="1" l="1"/>
  <c r="L2" i="1" a="1"/>
  <c r="L2" i="1" l="1"/>
  <c r="K2" i="1" a="1"/>
  <c r="K2" i="1" l="1"/>
  <c r="J2" i="1" a="1"/>
  <c r="J2" i="1" l="1"/>
  <c r="I2" i="1" a="1"/>
  <c r="I2" i="1" l="1"/>
  <c r="H2" i="1" a="1"/>
  <c r="H2" i="1" l="1"/>
  <c r="G2" i="1" a="1"/>
  <c r="G2" i="1" l="1"/>
  <c r="F2" i="1" a="1"/>
  <c r="F2" i="1" l="1"/>
  <c r="E2" i="1" a="1"/>
  <c r="E2" i="1" l="1"/>
  <c r="D2" i="1" a="1"/>
  <c r="D2" i="1" l="1"/>
  <c r="C2" i="1" a="1"/>
  <c r="C2" i="1" l="1"/>
  <c r="B2" i="1" a="1"/>
  <c r="B2" i="1" l="1"/>
  <c r="A2" i="1" a="1"/>
  <c r="A2" i="1" l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8" i="1" l="1"/>
  <c r="Z68" i="1"/>
  <c r="AC68" i="1"/>
  <c r="AE68" i="1"/>
  <c r="Y68" i="1"/>
  <c r="AF68" i="1"/>
  <c r="AA68" i="1"/>
  <c r="AB68" i="1"/>
  <c r="AI68" i="1"/>
  <c r="X68" i="1"/>
  <c r="AG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D68" i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E7B552F1-9F3B-46C4-9E99-A1C32CB16540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Timestamp="1765531876"&gt;&lt;FQL&gt;&lt;Q&gt;EWI^FG_PRICE(0,-200D)&lt;/Q&gt;&lt;R&gt;201&lt;/R&gt;&lt;C&gt;1&lt;/C&gt;&lt;D xsi:type="xsd:double"&gt;53.95&lt;/D&gt;&lt;D xsi:type="xsd:double"&gt;53.55&lt;/D&gt;&lt;D xsi:type="xsd:double"&gt;53.02&lt;/D&gt;&lt;D xsi:type="xsd:double"&gt;52.98&lt;/D&gt;&lt;D xsi:type="xsd:double"&gt;52.98&lt;/D&gt;&lt;D xsi:type="xsd:double"&gt;53.15&lt;/D&gt;&lt;D xsi:type="xsd:double"&gt;53.29&lt;/D&gt;&lt;D xsi:type="xsd:double"&gt;53&lt;/D&gt;&lt;D xsi:type="xsd:double"&gt;52.66&lt;/D&gt;&lt;D xsi:type="xsd:double"&gt;52.93&lt;/D&gt;&lt;D xsi:type="xsd:double"&gt;52.54&lt;/D&gt;&lt;D xsi:type="xsd:double"&gt;52.16&lt;/D&gt;&lt;D xsi:type="xsd:double"&gt;51.19&lt;/D&gt;&lt;D xsi:type="xsd:double"&gt;51.47&lt;/D&gt;&lt;D xsi:type="xsd:double"&gt;50.81&lt;/D&gt;&lt;D xsi:type="xsd:double"&gt;51.34&lt;/D&gt;&lt;D xsi:type="xsd:double"&gt;51.81&lt;/D&gt;&lt;D xsi:type="xsd:double"&gt;52.56&lt;/D&gt;&lt;D xsi:type="xsd:double"&gt;53.2&lt;/D&gt;&lt;D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xsi:type="xsd:double"&gt;42.81&lt;/D&gt;&lt;D xsi:type="xsd:double"&gt;41.94&lt;/D&gt;&lt;D xsi:type="xsd:double"&gt;42.13&lt;/D&gt;&lt;D xsi:type="xsd:double"&gt;41.76&lt;/D&gt;&lt;D xsi:type="xsd:double"&gt;41.54&lt;/D&gt;&lt;D xsi:type="xsd:double"&gt;40.92&lt;/D&gt;&lt;D xsi:type="xsd:double"&gt;40.53&lt;/D&gt;&lt;D xsi:type="xsd:double"&gt;39.66&lt;/D&gt;&lt;D xsi:type="xsd:double"&gt;40.22&lt;/D&gt;&lt;D xsi:type="xsd:double"&gt;36.6&lt;/D&gt;&lt;D xsi:type="xsd:double"&gt;37.06&lt;/D&gt;&lt;D xsi:type="xsd:double"&gt;38.49&lt;/D&gt;&lt;D xsi:type="xsd:double"&gt;41.77&lt;/D&gt;&lt;D xsi:type="xsd:double"&gt;42.66&lt;/D&gt;&lt;D xsi:type="xsd:double"&gt;42.46&lt;/D&gt;&lt;D xsi:type="xsd:double"&gt;42.32&lt;/D&gt;&lt;D xsi:type="xsd:double"&gt;42.8&lt;/D&gt;&lt;D xsi:type="xsd:double"&gt;43.07&lt;/D&gt;&lt;D xsi:type="xsd:double"&gt;42.61&lt;/D&gt;&lt;D xsi:type="xsd:double"&gt;43.42&lt;/D&gt;&lt;D xsi:type="xsd:double"&gt;42.98&lt;/D&gt;&lt;D xsi:type="xsd:double"&gt;42.95&lt;/D&gt;&lt;D xsi:type="xsd:double"&gt;43.26&lt;/D&gt;&lt;D xsi:type="xsd:double"&gt;43.99&lt;/D&gt;&lt;D xsi:type="xsd:double"&gt;43.92&lt;/D&gt;&lt;D xsi:type="xsd:double"&gt;43.53&lt;/D&gt;&lt;D xsi:type="xsd:double"&gt;43.03&lt;/D&gt;&lt;D xsi:type="xsd:double"&gt;41.94&lt;/D&gt;&lt;D xsi:type="xsd:double"&gt;42.5&lt;/D&gt;&lt;D xsi:type="xsd:double"&gt;42.27&lt;/D&gt;&lt;D xsi:type="xsd:double"&gt;42.15&lt;/D&gt;&lt;D xsi:type="xsd:double"&gt;42.85&lt;/D&gt;&lt;D xsi:type="xsd:double"&gt;42.27&lt;/D&gt;&lt;D xsi:type="xsd:double"&gt;42.69&lt;/D&gt;&lt;D xsi:type="xsd:double"&gt;41.28&lt;/D&gt;&lt;D xsi:type="xsd:double"&gt;41.31&lt;/D&gt;&lt;D xsi:type="xsd:double"&gt;40.8&lt;/D&gt;&lt;D xsi:type="xsd:double"&gt;40.61&lt;/D&gt;&lt;D xsi:type="xsd:double"&gt;41.27&lt;/D&gt;&lt;/FQL&gt;&lt;FQL&gt;&lt;Q&gt;EWD^FG_PRICE(0,-200D)&lt;/Q&gt;&lt;R&gt;201&lt;/R&gt;&lt;C&gt;1&lt;/C&gt;&lt;D xsi:type="xsd:double"&gt;49.67&lt;/D&gt;&lt;D xsi:type="xsd:double"&gt;49.36&lt;/D&gt;&lt;D xsi:type="xsd:double"&gt;48.55&lt;/D&gt;&lt;D xsi:type="xsd:double"&gt;48.4&lt;/D&gt;&lt;D xsi:type="xsd:double"&gt;48.37&lt;/D&gt;&lt;D xsi:type="xsd:double"&gt;48.09&lt;/D&gt;&lt;D xsi:type="xsd:double"&gt;47.77&lt;/D&gt;&lt;D xsi:type="xsd:double"&gt;47.61&lt;/D&gt;&lt;D xsi:type="xsd:double"&gt;47.58&lt;/D&gt;&lt;D xsi:type="xsd:double"&gt;47.91&lt;/D&gt;&lt;D xsi:type="xsd:double"&gt;47.43&lt;/D&gt;&lt;D xsi:type="xsd:double"&gt;47.06&lt;/D&gt;&lt;D xsi:type="xsd:double"&gt;46.26&lt;/D&gt;&lt;D xsi:type="xsd:double"&gt;46.06&lt;/D&gt;&lt;D xsi:type="xsd:double"&gt;45.38&lt;/D&gt;&lt;D xsi:type="xsd:double"&gt;46.17&lt;/D&gt;&lt;D xsi:type="xsd:double"&gt;46.49&lt;/D&gt;&lt;D xsi:type="xsd:double"&gt;47.22&lt;/D&gt;&lt;D xsi:type="xsd:double"&gt;47.65&lt;/D&gt;&lt;D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xsi:type="xsd:double"&gt;42.68&lt;/D&gt;&lt;D xsi:type="xsd:double"&gt;41.77&lt;/D&gt;&lt;D xsi:type="xsd:double"&gt;41.9&lt;/D&gt;&lt;D xsi:type="xsd:double"&gt;41.07&lt;/D&gt;&lt;D xsi:type="xsd:double"&gt;41.39&lt;/D&gt;&lt;D xsi:type="xsd:double"&gt;40.72&lt;/D&gt;&lt;D xsi:type="xsd:double"&gt;40.31&lt;/D&gt;&lt;D xsi:type="xsd:double"&gt;39.65&lt;/D&gt;&lt;D xsi:type="xsd:double"&gt;39.92&lt;/D&gt;&lt;D xsi:type="xsd:double"&gt;37.07&lt;/D&gt;&lt;D xsi:type="xsd:double"&gt;37.34&lt;/D&gt;&lt;D xsi:type="xsd:double"&gt;38.17&lt;/D&gt;&lt;D xsi:type="xsd:double"&gt;41.47&lt;/D&gt;&lt;D xsi:type="xsd:double"&gt;42.61&lt;/D&gt;&lt;D xsi:type="xsd:double"&gt;42.25&lt;/D&gt;&lt;D xsi:type="xsd:double"&gt;42.08&lt;/D&gt;&lt;D xsi:type="xsd:double"&gt;42.94&lt;/D&gt;&lt;D xsi:type="xsd:double"&gt;43.53&lt;/D&gt;&lt;D xsi:type="xsd:double"&gt;43.58&lt;/D&gt;&lt;D xsi:type="xsd:double"&gt;44.67&lt;/D&gt;&lt;D xsi:type="xsd:double"&gt;44.24&lt;/D&gt;&lt;D xsi:type="xsd:double"&gt;44.03&lt;/D&gt;&lt;D xsi:type="xsd:double"&gt;44.41&lt;/D&gt;&lt;D xsi:type="xsd:double"&gt;44.73&lt;/D&gt;&lt;D xsi:type="xsd:double"&gt;44.67&lt;/D&gt;&lt;D xsi:type="xsd:double"&gt;44.97&lt;/D&gt;&lt;D xsi:type="xsd:double"&gt;44.55&lt;/D&gt;&lt;D xsi:type="xsd:double"&gt;43.07&lt;/D&gt;&lt;D xsi:type="xsd:double"&gt;43.77&lt;/D&gt;&lt;D xsi:type="xsd:double"&gt;43.88&lt;/D&gt;&lt;D xsi:type="xsd:double"&gt;43.82&lt;/D&gt;&lt;D xsi:type="xsd:double"&gt;45.12&lt;/D&gt;&lt;D xsi:type="xsd:double"&gt;44.31&lt;/D&gt;&lt;D xsi:type="xsd:double"&gt;45.1&lt;/D&gt;&lt;D xsi:type="xsd:double"&gt;43.32&lt;/D&gt;&lt;D xsi:type="xsd:double"&gt;43.9&lt;/D&gt;&lt;D xsi:type="xsd:double"&gt;43.14&lt;/D&gt;&lt;D xsi:type="xsd:double"&gt;43.07&lt;/D&gt;&lt;D xsi:type="xsd:double"&gt;43.85&lt;/D&gt;&lt;/FQL&gt;&lt;FQL&gt;&lt;Q&gt;EWN^FG_PRICE(0,-200D)&lt;/Q&gt;&lt;R&gt;201&lt;/R&gt;&lt;C&gt;1&lt;/C&gt;&lt;D xsi:type="xsd:double"&gt;59.5&lt;/D&gt;&lt;D xsi:type="xsd:double"&gt;58.8&lt;/D&gt;&lt;D xsi:type="xsd:double"&gt;58.55&lt;/D&gt;&lt;D xsi:type="xsd:double"&gt;58.7224&lt;/D&gt;&lt;D xsi:type="xsd:double"&gt;58.55&lt;/D&gt;&lt;D xsi:type="xsd:double"&gt;58.78&lt;/D&gt;&lt;D xsi:type="xsd:double"&gt;59.18&lt;/D&gt;&lt;D xsi:type="xsd:double"&gt;58.57&lt;/D&gt;&lt;D xsi:type="xsd:double"&gt;58.32&lt;/D&gt;&lt;D xsi:type="xsd:double"&gt;58.17&lt;/D&gt;&lt;D xsi:type="xsd:double"&gt;57.79&lt;/D&gt;&lt;D xsi:type="xsd:double"&gt;56.872&lt;/D&gt;&lt;D xsi:type="xsd:double"&gt;55.95&lt;/D&gt;&lt;D xsi:type="xsd:double"&gt;55.92&lt;/D&gt;&lt;D xsi:type="xsd:double"&gt;55.52&lt;/D&gt;&lt;D xsi:type="xsd:double"&gt;57.05&lt;/D&gt;&lt;D xsi:type="xsd:double"&gt;56.63&lt;/D&gt;&lt;D xsi:type="xsd:double"&gt;57.36&lt;/D&gt;&lt;D xsi:type="xsd:double"&gt;58.13&lt;/D&gt;&lt;D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xsi:type="xsd:double"&gt;47.1&lt;/D&gt;&lt;D xsi:type="xsd:double"&gt;46.09&lt;/D&gt;&lt;D xsi:type="xsd:double"&gt;46.55&lt;/D&gt;&lt;D xsi:type="xsd:double"&gt;46.26&lt;/D&gt;&lt;D xsi:type="xsd:double"&gt;46.89&lt;/D&gt;&lt;D xsi:type="xsd:double"&gt;46.61&lt;/D&gt;&lt;D xsi:type="xsd:double"&gt;45.81&lt;/D&gt;&lt;D xsi:type="xsd:double"&gt;44.67&lt;/D&gt;&lt;D xsi:type="xsd:double"&gt;46.05&lt;/D&gt;&lt;D xsi:type="xsd:double"&gt;41.88&lt;/D&gt;&lt;D xsi:type="xsd:double"&gt;42.58&lt;/D&gt;&lt;D xsi:type="xsd:double"&gt;43.14&lt;/D&gt;&lt;D xsi:type="xsd:double"&gt;45.71&lt;/D&gt;&lt;D xsi:type="xsd:double"&gt;46.87&lt;/D&gt;&lt;D xsi:type="xsd:double"&gt;46.7&lt;/D&gt;&lt;D xsi:type="xsd:double"&gt;46.73&lt;/D&gt;&lt;D xsi:type="xsd:double"&gt;47.34&lt;/D&gt;&lt;D xsi:type="xsd:double"&gt;47.8176&lt;/D&gt;&lt;D xsi:type="xsd:double"&gt;47.8398&lt;/D&gt;&lt;D xsi:type="xsd:double"&gt;48.56&lt;/D&gt;&lt;D xsi:type="xsd:double"&gt;48.33&lt;/D&gt;&lt;D xsi:type="xsd:double"&gt;48.25&lt;/D&gt;&lt;D xsi:type="xsd:double"&gt;48.87&lt;/D&gt;&lt;D xsi:type="xsd:double"&gt;49.49&lt;/D&gt;&lt;D xsi:type="xsd:double"&gt;49.28&lt;/D&gt;&lt;D xsi:type="xsd:double"&gt;49.21&lt;/D&gt;&lt;D xsi:type="xsd:double"&gt;48.68&lt;/D&gt;&lt;D xsi:type="xsd:double"&gt;47.5801&lt;/D&gt;&lt;D xsi:type="xsd:double"&gt;48.12&lt;/D&gt;&lt;D xsi:type="xsd:double"&gt;47.81&lt;/D&gt;&lt;D xsi:type="xsd:double"&gt;47.48&lt;/D&gt;&lt;D xsi:type="xsd:double"&gt;49.36&lt;/D&gt;&lt;D xsi:type="xsd:double"&gt;48.48&lt;/D&gt;&lt;D xsi:type="xsd:double"&gt;49.02&lt;/D&gt;&lt;D xsi:type="xsd:double"&gt;47.8&lt;/D&gt;&lt;D xsi:type="xsd:double"&gt;47.37&lt;/D&gt;&lt;D xsi:type="xsd:double"&gt;47.17&lt;/D&gt;&lt;D xsi:type="xsd:double"&gt;47.08&lt;/D&gt;&lt;D xsi:type="xsd:double"&gt;48.46&lt;/D&gt;&lt;/FQL&gt;&lt;FQL&gt;&lt;Q&gt;EWQ^FG_PRICE(0,-200D)&lt;/Q&gt;&lt;R&gt;201&lt;/R&gt;&lt;C&gt;1&lt;/C&gt;&lt;D xsi:type="xsd:double"&gt;45&lt;/D&gt;&lt;D xsi:type="xsd:double"&gt;44.58&lt;/D&gt;&lt;D xsi:type="xsd:double"&gt;44.21&lt;/D&gt;&lt;D xsi:type="xsd:double"&gt;44.65&lt;/D&gt;&lt;D xsi:type="xsd:double"&gt;44.62&lt;/D&gt;&lt;D xsi:type="xsd:double"&gt;44.75&lt;/D&gt;&lt;D xsi:type="xsd:double"&gt;44.79&lt;/D&gt;&lt;D xsi:type="xsd:double"&gt;44.44&lt;/D&gt;&lt;D xsi:type="xsd:double"&gt;44.41&lt;/D&gt;&lt;D xsi:type="xsd:double"&gt;44.57&lt;/D&gt;&lt;D xsi:type="xsd:double"&gt;44.43&lt;/D&gt;&lt;D xsi:type="xsd:double"&gt;44.06&lt;/D&gt;&lt;D xsi:type="xsd:double"&gt;43.33&lt;/D&gt;&lt;D xsi:type="xsd:double"&gt;43.69&lt;/D&gt;&lt;D xsi:type="xsd:double"&gt;42.99&lt;/D&gt;&lt;D xsi:type="xsd:double"&gt;43.44&lt;/D&gt;&lt;D xsi:type="xsd:double"&gt;43.63&lt;/D&gt;&lt;D xsi:type="xsd:double"&gt;44.2&lt;/D&gt;&lt;D xsi:type="xsd:double"&gt;44.84&lt;/D&gt;&lt;D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xsi:type="xsd:double"&gt;39.84&lt;/D&gt;&lt;D xsi:type="xsd:double"&gt;38.97&lt;/D&gt;&lt;D xsi:type="xsd:double"&gt;39.22&lt;/D&gt;&lt;D xsi:type="xsd:double"&gt;38.96&lt;/D&gt;&lt;D xsi:type="xsd:double"&gt;39&lt;/D&gt;&lt;D xsi:type="xsd:double"&gt;38.85&lt;/D&gt;&lt;D xsi:type="xsd:double"&gt;38.97&lt;/D&gt;&lt;D xsi:type="xsd:double"&gt;37.99&lt;/D&gt;&lt;D xsi:type="xsd:double"&gt;38.61&lt;/D&gt;&lt;D xsi:type="xsd:double"&gt;35.65&lt;/D&gt;&lt;D xsi:type="xsd:double"&gt;35.97&lt;/D&gt;&lt;D xsi:type="xsd:double"&gt;37.21&lt;/D&gt;&lt;D xsi:type="xsd:double"&gt;39.48&lt;/D&gt;&lt;D xsi:type="xsd:double"&gt;40.18&lt;/D&gt;&lt;D xsi:type="xsd:double"&gt;40.05&lt;/D&gt;&lt;D xsi:type="xsd:double"&gt;39.8&lt;/D&gt;&lt;D xsi:type="xsd:double"&gt;40.35&lt;/D&gt;&lt;D xsi:type="xsd:double"&gt;40.55&lt;/D&gt;&lt;D xsi:type="xsd:double"&gt;40.48&lt;/D&gt;&lt;D xsi:type="xsd:double"&gt;41.23&lt;/D&gt;&lt;D xsi:type="xsd:double"&gt;40.91&lt;/D&gt;&lt;D xsi:type="xsd:double"&gt;40.91&lt;/D&gt;&lt;D xsi:type="xsd:double"&gt;41.28&lt;/D&gt;&lt;D xsi:type="xsd:double"&gt;41.97&lt;/D&gt;&lt;D xsi:type="xsd:double"&gt;41.81&lt;/D&gt;&lt;D xsi:type="xsd:double"&gt;41.68&lt;/D&gt;&lt;D xsi:type="xsd:double"&gt;41.29&lt;/D&gt;&lt;D xsi:type="xsd:double"&gt;40.47&lt;/D&gt;&lt;D xsi:type="xsd:double"&gt;40.97&lt;/D&gt;&lt;D xsi:type="xsd:double"&gt;41.09&lt;/D&gt;&lt;D xsi:type="xsd:double"&gt;41&lt;/D&gt;&lt;D xsi:type="xsd:double"&gt;41.87&lt;/D&gt;&lt;D xsi:type="xsd:double"&gt;41.43&lt;/D&gt;&lt;D xsi:type="xsd:double"&gt;42.02&lt;/D&gt;&lt;D xsi:type="xsd:double"&gt;40.78&lt;/D&gt;&lt;D xsi:type="xsd:double"&gt;40.36&lt;/D&gt;&lt;D xsi:type="xsd:double"&gt;39.54&lt;/D&gt;&lt;D xsi:type="xsd:double"&gt;39.44&lt;/D&gt;&lt;D xsi:type="xsd:double"&gt;39.89&lt;/D&gt;&lt;/FQL&gt;&lt;FQL&gt;&lt;Q&gt;SPY^FG_PRICE(0,-200D)&lt;/Q&gt;&lt;R&gt;201&lt;/R&gt;&lt;C&gt;1&lt;/C&gt;&lt;D xsi:type="xsd:double"&gt;689.17&lt;/D&gt;&lt;D xsi:type="xsd:double"&gt;687.57&lt;/D&gt;&lt;D xsi:type="xsd:double"&gt;683.04&lt;/D&gt;&lt;D xsi:type="xsd:double"&gt;683.63&lt;/D&gt;&lt;D xsi:type="xsd:double"&gt;685.69&lt;/D&gt;&lt;D xsi:type="xsd:double"&gt;684.39&lt;/D&gt;&lt;D xsi:type="xsd:double"&gt;683.89&lt;/D&gt;&lt;D xsi:type="xsd:double"&gt;681.53&lt;/D&gt;&lt;D xsi:type="xsd:double"&gt;680.27&lt;/D&gt;&lt;D xsi:type="xsd:double"&gt;683.39&lt;/D&gt;&lt;D xsi:type="xsd:double"&gt;679.68&lt;/D&gt;&lt;D xsi:type="xsd:double"&gt;675.02&lt;/D&gt;&lt;D xsi:type="xsd:double"&gt;668.73&lt;/D&gt;&lt;D xsi:type="xsd:double"&gt;659.03&lt;/D&gt;&lt;D xsi:type="xsd:double"&gt;652.53&lt;/D&gt;&lt;D xsi:type="xsd:double"&gt;662.63&lt;/D&gt;&lt;D xsi:type="xsd:double"&gt;660.08&lt;/D&gt;&lt;D xsi:type="xsd:double"&gt;665.67&lt;/D&gt;&lt;D xsi:type="xsd:double"&gt;671.93&lt;/D&gt;&lt;D xsi:type="xsd:double"&gt;672.04&lt;/D&gt;&lt;D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</t>
        </r>
      </text>
    </comment>
    <comment ref="A2" authorId="0" shapeId="0" xr:uid="{C26DAE0B-5B07-4647-93C3-FA7F5AF949A7}">
      <text>
        <r>
          <rPr>
            <b/>
            <sz val="9"/>
            <color indexed="81"/>
            <rFont val="Tahoma"/>
            <charset val="1"/>
          </rPr>
          <t>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xsi:type="xsd:double"&gt;554.32&lt;/D&gt;&lt;D xsi:type="xsd:double"&gt;550.85&lt;/D&gt;&lt;D xsi:type="xsd:double"&gt;550.64&lt;/D&gt;&lt;D xsi:type="xsd:double"&gt;546.69&lt;/D&gt;&lt;D xsi:type="xsd:double"&gt;535.42&lt;/D&gt;&lt;D xsi:type="xsd:double"&gt;527.25&lt;/D&gt;&lt;D xsi:type="xsd:double"&gt;513.88&lt;/D&gt;&lt;D xsi:type="xsd:double"&gt;526.41&lt;/D&gt;&lt;D xsi:type="xsd:double"&gt;525.66&lt;/D&gt;&lt;D xsi:type="xsd:double"&gt;537.61&lt;/D&gt;&lt;D xsi:type="xsd:double"&gt;539.12&lt;/D&gt;&lt;D xsi:type="xsd:double"&gt;533.94&lt;/D&gt;&lt;D xsi:type="xsd:double"&gt;524.58&lt;/D&gt;&lt;D xsi:type="xsd:double"&gt;548.62&lt;/D&gt;&lt;D xsi:type="xsd:double"&gt;496.48&lt;/D&gt;&lt;D xsi:type="xsd:double"&gt;504.38&lt;/D&gt;&lt;D xsi:type="xsd:double"&gt;505.28&lt;/D&gt;&lt;D xsi:type="xsd:double"&gt;536.7&lt;/D&gt;&lt;D xsi:type="xsd:double"&gt;564.52&lt;/D&gt;&lt;D xsi:type="xsd:double"&gt;560.97&lt;/D&gt;&lt;D xsi:type="xsd:double"&gt;559.39&lt;/D&gt;&lt;D xsi:type="xsd:double"&gt;555.66&lt;/D&gt;&lt;D xsi:type="xsd:double"&gt;567.08&lt;/D&gt;&lt;D xsi:type="xsd:double"&gt;568.59&lt;/D&gt;&lt;D xsi:type="xsd:double"&gt;575.46&lt;/D&gt;&lt;D xsi:type="xsd:double"&gt;574.08&lt;/D&gt;&lt;D xsi:type="xsd:double"&gt;563.98&lt;/D&gt;&lt;D xsi:type="xsd:double"&gt;565.49&lt;/D&gt;&lt;D xsi:type="xsd:double"&gt;567.13&lt;/D&gt;&lt;D xsi:type="xsd:double"&gt;561.02&lt;/D&gt;&lt;D xsi:type="xsd:double"&gt;567.15&lt;/D&gt;&lt;D xsi:type="xsd:double"&gt;562.81&lt;/D&gt;&lt;D xsi:type="xsd:double"&gt;551.42&lt;/D&gt;&lt;D xsi:type="xsd:double"&gt;558.87&lt;/D&gt;&lt;D xsi:type="xsd:double"&gt;555.92&lt;/D&gt;&lt;D xsi:type="xsd:double"&gt;560.58&lt;/D&gt;&lt;D xsi:type="xsd:double"&gt;575.92&lt;/D&gt;&lt;D xsi:type="xsd:double"&gt;572.71&lt;/D&gt;&lt;D xsi:type="xsd:double"&gt;583.06&lt;/D&gt;&lt;D xsi:type="xsd:double"&gt;576.86&lt;/D&gt;&lt;D xsi:type="xsd:double"&gt;583.77&lt;/D&gt;&lt;D xsi:type="xsd:double"&gt;594.18&lt;/D&gt;&lt;D xsi:type="xsd:double"&gt;585.05&lt;/D&gt;&lt;D xsi:type="xsd:double"&gt;594.54&lt;/D&gt;&lt;/FQL&gt;&lt;FQL&gt;&lt;Q&gt;QQQ^FG_PRICE(0,-200D)&lt;/Q&gt;&lt;R&gt;201&lt;/R&gt;&lt;C&gt;1&lt;/C&gt;&lt;D xsi:type="xsd:double"&gt;625.58&lt;/D&gt;&lt;D xsi:type="xsd:double"&gt;627.61&lt;/D&gt;&lt;D xsi:type="xsd:double"&gt;625.05&lt;/D&gt;&lt;D xsi:type="xsd:double"&gt;624.28&lt;/D&gt;&lt;D xsi:type="xsd:double"&gt;625.48&lt;/D&gt;&lt;D xsi:type="xsd:double"&gt;622.94&lt;/D&gt;&lt;D xsi:type="xsd:double"&gt;623.52&lt;/D&gt;&lt;D xsi:type="xsd:double"&gt;622&lt;/D&gt;&lt;D xsi:type="xsd:double"&gt;617.17&lt;/D&gt;&lt;D xsi:type="xsd:double"&gt;619.25&lt;/D&gt;&lt;D xsi:type="xsd:double"&gt;614.27&lt;/D&gt;&lt;D xsi:type="xsd:double"&gt;608.89&lt;/D&gt;&lt;D xsi:type="xsd:double"&gt;605.16&lt;/D&gt;&lt;D xsi:type="xsd:double"&gt;590.07&lt;/D&gt;&lt;D xsi:type="xsd:double"&gt;585.67&lt;/D&gt;&lt;D xsi:type="xsd:double"&gt;599.87&lt;/D&gt;&lt;D xsi:type="xsd:double"&gt;596.31&lt;/D&gt;&lt;D xsi:type="xsd:double"&gt;603.66&lt;/D&gt;&lt;D xsi:type="xsd:double"&gt;608.86&lt;/D&gt;&lt;D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xsi:type="xsd:double"&gt;444.48&lt;/D&gt;&lt;D xsi:type="xsd:double"&gt;433.11&lt;/D&gt;&lt;D xsi:type="xsd:double"&gt;444.1&lt;/D&gt;&lt;D xsi:type="xsd:double"&gt;444.18&lt;/D&gt;&lt;D xsi:type="xsd:double"&gt;457.99&lt;/D&gt;&lt;D xsi:type="xsd:double"&gt;457.48&lt;/D&gt;&lt;D xsi:type="xsd:double"&gt;454.4&lt;/D&gt;&lt;D xsi:type="xsd:double"&gt;446.18&lt;/D&gt;&lt;D xsi:type="xsd:double"&gt;466&lt;/D&gt;&lt;D xsi:type="xsd:double"&gt;416.06&lt;/D&gt;&lt;D xsi:type="xsd:double"&gt;423.69&lt;/D&gt;&lt;D xsi:type="xsd:double"&gt;422.67&lt;/D&gt;&lt;D xsi:type="xsd:double"&gt;450.66&lt;/D&gt;&lt;D xsi:type="xsd:double"&gt;476.15&lt;/D&gt;&lt;D xsi:type="xsd:double"&gt;472.7&lt;/D&gt;&lt;D xsi:type="xsd:double"&gt;468.92&lt;/D&gt;&lt;D xsi:type="xsd:double"&gt;468.94&lt;/D&gt;&lt;D xsi:type="xsd:double"&gt;481.62&lt;/D&gt;&lt;D xsi:type="xsd:double"&gt;484.38&lt;/D&gt;&lt;D xsi:type="xsd:double"&gt;493.46&lt;/D&gt;&lt;D xsi:type="xsd:double"&gt;490.66&lt;/D&gt;&lt;D xsi:type="xsd:double"&gt;480.84&lt;/D&gt;&lt;D xsi:type="xsd:double"&gt;479.26&lt;/D&gt;&lt;D xsi:type="xsd:double"&gt;480.89&lt;/D&gt;&lt;D xsi:type="xsd:double"&gt;474.54&lt;/D&gt;&lt;D xsi:type="xsd:double"&gt;482.77&lt;/D&gt;&lt;D xsi:type="xsd:double"&gt;479.66&lt;/D&gt;&lt;D xsi:type="xsd:double"&gt;468.34&lt;/D&gt;&lt;D xsi:type="xsd:double"&gt;476.92&lt;/D&gt;&lt;D xsi:type="xsd:double"&gt;471.6&lt;/D&gt;&lt;D xsi:type="xsd:double"&gt;472.73&lt;/D&gt;&lt;D xsi:type="xsd:double"&gt;491.79&lt;/D&gt;&lt;D xsi:type="xsd:double"&gt;488.2&lt;/D&gt;&lt;D xsi:type="xsd:double"&gt;502.01&lt;/D&gt;&lt;D xsi:type="xsd:double"&gt;495.55&lt;/D&gt;&lt;D xsi:type="xsd:double"&gt;497.05&lt;/D&gt;&lt;D xsi:type="xsd:double"&gt;508.17&lt;/D&gt;&lt;D xsi:type="xsd:double"&gt;500.27&lt;/D&gt;&lt;D xsi:type="xsd:double"&gt;514.56&lt;/D&gt;&lt;/FQL&gt;&lt;FQL&gt;&lt;Q&gt;EWU^FG_PRICE(0,-200D)&lt;/Q&gt;&lt;R&gt;201&lt;/R&gt;&lt;C&gt;1&lt;/C&gt;&lt;D xsi:type="xsd:double"&gt;43.65&lt;/D&gt;&lt;D xsi:type="xsd:double"&gt;43.46&lt;/D&gt;&lt;D xsi:type="xsd:double"&gt;42.88&lt;/D&gt;&lt;D xsi:type="xsd:double"&gt;43.08&lt;/D&gt;&lt;D xsi:type="xsd:double"&gt;43.22&lt;/D&gt;&lt;D xsi:type="xsd:double"&gt;43.42&lt;/D&gt;&lt;D xsi:type="xsd:double"&gt;43.46&lt;/D&gt;&lt;D xsi:type="xsd:double"&gt;43.01&lt;/D&gt;&lt;D xsi:type="xsd:double"&gt;42.93&lt;/D&gt;&lt;D xsi:type="xsd:double"&gt;43.15&lt;/D&gt;&lt;D xsi:type="xsd:double"&gt;42.99&lt;/D&gt;&lt;D xsi:type="xsd:double"&gt;42.52&lt;/D&gt;&lt;D xsi:type="xsd:double"&gt;41.92&lt;/D&gt;&lt;D xsi:type="xsd:double"&gt;42.06&lt;/D&gt;&lt;D xsi:type="xsd:double"&gt;41.34&lt;/D&gt;&lt;D xsi:type="xsd:double"&gt;41.73&lt;/D&gt;&lt;D xsi:type="xsd:double"&gt;42.19&lt;/D&gt;&lt;D xsi:type="xsd:double"&gt;42.44&lt;/D&gt;&lt;D xsi:type="xsd:double"&gt;42.77&lt;/D&gt;&lt;D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xsi:type="xsd:double"&gt;37.58&lt;/D&gt;&lt;D xsi:type="xsd:double"&gt;36.82&lt;/D&gt;&lt;D xsi:type="xsd:double"&gt;36.97&lt;/D&gt;&lt;D xsi:type="xsd:double"&gt;36.55&lt;/D&gt;&lt;D xsi:type="xsd:double"&gt;36.65&lt;/D&gt;&lt;D xsi:type="xsd:double"&gt;36.15&lt;/D&gt;&lt;D xsi:type="xsd:double"&gt;35.57&lt;/D&gt;&lt;D xsi:type="xsd:double"&gt;34.67&lt;/D&gt;&lt;D xsi:type="xsd:double"&gt;35.11&lt;/D&gt;&lt;D xsi:type="xsd:double"&gt;33.19&lt;/D&gt;&lt;D xsi:type="xsd:double"&gt;33.29&lt;/D&gt;&lt;D xsi:type="xsd:double"&gt;34.62&lt;/D&gt;&lt;D xsi:type="xsd:double"&gt;37.28&lt;/D&gt;&lt;D xsi:type="xsd:double"&gt;37.61&lt;/D&gt;&lt;D xsi:type="xsd:double"&gt;37.44&lt;/D&gt;&lt;D xsi:type="xsd:double"&gt;37.47&lt;/D&gt;&lt;D xsi:type="xsd:double"&gt;37.59&lt;/D&gt;&lt;D xsi:type="xsd:double"&gt;37.66&lt;/D&gt;&lt;D xsi:type="xsd:double"&gt;37.51&lt;/D&gt;&lt;D xsi:type="xsd:double"&gt;37.64&lt;/D&gt;&lt;D xsi:type="xsd:double"&gt;37.53&lt;/D&gt;&lt;D xsi:type="xsd:double"&gt;37.53&lt;/D&gt;&lt;D xsi:type="xsd:double"&gt;37.88&lt;/D&gt;&lt;D xsi:type="xsd:double"&gt;37.99&lt;/D&gt;&lt;D xsi:type="xsd:double"&gt;37.95&lt;/D&gt;&lt;D xsi:type="xsd:double"&gt;37.97&lt;/D&gt;&lt;D xsi:type="xsd:double"&gt;37.71&lt;/D&gt;&lt;D xsi:type="xsd:double"&gt;37.13&lt;/D&gt;&lt;D xsi:type="xsd:double"&gt;37.12&lt;/D&gt;&lt;D xsi:type="xsd:double"&gt;36.96&lt;/D&gt;&lt;D xsi:type="xsd:double"&gt;37.05&lt;/D&gt;&lt;D xsi:type="xsd:double"&gt;37.83&lt;/D&gt;&lt;D xsi:type="xsd:double"&gt;37.25&lt;/D&gt;&lt;D xsi:type="xsd:double"&gt;37.92&lt;/D&gt;&lt;D xsi:type="xsd:double"&gt;37.55&lt;/D&gt;&lt;D xsi:type="xsd:double"&gt;37.42&lt;/D&gt;&lt;D xsi:type="xsd:double"&gt;37.04&lt;/D&gt;&lt;D xsi:type="xsd:double"&gt;36.7&lt;/D&gt;&lt;D xsi:type="xsd:double"&gt;36.75&lt;/D&gt;&lt;/FQL&gt;&lt;FQL&gt;&lt;Q&gt;EWL^FG_PRICE(0,-200D)&lt;/Q&gt;&lt;R&gt;201&lt;/R&gt;&lt;C&gt;1&lt;/C&gt;&lt;D xsi:type="xsd:double"&gt;58.49&lt;/D&gt;&lt;D xsi:type="xsd:double"&gt;58.38&lt;/D&gt;&lt;D xsi:type="xsd:double"&gt;57.69&lt;/D&gt;&lt;D xsi:type="xsd:double"&gt;57.76&lt;/D&gt;&lt;D xsi:type="xsd:double"&gt;58.03&lt;/D&gt;&lt;D xsi:type="xsd:double"&gt;57.91&lt;/D&gt;&lt;D xsi:type="xsd:double"&gt;58.07&lt;/D&gt;&lt;D xsi:type="xsd:double"&gt;57.94&lt;/D&gt;&lt;D xsi:type="xsd:double"&gt;57.42&lt;/D&gt;&lt;D xsi:type="xsd:double"&gt;57.82&lt;/D&gt;&lt;D xsi:type="xsd:double"&gt;57.55&lt;/D&gt;&lt;D xsi:type="xsd:double"&gt;57.26&lt;/D&gt;&lt;D xsi:type="xsd:double"&gt;56.39&lt;/D&gt;&lt;D xsi:type="xsd:double"&gt;56.69&lt;/D&gt;&lt;D xsi:type="xsd:double"&gt;55.69&lt;/D&gt;&lt;D xsi:type="xsd:double"&gt;56.36&lt;/D&gt;&lt;D xsi:type="xsd:double"&gt;56.58&lt;/D&gt;&lt;D xsi:type="xsd:double"&gt;56.81&lt;/D&gt;&lt;D xsi:type="xsd:double"&gt;57.55&lt;/D&gt;&lt;D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xsi:type="xsd:double"&gt;52.45&lt;/D&gt;&lt;D xsi:type="xsd:double"&gt;51.82&lt;/D&gt;&lt;D xsi:type="xsd:double"&gt;51.95&lt;/D&gt;&lt;D xsi:type="xsd:double"&gt;51.29&lt;/D&gt;&lt;D xsi:type="xsd:double"&gt;51.45&lt;/D&gt;&lt;D xsi:type="xsd:double"&gt;51.2&lt;/D&gt;&lt;D xsi:type="xsd:double"&gt;51.05&lt;/D&gt;&lt;D xsi:type="xsd:double"&gt;49.7&lt;/D&gt;&lt;D xsi:type="xsd:double"&gt;49.71&lt;/D&gt;&lt;D xsi:type="xsd:double"&gt;47.12&lt;/D&gt;&lt;D xsi:type="xsd:double"&gt;47.04&lt;/D&gt;&lt;D xsi:type="xsd:double"&gt;48.36&lt;/D&gt;&lt;D xsi:type="xsd:double"&gt;51.41&lt;/D&gt;&lt;D xsi:type="xsd:double"&gt;51.49&lt;/D&gt;&lt;D xsi:type="xsd:double"&gt;51.76&lt;/D&gt;&lt;D xsi:type="xsd:double"&gt;51.79&lt;/D&gt;&lt;D xsi:type="xsd:double"&gt;52.48&lt;/D&gt;&lt;D xsi:type="xsd:double"&gt;52.59&lt;/D&gt;&lt;D xsi:type="xsd:double"&gt;52.45&lt;/D&gt;&lt;D xsi:type="xsd:double"&gt;52.98&lt;/D&gt;&lt;D xsi:type="xsd:double"&gt;52.9&lt;/D&gt;&lt;D xsi:type="xsd:double"&gt;53.06&lt;/D&gt;&lt;D xsi:type="xsd:double"&gt;53.28&lt;/D&gt;&lt;D xsi:type="xsd:double"&gt;53.24&lt;/D&gt;&lt;D xsi:type="xsd:double"&gt;53.43&lt;/D&gt;&lt;D xsi:type="xsd:double"&gt;53.33&lt;/D&gt;&lt;D xsi:type="xsd:double"&gt;52.59&lt;/D&gt;&lt;D xsi:type="xsd:double"&gt;52.14&lt;/D&gt;&lt;D xsi:type="xsd:double"&gt;52.41&lt;/D&gt;&lt;D xsi:type="xsd:double"&gt;51.87&lt;/D&gt;&lt;D xsi:type="xsd:double"&gt;52.62&lt;/D&gt;&lt;D xsi:type="xsd:double"&gt;53.53&lt;/D&gt;&lt;D xsi:type="xsd:double"&gt;52.59&lt;/D&gt;&lt;D xsi:type="xsd:double"&gt;52.86&lt;/D&gt;&lt;D xsi:type="xsd:double"&gt;52.71&lt;/D&gt;&lt;D xsi:type="xsd:double"&gt;52.3&lt;/D&gt;&lt;D xsi:type="xsd:double"&gt;51.73&lt;/D&gt;&lt;D xsi:type="xsd:double"&gt;51.33&lt;/D&gt;&lt;D xsi:type="xsd:double"&gt;52.03&lt;/D&gt;&lt;/FQL&gt;&lt;FQL&gt;&lt;Q&gt;EWJ^FG_PRICE(0,-200D)&lt;/Q&gt;&lt;R&gt;201&lt;/R&gt;&lt;C&gt;1&lt;/C&gt;&lt;D xsi:type="xsd:double"&gt;84.22&lt;/D&gt;&lt;D xsi:type="xsd:double"&gt;83.91&lt;/D&gt;&lt;D xsi:type="xsd:double"&gt;83.31&lt;/D&gt;&lt;D xsi:type="xsd:double"&gt;83.19&lt;/D&gt;&lt;D xsi:type="xsd:double"&gt;83.7&lt;/D&gt;&lt;D xsi:type="xsd:double"&gt;83.62&lt;/D&gt;&lt;D xsi:type="xsd:double"&gt;82.61&lt;/D&gt;&lt;D xsi:type="xsd:double"&gt;82.47&lt;/D&gt;&lt;D xsi:type="xsd:double"&gt;82.53&lt;/D&gt;&lt;D xsi:type="xsd:double"&gt;83.01&lt;/D&gt;&lt;D xsi:type="xsd:double"&gt;83.26&lt;/D&gt;&lt;D xsi:type="xsd:double"&gt;81.92&lt;/D&gt;&lt;D xsi:type="xsd:double"&gt;81.74&lt;/D&gt;&lt;D xsi:type="xsd:double"&gt;81.19&lt;/D&gt;&lt;D xsi:type="xsd:double"&gt;79.49&lt;/D&gt;&lt;D xsi:type="xsd:double"&gt;80.68&lt;/D&gt;&lt;D xsi:type="xsd:double"&gt;80.78&lt;/D&gt;&lt;D xsi:type="xsd:double"&gt;82.47&lt;/D&gt;&lt;D xsi:type="xsd:double"&gt;83.98&lt;/D&gt;&lt;D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xsi:type="xsd:double"&gt;69.27&lt;/D&gt;&lt;D xsi:type="xsd:double"&gt;67.92&lt;/D&gt;&lt;D xsi:type="xsd:double"&gt;68.07&lt;/D&gt;&lt;D xsi:type="xsd:double"&gt;66.78&lt;/D&gt;&lt;D xsi:type="xsd:double"&gt;67.44&lt;/D&gt;&lt;D xsi:type="xsd:double"&gt;66.9&lt;/D&gt;&lt;D xsi:type="xsd:double"&gt;65.82&lt;/D&gt;&lt;D xsi:type="xsd:double"&gt;64.22&lt;/D&gt;&lt;D xsi:type="xsd:double"&gt;66.34&lt;/D&gt;&lt;D xsi:type="xsd:double"&gt;61.65&lt;/D&gt;&lt;D xsi:type="xsd:double"&gt;61.32&lt;/D&gt;&lt;D xsi:type="xsd:double"&gt;61.51&lt;/D&gt;&lt;D xsi:type="xsd:double"&gt;65.41&lt;/D&gt;&lt;D xsi:type="xsd:double"&gt;68.22&lt;/D&gt;&lt;D xsi:type="xsd:double"&gt;68.2&lt;/D&gt;&lt;D xsi:type="xsd:double"&gt;68.56&lt;/D&gt;&lt;D xsi:type="xsd:double"&gt;69.22&lt;/D&gt;&lt;D xsi:type="xsd:double"&gt;70.65&lt;/D&gt;&lt;D xsi:type="xsd:double"&gt;70.75&lt;/D&gt;&lt;D xsi:type="xsd:double"&gt;71.68&lt;/D&gt;&lt;D xsi:type="xsd:double"&gt;71.17&lt;/D&gt;&lt;D xsi:type="xsd:double"&gt;71.33&lt;/D&gt;&lt;D xsi:type="xsd:double"&gt;71.32&lt;/D&gt;&lt;D xsi:type="xsd:double"&gt;71.7&lt;/D&gt;&lt;D xsi:type="xsd:double"&gt;70.89&lt;/D&gt;&lt;D xsi:type="xsd:double"&gt;71.09&lt;/D&gt;&lt;D xsi:type="xsd:double"&gt;70.35&lt;/D&gt;&lt;D xsi:type="xsd:double"&gt;69.26&lt;/D&gt;&lt;D xsi:type="xsd:double"&gt;69.52&lt;/D&gt;&lt;D xsi:type="xsd:double"&gt;68.26&lt;/D&gt;&lt;D xsi:type="xsd:double"&gt;68.68&lt;/D&gt;&lt;D xsi:type="xsd:double"&gt;70.17&lt;/D&gt;&lt;D xsi:type="xsd:double"&gt;69.61&lt;/D&gt;&lt;D xsi:type="xsd:double"&gt;70.15&lt;/D&gt;&lt;D xsi:type="xsd:double"&gt;68.64&lt;/D&gt;&lt;D xsi:type="xsd:double"&gt;69.21&lt;/D&gt;&lt;D xsi:type="xsd:double"&gt;68.47&lt;/D&gt;&lt;D xsi:type="xsd:double"&gt;69&lt;/D&gt;&lt;D xsi:type="xsd:double"&gt;69.51&lt;/D&gt;&lt;/FQL&gt;&lt;FQL&gt;&lt;Q&gt;EWG^FG_PRICE(0,-200D)&lt;/Q&gt;&lt;R&gt;201&lt;/R&gt;&lt;C&gt;1&lt;/C&gt;&lt;D xsi:type="xsd:double"&gt;42.39&lt;/D&gt;&lt;D xsi:type="xsd:double"&gt;41.94&lt;/D&gt;&lt;D xsi:type="xsd:double"&gt;41.53&lt;/D&gt;&lt;D xsi:type="xsd:double"&gt;41.34&lt;/D&gt;&lt;D xsi:type="xsd:double"&gt;41.41&lt;/D&gt;&lt;D xsi:type="xsd:double"&gt;41.14&lt;/D&gt;&lt;D xsi:type="xsd:double"&gt;40.95&lt;/D&gt;&lt;D xsi:type="xsd:double"&gt;40.89&lt;/D&gt;&lt;D xsi:type="xsd:double"&gt;40.52&lt;/D&gt;&lt;D xsi:type="xsd:double"&gt;40.92&lt;/D&gt;&lt;D xsi:type="xsd:double"&gt;40.6&lt;/D&gt;&lt;D xsi:type="xsd:double"&gt;40.19&lt;/D&gt;&lt;D xsi:type="xsd:double"&gt;39.47&lt;/D&gt;&lt;D xsi:type="xsd:double"&gt;39.4&lt;/D&gt;&lt;D xsi:type="xsd:double"&gt;38.89&lt;/D&gt;&lt;D xsi:type="xsd:double"&gt;39.51&lt;/D&gt;&lt;D xsi:type="xsd:double"&gt;39.53&lt;/D&gt;&lt;D xsi:type="xsd:double"&gt;40.01&lt;/D&gt;&lt;D xsi:type="xsd:double"&gt;40.86&lt;/D&gt;&lt;D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</t>
        </r>
      </text>
    </comment>
    <comment ref="A3" authorId="0" shapeId="0" xr:uid="{6ABEF32D-CD2B-40F9-926F-48EC00CE96B0}">
      <text>
        <r>
          <rPr>
            <b/>
            <sz val="9"/>
            <color indexed="81"/>
            <rFont val="Tahoma"/>
            <charset val="1"/>
          </rPr>
          <t xml:space="preserve">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xsi:type="xsd:double"&gt;38.03&lt;/D&gt;&lt;D xsi:type="xsd:double"&gt;37.03&lt;/D&gt;&lt;D xsi:type="xsd:double"&gt;37.4&lt;/D&gt;&lt;D xsi:type="xsd:double"&gt;37.22&lt;/D&gt;&lt;D xsi:type="xsd:double"&gt;37.2&lt;/D&gt;&lt;D xsi:type="xsd:double"&gt;36.82&lt;/D&gt;&lt;D xsi:type="xsd:double"&gt;36.37&lt;/D&gt;&lt;D xsi:type="xsd:double"&gt;35.8&lt;/D&gt;&lt;D xsi:type="xsd:double"&gt;36.22&lt;/D&gt;&lt;D xsi:type="xsd:double"&gt;33.22&lt;/D&gt;&lt;D xsi:type="xsd:double"&gt;33.55&lt;/D&gt;&lt;D xsi:type="xsd:double"&gt;34.32&lt;/D&gt;&lt;D xsi:type="xsd:double"&gt;36.73&lt;/D&gt;&lt;D xsi:type="xsd:double"&gt;37.38&lt;/D&gt;&lt;D xsi:type="xsd:double"&gt;37.29&lt;/D&gt;&lt;D xsi:type="xsd:double"&gt;37.08&lt;/D&gt;&lt;D xsi:type="xsd:double"&gt;37.39&lt;/D&gt;&lt;D xsi:type="xsd:double"&gt;37.59&lt;/D&gt;&lt;D xsi:type="xsd:double"&gt;37.56&lt;/D&gt;&lt;D xsi:type="xsd:double"&gt;38.38&lt;/D&gt;&lt;D xsi:type="xsd:double"&gt;38.03&lt;/D&gt;&lt;D xsi:type="xsd:double"&gt;38.09&lt;/D&gt;&lt;D xsi:type="xsd:double"&gt;38.36&lt;/D&gt;&lt;D xsi:type="xsd:double"&gt;39.04&lt;/D&gt;&lt;D xsi:type="xsd:double"&gt;39.31&lt;/D&gt;&lt;D xsi:type="xsd:double"&gt;39.03&lt;/D&gt;&lt;D xsi:type="xsd:double"&gt;38.62&lt;/D&gt;&lt;D xsi:type="xsd:double"&gt;37.59&lt;/D&gt;&lt;D xsi:type="xsd:double"&gt;37.99&lt;/D&gt;&lt;D xsi:type="xsd:double"&gt;37.74&lt;/D&gt;&lt;D xsi:type="xsd:double"&gt;37.79&lt;/D&gt;&lt;D xsi:type="xsd:double"&gt;38.81&lt;/D&gt;&lt;D xsi:type="xsd:double"&gt;38.59&lt;/D&gt;&lt;D xsi:type="xsd:double"&gt;38.53&lt;/D&gt;&lt;D xsi:type="xsd:double"&gt;37.03&lt;/D&gt;&lt;D xsi:type="xsd:double"&gt;37.16&lt;/D&gt;&lt;D xsi:type="xsd:double"&gt;36.07&lt;/D&gt;&lt;D xsi:type="xsd:double"&gt;36&lt;/D&gt;&lt;D xsi:type="xsd:double"&gt;36.71&lt;/D&gt;&lt;/FQL&gt;&lt;FQL&gt;&lt;Q&gt;EWC^FG_PRICE(0,-200D)&lt;/Q&gt;&lt;R&gt;201&lt;/R&gt;&lt;C&gt;1&lt;/C&gt;&lt;D xsi:type="xsd:double"&gt;54.08&lt;/D&gt;&lt;D xsi:type="xsd:double"&gt;53.72&lt;/D&gt;&lt;D xsi:type="xsd:double"&gt;53.07&lt;/D&gt;&lt;D xsi:type="xsd:double"&gt;52.95&lt;/D&gt;&lt;D xsi:type="xsd:double"&gt;53.29&lt;/D&gt;&lt;D xsi:type="xsd:double"&gt;53.07&lt;/D&gt;&lt;D xsi:type="xsd:double"&gt;52.47&lt;/D&gt;&lt;D xsi:type="xsd:double"&gt;52.14&lt;/D&gt;&lt;D xsi:type="xsd:double"&gt;52.18&lt;/D&gt;&lt;D xsi:type="xsd:double"&gt;52.7&lt;/D&gt;&lt;D xsi:type="xsd:double"&gt;52.25&lt;/D&gt;&lt;D xsi:type="xsd:double"&gt;51.56&lt;/D&gt;&lt;D xsi:type="xsd:double"&gt;51.05&lt;/D&gt;&lt;D xsi:type="xsd:double"&gt;50.43&lt;/D&gt;&lt;D xsi:type="xsd:double"&gt;49.91&lt;/D&gt;&lt;D xsi:type="xsd:double"&gt;50.62&lt;/D&gt;&lt;D xsi:type="xsd:double"&gt;50.53&lt;/D&gt;&lt;D xsi:type="xsd:double"&gt;50.34&lt;/D&gt;&lt;D xsi:type="xsd:double"&gt;50.89&lt;/D&gt;&lt;D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xsi:type="xsd:double"&gt;41.39&lt;/D&gt;&lt;D xsi:type="xsd:double"&gt;40.77&lt;/D&gt;&lt;D xsi:type="xsd:double"&gt;41.1&lt;/D&gt;&lt;D xsi:type="xsd:double"&gt;40.83&lt;/D&gt;&lt;D xsi:type="xsd:double"&gt;40.53&lt;/D&gt;&lt;D xsi:type="xsd:double"&gt;40.44&lt;/D&gt;&lt;D xsi:type="xsd:double"&gt;39.87&lt;/D&gt;&lt;D xsi:type="xsd:double"&gt;38.74&lt;/D&gt;&lt;D xsi:type="xsd:double"&gt;39.54&lt;/D&gt;&lt;D xsi:type="xsd:double"&gt;37.17&lt;/D&gt;&lt;D xsi:type="xsd:double"&gt;37.79&lt;/D&gt;&lt;D xsi:type="xsd:double"&gt;38.41&lt;/D&gt;&lt;D xsi:type="xsd:double"&gt;40.62&lt;/D&gt;&lt;D xsi:type="xsd:double"&gt;41.59&lt;/D&gt;&lt;D xsi:type="xsd:double"&gt;41.13&lt;/D&gt;&lt;D xsi:type="xsd:double"&gt;40.75&lt;/D&gt;&lt;D xsi:type="xsd:double"&gt;40.57&lt;/D&gt;&lt;D xsi:type="xsd:double"&gt;41.25&lt;/D&gt;&lt;D xsi:type="xsd:double"&gt;41.38&lt;/D&gt;&lt;D xsi:type="xsd:double"&gt;41.71&lt;/D&gt;&lt;D xsi:type="xsd:double"&gt;41.51&lt;/D&gt;&lt;D xsi:type="xsd:double"&gt;40.88&lt;/D&gt;&lt;D xsi:type="xsd:double"&gt;41.03&lt;/D&gt;&lt;D xsi:type="xsd:double"&gt;41.04&lt;/D&gt;&lt;D xsi:type="xsd:double"&gt;40.52&lt;/D&gt;&lt;D xsi:type="xsd:double"&gt;40.69&lt;/D&gt;&lt;D xsi:type="xsd:double"&gt;40.11&lt;/D&gt;&lt;D xsi:type="xsd:double"&gt;39.3&lt;/D&gt;&lt;D xsi:type="xsd:double"&gt;39.84&lt;/D&gt;&lt;D xsi:type="xsd:double"&gt;39.48&lt;/D&gt;&lt;D xsi:type="xsd:double"&gt;39.68&lt;/D&gt;&lt;D xsi:type="xsd:double"&gt;40.47&lt;/D&gt;&lt;D xsi:type="xsd:double"&gt;40.37&lt;/D&gt;&lt;D xsi:type="xsd:double"&gt;40.73&lt;/D&gt;&lt;D xsi:type="xsd:double"&gt;39.77&lt;/D&gt;&lt;D xsi:type="xsd:double"&gt;40.45&lt;/D&gt;&lt;D xsi:type="xsd:double"&gt;41.23&lt;/D&gt;&lt;D xsi:type="xsd:double"&gt;40.8&lt;/D&gt;&lt;D xsi:type="xsd:double"&gt;41.43&lt;/D&gt;&lt;/FQL&gt;&lt;FQL&gt;&lt;Q&gt;EWA^FG_PRICE(0,-200D)&lt;/Q&gt;&lt;R&gt;201&lt;/R&gt;&lt;C&gt;1&lt;/C&gt;&lt;D xsi:type="xsd:double"&gt;26.64&lt;/D&gt;&lt;D xsi:type="xsd:double"&gt;26.65&lt;/D&gt;&lt;D xsi:type="xsd:double"&gt;26.35&lt;/D&gt;&lt;D xsi:type="xsd:double"&gt;26.24&lt;/D&gt;&lt;D xsi:type="xsd:double"&gt;26.34&lt;/D&gt;&lt;D xsi:type="xsd:double"&gt;26.29&lt;/D&gt;&lt;D xsi:type="xsd:double"&gt;26.13&lt;/D&gt;&lt;D xsi:type="xsd:double"&gt;25.93&lt;/D&gt;&lt;D xsi:type="xsd:double"&gt;25.73&lt;/D&gt;&lt;D xsi:type="xsd:double"&gt;25.85&lt;/D&gt;&lt;D xsi:type="xsd:double"&gt;25.82&lt;/D&gt;&lt;D xsi:type="xsd:double"&gt;25.62&lt;/D&gt;&lt;D xsi:type="xsd:double"&gt;25.44&lt;/D&gt;&lt;D xsi:type="xsd:double"&gt;25.33&lt;/D&gt;&lt;D xsi:type="xsd:double"&gt;24.95&lt;/D&gt;&lt;D xsi:type="xsd:double"&gt;25.3&lt;/D&gt;&lt;D xsi:type="xsd:double"&gt;25.4&lt;/D&gt;&lt;D xsi:type="xsd:double"&gt;25.64&lt;/D&gt;&lt;D xsi:type="xsd:double"&gt;25.95&lt;/D&gt;&lt;D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xsi:type="xsd:double"&gt;23.96&lt;/D&gt;&lt;D xsi:type="xsd:double"&gt;23.48&lt;/D&gt;&lt;D xsi:type="xsd:double"&gt;23.61&lt;/D&gt;&lt;D xsi:type="xsd:double"&gt;23.42&lt;/D&gt;&lt;D xsi:type="xsd:double"&gt;23.36&lt;/D&gt;&lt;D xsi:type="xsd:double"&gt;23.29&lt;/D&gt;&lt;D xsi:type="xsd:double"&gt;22.77&lt;/D&gt;&lt;D xsi:type="xsd:double"&gt;22.35&lt;/D&gt;&lt;D xsi:type="xsd:double"&gt;22.81&lt;/D&gt;&lt;D xsi:type="xsd:double"&gt;20.82&lt;/D&gt;&lt;D xsi:type="xsd:double"&gt;20.85&lt;/D&gt;&lt;D xsi:type="xsd:double"&gt;21.15&lt;/D&gt;&lt;D xsi:type="xsd:double"&gt;23.25&lt;/D&gt;&lt;D xsi:type="xsd:double"&gt;23.89&lt;/D&gt;&lt;D xsi:type="xsd:double"&gt;23.71&lt;/D&gt;&lt;D xsi:type="xsd:double"&gt;23.44&lt;/D&gt;&lt;D xsi:type="xsd:double"&gt;23.47&lt;/D&gt;&lt;D xsi:type="xsd:double"&gt;23.75&lt;/D&gt;&lt;D xsi:type="xsd:double"&gt;23.71&lt;/D&gt;&lt;D xsi:type="xsd:double"&gt;23.81&lt;/D&gt;&lt;D xsi:type="xsd:double"&gt;23.7&lt;/D&gt;&lt;D xsi:type="xsd:double"&gt;23.43&lt;/D&gt;&lt;D xsi:type="xsd:double"&gt;23.53&lt;/D&gt;&lt;D xsi:type="xsd:double"&gt;23.65&lt;/D&gt;&lt;D xsi:type="xsd:double"&gt;23.43&lt;/D&gt;&lt;D xsi:type="xsd:double"&gt;23.87&lt;/D&gt;&lt;D xsi:type="xsd:double"&gt;23.5&lt;/D&gt;&lt;D xsi:type="xsd:double"&gt;23.02&lt;/D&gt;&lt;D xsi:type="xsd:double"&gt;23.31&lt;/D&gt;&lt;D xsi:type="xsd:double"&gt;23.32&lt;/D&gt;&lt;D xsi:type="xsd:double"&gt;23.42&lt;/D&gt;&lt;D xsi:type="xsd:double"&gt;23.89&lt;/D&gt;&lt;D xsi:type="xsd:double"&gt;24.02&lt;/D&gt;&lt;D xsi:type="xsd:double"&gt;24.41&lt;/D&gt;&lt;D xsi:type="xsd:double"&gt;23.92&lt;/D&gt;&lt;D xsi:type="xsd:double"&gt;23.95&lt;/D&gt;&lt;D xsi:type="xsd:double"&gt;23.99&lt;/D&gt;&lt;D xsi:type="xsd:double"&gt;24.07&lt;/D&gt;&lt;D xsi:type="xsd:double"&gt;24.44&lt;/D&gt;&lt;/FQL&gt;&lt;FQL&gt;&lt;Q&gt;ENZL^FG_PRICE(0,-200D)&lt;/Q&gt;&lt;R&gt;201&lt;/R&gt;&lt;C&gt;1&lt;/C&gt;&lt;D xsi:type="xsd:double"&gt;46.35&lt;/D&gt;&lt;D xsi:type="xsd:double"&gt;46.2943&lt;/D&gt;&lt;D xsi:type="xsd:double"&gt;45.9504&lt;/D&gt;&lt;D xsi:type="xsd:double"&gt;46.0267&lt;/D&gt;&lt;D xsi:type="xsd:double"&gt;45.995&lt;/D&gt;&lt;D xsi:type="xsd:double"&gt;46.005&lt;/D&gt;&lt;D xsi:type="xsd:double"&gt;46.1656&lt;/D&gt;&lt;D xsi:type="xsd:double"&gt;45.8184&lt;/D&gt;&lt;D xsi:type="xsd:double"&gt;45.48&lt;/D&gt;&lt;D xsi:type="xsd:double"&gt;45.6257&lt;/D&gt;&lt;D xsi:type="xsd:double"&gt;45.47&lt;/D&gt;&lt;D xsi:type="xsd:double"&gt;44.6994&lt;/D&gt;&lt;D xsi:type="xsd:double"&gt;44.47&lt;/D&gt;&lt;D xsi:type="xsd:double"&gt;44.33&lt;/D&gt;&lt;D xsi:type="xsd:double"&gt;43.75&lt;/D&gt;&lt;D xsi:type="xsd:double"&gt;43.6663&lt;/D&gt;&lt;D xsi:type="xsd:double"&gt;44.2359&lt;/D&gt;&lt;D xsi:type="xsd:double"&gt;44.4932&lt;/D&gt;&lt;D xsi:type="xsd:double"&gt;44.845&lt;/D&gt;&lt;D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xsi:type="xsd:double"&gt;43.095&lt;/D&gt;&lt;D xsi:type="xsd:double"&gt;43.38&lt;/D&gt;&lt;D xsi:type="xsd:double"&gt;43.5&lt;/D&gt;&lt;D xsi:type="xsd:double"&gt;43.03&lt;/D&gt;&lt;D xsi:type="xsd:double"&gt;42.68&lt;/D&gt;&lt;D xsi:type="xsd:double"&gt;43.1&lt;/D&gt;&lt;D xsi:type="xsd:double"&gt;42.39&lt;/D&gt;&lt;D xsi:type="xsd:double"&gt;41.79&lt;/D&gt;&lt;D xsi:type="xsd:double"&gt;41.36&lt;/D&gt;&lt;D xsi:type="xsd:double"&gt;39.48&lt;/D&gt;&lt;D xsi:type="xsd:double"&gt;39.39&lt;/D&gt;&lt;D xsi:type="xsd:double"&gt;40.13&lt;/D&gt;&lt;D xsi:type="xsd:double"&gt;42.72&lt;/D&gt;&lt;D xsi:type="xsd:double"&gt;42.67&lt;/D&gt;&lt;D xsi:type="xsd:double"&gt;42.39&lt;/D&gt;&lt;D xsi:type="xsd:double"&gt;42.08&lt;/D&gt;&lt;D xsi:type="xsd:double"&gt;42.05&lt;/D&gt;&lt;D xsi:type="xsd:double"&gt;42.6&lt;/D&gt;&lt;D xsi:type="xsd:double"&gt;42.48&lt;/D&gt;&lt;D xsi:type="xsd:double"&gt;42.41&lt;/D&gt;&lt;D xsi:type="xsd:double"&gt;41.83&lt;/D&gt;&lt;D xsi:type="xsd:double"&gt;41.82&lt;/D&gt;&lt;D xsi:type="xsd:double"&gt;41.75&lt;/D&gt;&lt;D xsi:type="xsd:double"&gt;42.29&lt;/D&gt;&lt;D xsi:type="xsd:double"&gt;41.95&lt;/D&gt;&lt;D xsi:type="xsd:double"&gt;42.77&lt;/D&gt;&lt;D xsi:type="xsd:double"&gt;42.45&lt;/D&gt;&lt;D xsi:type="xsd:double"&gt;41.91&lt;/D&gt;&lt;D xsi:type="xsd:double"&gt;42.34&lt;/D&gt;&lt;D xsi:type="xsd:double"&gt;42.39&lt;/D&gt;&lt;D xsi:type="xsd:double"&gt;42.75&lt;/D&gt;&lt;D xsi:type="xsd:double"&gt;42.985&lt;/D&gt;&lt;D xsi:type="xsd:double"&gt;42.72&lt;/D&gt;&lt;D xsi:type="xsd:double"&gt;42.94&lt;/D&gt;&lt;D xsi:type="xsd:double"&gt;42.25&lt;/D&gt;&lt;D xsi:type="xsd:double"&gt;42.18&lt;/D&gt;&lt;D xsi:type="xsd:double"&gt;42.37&lt;/D&gt;&lt;D xsi:type="xsd:double"&gt;42.37&lt;/D&gt;&lt;D xsi:type="xsd:double"&gt;42.96&lt;/D&gt;&lt;/FQL&gt;&lt;FQL&gt;&lt;Q&gt;KSA^FG_PRICE(0,-200D)&lt;/Q&gt;&lt;R&gt;201&lt;/R&gt;&lt;C&gt;1&lt;/C&gt;&lt;D xsi:type="xsd:double"&gt;37.62&lt;/D&gt;&lt;D xsi:type="xsd:double"&gt;37.66&lt;/D&gt;&lt;D xsi:type="xsd:double"&gt;37.43&lt;/D&gt;&lt;D xsi:type="xsd:double"&gt;37.19&lt;/D&gt;&lt;D xsi:type="xsd:double"&gt;37.2&lt;/D&gt;&lt;D xsi:type="xsd:double"&gt;37.17&lt;/D&gt;&lt;D xsi:type="xsd:double"&gt;37.04&lt;/D&gt;&lt;D xsi:type="xsd:double"&gt;36.98&lt;/D&gt;&lt;D xsi:type="xsd:double"&gt;37.06&lt;/D&gt;&lt;D xsi:type="xsd:double"&gt;37.44&lt;/D&gt;&lt;D xsi:type="xsd:double"&gt;37.38&lt;/D&gt;&lt;D xsi:type="xsd:double"&gt;37.59&lt;/D&gt;&lt;D xsi:type="xsd:double"&gt;38.16&lt;/D&gt;&lt;D xsi:type="xsd:double"&gt;38.28&lt;/D&gt;&lt;D xsi:type="xsd:double"&gt;38.19&lt;/D&gt;&lt;D xsi:type="xsd:double"&gt;38.43&lt;/D&gt;&lt;D xsi:type="xsd:double"&gt;38.79&lt;/D&gt;&lt;D xsi:type="xsd:double"&gt;38.45&lt;/D&gt;&lt;D xsi:type="xsd:double"&gt;38.83&lt;/D&gt;&lt;D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xsi:type="xsd:double"&gt;40.41&lt;/D&gt;&lt;D xsi:type="xsd:double"&gt;39.9&lt;/D&gt;&lt;D xsi:type="xsd:double"&gt;40.19&lt;/D&gt;&lt;D xsi:type="xsd:double"&gt;40.04&lt;/D&gt;&lt;D xsi:type="xsd:double"&gt;40.24&lt;/D&gt;&lt;D xsi:type="xsd:double"&gt;40.01&lt;/D&gt;&lt;D xsi:type="xsd:double"&gt;39.58&lt;/D&gt;&lt;D xsi:type="xsd:double"&gt;39.34&lt;/D&gt;&lt;D xsi:type="xsd:double"&gt;40.2&lt;/D&gt;&lt;D xsi:type="xsd:double"&gt;38.17&lt;/D&gt;&lt;D xsi:type="xsd:double"&gt;38.75&lt;/D&gt;&lt;D xsi:type="xsd:double"&gt;38.98&lt;/D&gt;&lt;D xsi:type="xsd:double"&gt;40.61&lt;/D&gt;&lt;D xsi:type="xsd:double"&gt;41.52&lt;/D&gt;&lt;D xsi:type="xsd:double"&gt;41.34&lt;/D&gt;&lt;D xsi:type="xsd:double"&gt;41.37&lt;/D&gt;&lt;D xsi:type="xsd:double"&gt;41.07&lt;/D&gt;&lt;D xsi:type="xsd:double"&gt;41.39&lt;/D&gt;&lt;D xsi:type="xsd:double"&gt;40.87&lt;/D&gt;&lt;D xsi:type="xsd:double"&gt;40.28&lt;/D&gt;&lt;D xsi:type="xsd:double"&gt;40.49&lt;/D&gt;&lt;D xsi:type="xsd:double"&gt;40.34&lt;/D&gt;&lt;D xsi:type="xsd:double"&gt;40.35&lt;/D&gt;&lt;D xsi:type="xsd:double"&gt;40.38&lt;/D&gt;&lt;D xsi:type="xsd:double"&gt;40.59&lt;/D&gt;&lt;D xsi:type="xsd:double"&gt;41.13&lt;/D&gt;&lt;D xsi:type="xsd:double"&gt;40.48&lt;/D&gt;&lt;D xsi:type="xsd:double"&gt;40.02&lt;/D&gt;&lt;D xsi:type="xsd:double"&gt;40.06&lt;/D&gt;&lt;D xsi:type="xsd:double"&gt;39.95&lt;/D&gt;&lt;D xsi:type="xsd:double"&gt;40.04&lt;/D&gt;&lt;D xsi:type="xsd:double"&gt;40.39&lt;/D&gt;&lt;D xsi:type="xsd:double"&gt;40.27&lt;/D&gt;&lt;D xsi:type="xsd:double"&gt;40.75&lt;/D&gt;&lt;D xsi:type="xsd:double"&gt;40.64&lt;/D&gt;&lt;D xsi:type="xsd:double"&gt;41.07&lt;/D&gt;&lt;D xsi:type="xsd:double"&gt;41.13&lt;/D&gt;&lt;D xsi:type="xsd:double"&gt;41.17&lt;/D&gt;&lt;D xsi:type="xsd:double"&gt;41.63&lt;/D&gt;&lt;/FQL&gt;&lt;FQL&gt;&lt;Q&gt;VNM^FG_PRICE(0,-200D)&lt;/Q&gt;&lt;R&gt;201&lt;/R&gt;&lt;C&gt;1&lt;/C&gt;&lt;D xsi:type="xsd:double"&gt;18.27&lt;/D&gt;&lt;D xsi:type="xsd:double"&gt;18.28&lt;/D&gt;&lt;D xsi:type="xsd:double"&gt;18.65&lt;/D&gt;&lt;D xsi:type="xsd:double"&gt;18.72&lt;/D&gt;&lt;D xsi:type="xsd:double"&gt;18.65&lt;/D&gt;&lt;D xsi:type="xsd:double"&gt;18.59&lt;/D&gt;&lt;D xsi:type="xsd:double"&gt;18.69&lt;/D&gt;&lt;D xsi:type="xsd:double"&gt;18.65&lt;/D&gt;&lt;D xsi:type="xsd:double"&gt;18.38&lt;/D&gt;&lt;D xsi:type="xsd:double"&gt;18.34&lt;/D&gt;&lt;D xsi:type="xsd:double"&gt;18.24&lt;/D&gt;&lt;D xsi:type="xsd:double"&gt;17.75&lt;/D&gt;&lt;D xsi:type="xsd:double"&gt;17.91&lt;/D&gt;&lt;D xsi:type="xsd:double"&gt;17.72&lt;/D&gt;&lt;D xsi:type="xsd:double"&gt;17.45&lt;/D&gt;&lt;D xsi:type="xsd:double"&gt;17.61&lt;/D&gt;&lt;D xsi:type="xsd:double"&gt;17.73&lt;/D&gt;&lt;D xsi:type="xsd:double"&gt;17.66&lt;/D&gt;&lt;D xsi:type="xsd:double"&gt;17.59&lt;/D&gt;&lt;D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</t>
        </r>
      </text>
    </comment>
    <comment ref="A4" authorId="0" shapeId="0" xr:uid="{BC003301-D484-47CD-BB80-0AE9E781FCE0}">
      <text>
        <r>
          <rPr>
            <b/>
            <sz val="9"/>
            <color indexed="81"/>
            <rFont val="Tahoma"/>
            <charset val="1"/>
          </rPr>
          <t>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xsi:type="xsd:double"&gt;11.64&lt;/D&gt;&lt;D xsi:type="xsd:double"&gt;11.51&lt;/D&gt;&lt;D xsi:type="xsd:double"&gt;11.73&lt;/D&gt;&lt;D xsi:type="xsd:double"&gt;11.5&lt;/D&gt;&lt;D xsi:type="xsd:double"&gt;11.74&lt;/D&gt;&lt;D xsi:type="xsd:double"&gt;11.93&lt;/D&gt;&lt;D xsi:type="xsd:double"&gt;11.87&lt;/D&gt;&lt;D xsi:type="xsd:double"&gt;11.31&lt;/D&gt;&lt;D xsi:type="xsd:double"&gt;11.46&lt;/D&gt;&lt;D xsi:type="xsd:double"&gt;10.13&lt;/D&gt;&lt;D xsi:type="xsd:double"&gt;11.16&lt;/D&gt;&lt;D xsi:type="xsd:double"&gt;11.64&lt;/D&gt;&lt;D xsi:type="xsd:double"&gt;11.4&lt;/D&gt;&lt;D xsi:type="xsd:double"&gt;12.7&lt;/D&gt;&lt;D xsi:type="xsd:double"&gt;12.56&lt;/D&gt;&lt;D xsi:type="xsd:double"&gt;12.48&lt;/D&gt;&lt;D xsi:type="xsd:double"&gt;12.38&lt;/D&gt;&lt;D xsi:type="xsd:double"&gt;12.56&lt;/D&gt;&lt;D xsi:type="xsd:double"&gt;12.49&lt;/D&gt;&lt;D xsi:type="xsd:double"&gt;12.69&lt;/D&gt;&lt;D xsi:type="xsd:double"&gt;12.7&lt;/D&gt;&lt;D xsi:type="xsd:double"&gt;12.54&lt;/D&gt;&lt;D xsi:type="xsd:double"&gt;12.4&lt;/D&gt;&lt;D xsi:type="xsd:double"&gt;12.6&lt;/D&gt;&lt;D xsi:type="xsd:double"&gt;12.62&lt;/D&gt;&lt;D xsi:type="xsd:double"&gt;12.76&lt;/D&gt;&lt;D xsi:type="xsd:double"&gt;12.66&lt;/D&gt;&lt;D xsi:type="xsd:double"&gt;12.44&lt;/D&gt;&lt;D xsi:type="xsd:double"&gt;12.58&lt;/D&gt;&lt;D xsi:type="xsd:double"&gt;12.41&lt;/D&gt;&lt;D xsi:type="xsd:double"&gt;12.24&lt;/D&gt;&lt;D xsi:type="xsd:double"&gt;12.4&lt;/D&gt;&lt;D xsi:type="xsd:double"&gt;12.2&lt;/D&gt;&lt;D xsi:type="xsd:double"&gt;11.95&lt;/D&gt;&lt;D xsi:type="xsd:double"&gt;11.97&lt;/D&gt;&lt;D xsi:type="xsd:double"&gt;12.04&lt;/D&gt;&lt;D xsi:type="xsd:double"&gt;12.04&lt;/D&gt;&lt;D xsi:type="xsd:double"&gt;11.965&lt;/D&gt;&lt;D xsi:type="xsd:double"&gt;11.89&lt;/D&gt;&lt;/FQL&gt;&lt;FQL&gt;&lt;Q&gt;UAE^FG_PRICE(0,-200D)&lt;/Q&gt;&lt;R&gt;201&lt;/R&gt;&lt;C&gt;1&lt;/C&gt;&lt;D xsi:type="xsd:double"&gt;19.51&lt;/D&gt;&lt;D xsi:type="xsd:double"&gt;19.4401&lt;/D&gt;&lt;D xsi:type="xsd:double"&gt;19.38&lt;/D&gt;&lt;D xsi:type="xsd:double"&gt;19.08&lt;/D&gt;&lt;D xsi:type="xsd:double"&gt;19.22&lt;/D&gt;&lt;D xsi:type="xsd:double"&gt;19.05&lt;/D&gt;&lt;D xsi:type="xsd:double"&gt;18.85&lt;/D&gt;&lt;D xsi:type="xsd:double"&gt;18.53&lt;/D&gt;&lt;D xsi:type="xsd:double"&gt;18.4941&lt;/D&gt;&lt;D xsi:type="xsd:double"&gt;18.58&lt;/D&gt;&lt;D xsi:type="xsd:double"&gt;18.53&lt;/D&gt;&lt;D xsi:type="xsd:double"&gt;18.71&lt;/D&gt;&lt;D xsi:type="xsd:double"&gt;18.75&lt;/D&gt;&lt;D xsi:type="xsd:double"&gt;18.68&lt;/D&gt;&lt;D xsi:type="xsd:double"&gt;18.7582&lt;/D&gt;&lt;D xsi:type="xsd:double"&gt;18.87&lt;/D&gt;&lt;D xsi:type="xsd:double"&gt;18.85&lt;/D&gt;&lt;D xsi:type="xsd:double"&gt;18.93&lt;/D&gt;&lt;D xsi:type="xsd:double"&gt;19.17&lt;/D&gt;&lt;D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xsi:type="xsd:double"&gt;17.01&lt;/D&gt;&lt;D xsi:type="xsd:double"&gt;16.76&lt;/D&gt;&lt;D xsi:type="xsd:double"&gt;16.76&lt;/D&gt;&lt;D xsi:type="xsd:double"&gt;16.68&lt;/D&gt;&lt;D xsi:type="xsd:double"&gt;16.79&lt;/D&gt;&lt;D xsi:type="xsd:double"&gt;16.71&lt;/D&gt;&lt;D xsi:type="xsd:double"&gt;16.51&lt;/D&gt;&lt;D xsi:type="xsd:double"&gt;16.17&lt;/D&gt;&lt;D xsi:type="xsd:double"&gt;16.46&lt;/D&gt;&lt;D xsi:type="xsd:double"&gt;15.58&lt;/D&gt;&lt;D xsi:type="xsd:double"&gt;15.88&lt;/D&gt;&lt;D xsi:type="xsd:double"&gt;15.6&lt;/D&gt;&lt;D xsi:type="xsd:double"&gt;16.35&lt;/D&gt;&lt;D xsi:type="xsd:double"&gt;17&lt;/D&gt;&lt;D xsi:type="xsd:double"&gt;16.93&lt;/D&gt;&lt;D xsi:type="xsd:double"&gt;16.97&lt;/D&gt;&lt;D xsi:type="xsd:double"&gt;16.85&lt;/D&gt;&lt;D xsi:type="xsd:double"&gt;17.05&lt;/D&gt;&lt;D xsi:type="xsd:double"&gt;16.91&lt;/D&gt;&lt;D xsi:type="xsd:double"&gt;16.91&lt;/D&gt;&lt;D xsi:type="xsd:double"&gt;17.04&lt;/D&gt;&lt;D xsi:type="xsd:double"&gt;16.83&lt;/D&gt;&lt;D xsi:type="xsd:double"&gt;16.95&lt;/D&gt;&lt;D xsi:type="xsd:double"&gt;17.02&lt;/D&gt;&lt;D xsi:type="xsd:double"&gt;16.94&lt;/D&gt;&lt;D xsi:type="xsd:double"&gt;17.1&lt;/D&gt;&lt;D xsi:type="xsd:double"&gt;16.97&lt;/D&gt;&lt;D xsi:type="xsd:double"&gt;16.78&lt;/D&gt;&lt;D xsi:type="xsd:double"&gt;16.78&lt;/D&gt;&lt;D xsi:type="xsd:double"&gt;16.58&lt;/D&gt;&lt;D xsi:type="xsd:double"&gt;16.61&lt;/D&gt;&lt;D xsi:type="xsd:double"&gt;16.92&lt;/D&gt;&lt;D xsi:type="xsd:double"&gt;17.09&lt;/D&gt;&lt;D xsi:type="xsd:double"&gt;17.3&lt;/D&gt;&lt;D xsi:type="xsd:double"&gt;17.32&lt;/D&gt;&lt;D xsi:type="xsd:double"&gt;17.12&lt;/D&gt;&lt;D xsi:type="xsd:double"&gt;17.45&lt;/D&gt;&lt;D xsi:type="xsd:double"&gt;17.42&lt;/D&gt;&lt;D xsi:type="xsd:double"&gt;17.47&lt;/D&gt;&lt;/FQL&gt;&lt;FQL&gt;&lt;Q&gt;TUR^FG_PRICE(0,-200D)&lt;/Q&gt;&lt;R&gt;201&lt;/R&gt;&lt;C&gt;1&lt;/C&gt;&lt;D xsi:type="xsd:double"&gt;34.82&lt;/D&gt;&lt;D xsi:type="xsd:double"&gt;34.73&lt;/D&gt;&lt;D xsi:type="xsd:double"&gt;34.66&lt;/D&gt;&lt;D xsi:type="xsd:double"&gt;34.42&lt;/D&gt;&lt;D xsi:type="xsd:double"&gt;33.84&lt;/D&gt;&lt;D xsi:type="xsd:double"&gt;33.55&lt;/D&gt;&lt;D xsi:type="xsd:double"&gt;33.87&lt;/D&gt;&lt;D xsi:type="xsd:double"&gt;34.1&lt;/D&gt;&lt;D xsi:type="xsd:double"&gt;34.03&lt;/D&gt;&lt;D xsi:type="xsd:double"&gt;33.5&lt;/D&gt;&lt;D xsi:type="xsd:double"&gt;33.59&lt;/D&gt;&lt;D xsi:type="xsd:double"&gt;33.54&lt;/D&gt;&lt;D xsi:type="xsd:double"&gt;33.76&lt;/D&gt;&lt;D xsi:type="xsd:double"&gt;33.78&lt;/D&gt;&lt;D xsi:type="xsd:double"&gt;33.58&lt;/D&gt;&lt;D xsi:type="xsd:double"&gt;33.66&lt;/D&gt;&lt;D xsi:type="xsd:double"&gt;33.3&lt;/D&gt;&lt;D xsi:type="xsd:double"&gt;33.08&lt;/D&gt;&lt;D xsi:type="xsd:double"&gt;32.85&lt;/D&gt;&lt;D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xsi:type="xsd:double"&gt;31.66&lt;/D&gt;&lt;D xsi:type="xsd:double"&gt;31.71&lt;/D&gt;&lt;D xsi:type="xsd:double"&gt;31.91&lt;/D&gt;&lt;D xsi:type="xsd:double"&gt;31.21&lt;/D&gt;&lt;D xsi:type="xsd:double"&gt;31.85&lt;/D&gt;&lt;D xsi:type="xsd:double"&gt;32.13&lt;/D&gt;&lt;D xsi:type="xsd:double"&gt;32.08&lt;/D&gt;&lt;D xsi:type="xsd:double"&gt;31.9&lt;/D&gt;&lt;D xsi:type="xsd:double"&gt;32.83&lt;/D&gt;&lt;D xsi:type="xsd:double"&gt;31.83&lt;/D&gt;&lt;D xsi:type="xsd:double"&gt;31.86&lt;/D&gt;&lt;D xsi:type="xsd:double"&gt;31.67&lt;/D&gt;&lt;D xsi:type="xsd:double"&gt;32.2&lt;/D&gt;&lt;D xsi:type="xsd:double"&gt;32.44&lt;/D&gt;&lt;D xsi:type="xsd:double"&gt;32.89&lt;/D&gt;&lt;D xsi:type="xsd:double"&gt;32.82&lt;/D&gt;&lt;D xsi:type="xsd:double"&gt;32.67&lt;/D&gt;&lt;D xsi:type="xsd:double"&gt;32.31&lt;/D&gt;&lt;D xsi:type="xsd:double"&gt;32.76&lt;/D&gt;&lt;D xsi:type="xsd:double"&gt;32.63&lt;/D&gt;&lt;D xsi:type="xsd:double"&gt;31.74&lt;/D&gt;&lt;D xsi:type="xsd:double"&gt;30.77&lt;/D&gt;&lt;D xsi:type="xsd:double"&gt;33.28&lt;/D&gt;&lt;D xsi:type="xsd:double"&gt;33.04&lt;/D&gt;&lt;D xsi:type="xsd:double"&gt;37.79&lt;/D&gt;&lt;D xsi:type="xsd:double"&gt;38.55&lt;/D&gt;&lt;D xsi:type="xsd:double"&gt;38.34&lt;/D&gt;&lt;D xsi:type="xsd:double"&gt;37.89&lt;/D&gt;&lt;D xsi:type="xsd:double"&gt;37.62&lt;/D&gt;&lt;D xsi:type="xsd:double"&gt;37.05&lt;/D&gt;&lt;D xsi:type="xsd:double"&gt;36.82&lt;/D&gt;&lt;D xsi:type="xsd:double"&gt;37.28&lt;/D&gt;&lt;D xsi:type="xsd:double"&gt;37.28&lt;/D&gt;&lt;D xsi:type="xsd:double"&gt;36.34&lt;/D&gt;&lt;D xsi:type="xsd:double"&gt;35.2&lt;/D&gt;&lt;D xsi:type="xsd:double"&gt;34.97&lt;/D&gt;&lt;D xsi:type="xsd:double"&gt;34.28&lt;/D&gt;&lt;D xsi:type="xsd:double"&gt;34.55&lt;/D&gt;&lt;D xsi:type="xsd:double"&gt;33.88&lt;/D&gt;&lt;/FQL&gt;&lt;FQL&gt;&lt;Q&gt;SET-BKK^FG_PRICE(0,-200D)&lt;/Q&gt;&lt;R&gt;201&lt;/R&gt;&lt;C&gt;1&lt;/C&gt;&lt;D xsi:type="xsd:double"&gt;1253.54&lt;/D&gt;&lt;D xsi:type="xsd:double"&gt;1269.87&lt;/D&gt;&lt;D xsi:type="xsd:double"&gt;1261.39&lt;/D&gt;&lt;D xsi:type="xsd:double"&gt;1273.77&lt;/D&gt;&lt;D xsi:type="xsd:double"&gt;1274.82&lt;/D&gt;&lt;D xsi:type="xsd:double"&gt;1277.58&lt;/D&gt;&lt;D xsi:type="xsd:double"&gt;1276.57&lt;/D&gt;&lt;D xsi:type="xsd:double"&gt;1256.69&lt;/D&gt;&lt;D xsi:type="xsd:double"&gt;1252.71&lt;/D&gt;&lt;D xsi:type="xsd:double"&gt;1261.18&lt;/D&gt;&lt;D xsi:type="xsd:double"&gt;1268.78&lt;/D&gt;&lt;D xsi:type="xsd:double"&gt;1252.73&lt;/D&gt;&lt;D xsi:type="xsd:double"&gt;1254.4&lt;/D&gt;&lt;D xsi:type="xsd:double"&gt;1281.81&lt;/D&gt;&lt;D xsi:type="xsd:double"&gt;1272.17&lt;/D&gt;&lt;D xsi:type="xsd:double"&gt;1270.04&lt;/D&gt;&lt;D xsi:type="xsd:double"&gt;1280.07&lt;/D&gt;&lt;D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xsi:type="xsd:double"&gt;1133.95&lt;/D&gt;&lt;D xsi:type="xsd:double"&gt;1088.18&lt;/D&gt;&lt;D xsi:type="xsd:double"&gt;1074.59&lt;/D&gt;&lt;D xsi:type="xsd:double"&gt;1125.21&lt;/D&gt;&lt;D xsi:type="xsd:double"&gt;1161.81&lt;/D&gt;&lt;D xsi:type="xsd:double"&gt;1172.69&lt;/D&gt;&lt;D xsi:type="xsd:double"&gt;1168.02&lt;/D&gt;&lt;D xsi:type="xsd:double"&gt;1158.09&lt;/D&gt;&lt;D xsi:type="xsd:double"&gt;1175.45&lt;/D&gt;&lt;D xsi:type="xsd:double"&gt;1187.9&lt;/D&gt;&lt;D xsi:type="xsd:double"&gt;1190.36&lt;/D&gt;&lt;D xsi:type="xsd:double"&gt;1184.93&lt;/D&gt;&lt;D xsi:type="xsd:double"&gt;1190.06&lt;/D&gt;&lt;D xsi:type="xsd:double"&gt;1186.61&lt;/D&gt;&lt;D xsi:type="xsd:double"&gt;1181.71&lt;/D&gt;&lt;D xsi:type="xsd:double"&gt;1189.66&lt;/D&gt;&lt;D xsi:type="xsd:double"&gt;1176.17&lt;/D&gt;&lt;D xsi:type="xsd:double"&gt;1170.2&lt;/D&gt;&lt;D xsi:type="xsd:double"&gt;1173.76&lt;/D&gt;&lt;D xsi:type="xsd:double"&gt;1159.64&lt;/D&gt;&lt;D xsi:type="xsd:double"&gt;1160.06&lt;/D&gt;&lt;D xsi:type="xsd:double"&gt;1187.63&lt;/D&gt;&lt;D xsi:type="xsd:double"&gt;1177.44&lt;/D&gt;&lt;D xsi:type="xsd:double"&gt;1202.03&lt;/D&gt;&lt;D xsi:type="xsd:double"&gt;1189.55&lt;/D&gt;&lt;D xsi:type="xsd:double"&gt;1206.96&lt;/D&gt;&lt;D xsi:type="xsd:double"&gt;1177.64&lt;/D&gt;&lt;D xsi:type="xsd:double"&gt;1188.41&lt;/D&gt;&lt;D xsi:type="xsd:double"&gt;1203.72&lt;/D&gt;&lt;D xsi:type="xsd:double"&gt;1215.73&lt;/D&gt;&lt;D xsi:type="xsd:double"&gt;1231.14&lt;/D&gt;&lt;D xsi:type="xsd:double"&gt;1206.39&lt;/D&gt;&lt;D xsi:type="xsd:double"&gt;1235.85&lt;/D&gt;&lt;D xsi:type="xsd:double"&gt;1246.21&lt;/D&gt;&lt;D xsi:type="xsd:double"&gt;1245.61&lt;/D&gt;&lt;D xsi:type="xsd:double"&gt;1262.27&lt;/D&gt;&lt;D xsi:type="xsd:double"&gt;1257.48&lt;/D&gt;&lt;D xsi:type="xsd:double"&gt;1256.48&lt;/D&gt;&lt;D xsi:type="xsd:double"&gt;1272.1&lt;/D&gt;&lt;D xsi:type="xsd:double"&gt;1284.11&lt;/D&gt;&lt;D xsi:type="xsd:double"&gt;1283.97&lt;/D&gt;&lt;/FQL&gt;&lt;FQL&gt;&lt;Q&gt;QAT^FG_PRICE(0,-200D)&lt;/Q&gt;&lt;R&gt;201&lt;/R&gt;&lt;C&gt;1&lt;/C&gt;&lt;D xsi:type="xsd:double"&gt;19.315&lt;/D&gt;&lt;D xsi:type="xsd:double"&gt;19.1685&lt;/D&gt;&lt;D xsi:type="xsd:double"&gt;19.0414&lt;/D&gt;&lt;D xsi:type="xsd:double"&gt;18.9554&lt;/D&gt;&lt;D xsi:type="xsd:double"&gt;18.9304&lt;/D&gt;&lt;D xsi:type="xsd:double"&gt;18.9402&lt;/D&gt;&lt;D xsi:type="xsd:double"&gt;18.9302&lt;/D&gt;&lt;D xsi:type="xsd:double"&gt;18.775&lt;/D&gt;&lt;D xsi:type="xsd:double"&gt;18.71&lt;/D&gt;&lt;D xsi:type="xsd:double"&gt;18.88&lt;/D&gt;&lt;D xsi:type="xsd:double"&gt;18.885&lt;/D&gt;&lt;D xsi:type="xsd:double"&gt;18.77&lt;/D&gt;&lt;D xsi:type="xsd:double"&gt;18.85&lt;/D&gt;&lt;D xsi:type="xsd:double"&gt;18.68&lt;/D&gt;&lt;D xsi:type="xsd:double"&gt;18.615&lt;/D&gt;&lt;D xsi:type="xsd:double"&gt;18.955&lt;/D&gt;&lt;D xsi:type="xsd:double"&gt;18.815&lt;/D&gt;&lt;D xsi:type="xsd:double"&gt;18.89&lt;/D&gt;&lt;D xsi:type="xsd:double"&gt;19.285&lt;/D&gt;&lt;D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xsi:type="xsd:double"&gt;17.91&lt;/D&gt;&lt;D xsi:type="xsd:double"&gt;17.78&lt;/D&gt;&lt;D xsi:type="xsd:double"&gt;17.72&lt;/D&gt;&lt;D xsi:type="xsd:double"&gt;17.78&lt;/D&gt;&lt;D xsi:type="xsd:double"&gt;17.89&lt;/D&gt;&lt;D xsi:type="xsd:double"&gt;17.79&lt;/D&gt;&lt;D xsi:type="xsd:double"&gt;17.61&lt;/D&gt;&lt;D xsi:type="xsd:double"&gt;17.52&lt;/D&gt;&lt;D xsi:type="xsd:double"&gt;17.57&lt;/D&gt;&lt;D xsi:type="xsd:double"&gt;17.23&lt;/D&gt;&lt;D xsi:type="xsd:double"&gt;17.16&lt;/D&gt;&lt;D xsi:type="xsd:double"&gt;16.83&lt;/D&gt;&lt;D xsi:type="xsd:double"&gt;17.66&lt;/D&gt;&lt;D xsi:type="xsd:double"&gt;17.86&lt;/D&gt;&lt;D xsi:type="xsd:double"&gt;17.88&lt;/D&gt;&lt;D xsi:type="xsd:double"&gt;17.84&lt;/D&gt;&lt;D xsi:type="xsd:double"&gt;17.75&lt;/D&gt;&lt;D xsi:type="xsd:double"&gt;17.87&lt;/D&gt;&lt;D xsi:type="xsd:double"&gt;17.79&lt;/D&gt;&lt;D</t>
        </r>
      </text>
    </comment>
    <comment ref="A5" authorId="0" shapeId="0" xr:uid="{D7D8CCF9-D82D-468E-A0E0-FAED17B155C6}">
      <text>
        <r>
          <rPr>
            <b/>
            <sz val="9"/>
            <color indexed="81"/>
            <rFont val="Tahoma"/>
            <charset val="1"/>
          </rPr>
          <t xml:space="preserve"> xsi:type="xsd:double"&gt;17.87&lt;/D&gt;&lt;D xsi:type="xsd:double"&gt;17.86&lt;/D&gt;&lt;D xsi:type="xsd:double"&gt;17.99&lt;/D&gt;&lt;D xsi:type="xsd:double"&gt;17.92&lt;/D&gt;&lt;D xsi:type="xsd:double"&gt;18.14&lt;/D&gt;&lt;D xsi:type="xsd:double"&gt;18.15&lt;/D&gt;&lt;D xsi:type="xsd:double"&gt;18.18&lt;/D&gt;&lt;D xsi:type="xsd:double"&gt;18.12&lt;/D&gt;&lt;D xsi:type="xsd:double"&gt;17.94&lt;/D&gt;&lt;D xsi:type="xsd:double"&gt;18.08&lt;/D&gt;&lt;D xsi:type="xsd:double"&gt;18.05&lt;/D&gt;&lt;D xsi:type="xsd:double"&gt;18.07&lt;/D&gt;&lt;D xsi:type="xsd:double"&gt;18.07&lt;/D&gt;&lt;D xsi:type="xsd:double"&gt;18.14&lt;/D&gt;&lt;D xsi:type="xsd:double"&gt;18.05&lt;/D&gt;&lt;D xsi:type="xsd:double"&gt;17.96&lt;/D&gt;&lt;D xsi:type="xsd:double"&gt;17.94&lt;/D&gt;&lt;D xsi:type="xsd:double"&gt;18&lt;/D&gt;&lt;D xsi:type="xsd:double"&gt;17.86&lt;/D&gt;&lt;D xsi:type="xsd:double"&gt;18.1&lt;/D&gt;&lt;/FQL&gt;&lt;FQL&gt;&lt;Q&gt;MCHI^FG_PRICE(0,-200D)&lt;/Q&gt;&lt;R&gt;201&lt;/R&gt;&lt;C&gt;1&lt;/C&gt;&lt;D xsi:type="xsd:double"&gt;61.69&lt;/D&gt;&lt;D xsi:type="xsd:double"&gt;61.81&lt;/D&gt;&lt;D xsi:type="xsd:double"&gt;61.35&lt;/D&gt;&lt;D xsi:type="xsd:double"&gt;62.22&lt;/D&gt;&lt;D xsi:type="xsd:double"&gt;62.66&lt;/D&gt;&lt;D xsi:type="xsd:double"&gt;61.98&lt;/D&gt;&lt;D xsi:type="xsd:double"&gt;61.88&lt;/D&gt;&lt;D xsi:type="xsd:double"&gt;62.24&lt;/D&gt;&lt;D xsi:type="xsd:double"&gt;62.66&lt;/D&gt;&lt;D xsi:type="xsd:double"&gt;62.2&lt;/D&gt;&lt;D xsi:type="xsd:double"&gt;61.91&lt;/D&gt;&lt;D xsi:type="xsd:double"&gt;62.2&lt;/D&gt;&lt;D xsi:type="xsd:double"&gt;61.96&lt;/D&gt;&lt;D xsi:type="xsd:double"&gt;60.92&lt;/D&gt;&lt;D xsi:type="xsd:double"&gt;60.88&lt;/D&gt;&lt;D xsi:type="xsd:double"&gt;61.91&lt;/D&gt;&lt;D xsi:type="xsd:double"&gt;62.42&lt;/D&gt;&lt;D xsi:type="xsd:double"&gt;62.78&lt;/D&gt;&lt;D xsi:type="xsd:double"&gt;63.5&lt;/D&gt;&lt;D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xsi:type="xsd:double"&gt;50.9&lt;/D&gt;&lt;D xsi:type="xsd:double"&gt;49.39&lt;/D&gt;&lt;D xsi:type="xsd:double"&gt;49.29&lt;/D&gt;&lt;D xsi:type="xsd:double"&gt;49.16&lt;/D&gt;&lt;D xsi:type="xsd:double"&gt;50.17&lt;/D&gt;&lt;D xsi:type="xsd:double"&gt;50.56&lt;/D&gt;&lt;D xsi:type="xsd:double"&gt;49.68&lt;/D&gt;&lt;D xsi:type="xsd:double"&gt;47.98&lt;/D&gt;&lt;D xsi:type="xsd:double"&gt;48.06&lt;/D&gt;&lt;D xsi:type="xsd:double"&gt;45.22&lt;/D&gt;&lt;D xsi:type="xsd:double"&gt;46&lt;/D&gt;&lt;D xsi:type="xsd:double"&gt;50&lt;/D&gt;&lt;D xsi:type="xsd:double"&gt;53.67&lt;/D&gt;&lt;D xsi:type="xsd:double"&gt;54.16&lt;/D&gt;&lt;D xsi:type="xsd:double"&gt;54.55&lt;/D&gt;&lt;D xsi:type="xsd:double"&gt;54.4&lt;/D&gt;&lt;D xsi:type="xsd:double"&gt;54.57&lt;/D&gt;&lt;D xsi:type="xsd:double"&gt;55.81&lt;/D&gt;&lt;D xsi:type="xsd:double"&gt;55&lt;/D&gt;&lt;D xsi:type="xsd:double"&gt;55&lt;/D&gt;&lt;D xsi:type="xsd:double"&gt;55.61&lt;/D&gt;&lt;D xsi:type="xsd:double"&gt;55.65&lt;/D&gt;&lt;D xsi:type="xsd:double"&gt;56.69&lt;/D&gt;&lt;D xsi:type="xsd:double"&gt;58.31&lt;/D&gt;&lt;D xsi:type="xsd:double"&gt;58.36&lt;/D&gt;&lt;D xsi:type="xsd:double"&gt;58.65&lt;/D&gt;&lt;D xsi:type="xsd:double"&gt;57.37&lt;/D&gt;&lt;D xsi:type="xsd:double"&gt;55.77&lt;/D&gt;&lt;D xsi:type="xsd:double"&gt;55.63&lt;/D&gt;&lt;D xsi:type="xsd:double"&gt;55.83&lt;/D&gt;&lt;D xsi:type="xsd:double"&gt;54.79&lt;/D&gt;&lt;D xsi:type="xsd:double"&gt;56.5&lt;/D&gt;&lt;D xsi:type="xsd:double"&gt;56.53&lt;/D&gt;&lt;D xsi:type="xsd:double"&gt;56.22&lt;/D&gt;&lt;D xsi:type="xsd:double"&gt;53.6&lt;/D&gt;&lt;D xsi:type="xsd:double"&gt;52.81&lt;/D&gt;&lt;D xsi:type="xsd:double"&gt;53.58&lt;/D&gt;&lt;D xsi:type="xsd:double"&gt;54.91&lt;/D&gt;&lt;D xsi:type="xsd:double"&gt;55.4&lt;/D&gt;&lt;/FQL&gt;&lt;FQL&gt;&lt;Q&gt;INDA^FG_PRICE(0,-200D)&lt;/Q&gt;&lt;R&gt;201&lt;/R&gt;&lt;C&gt;1&lt;/C&gt;&lt;D xsi:type="xsd:double"&gt;53.57&lt;/D&gt;&lt;D xsi:type="xsd:double"&gt;53.36&lt;/D&gt;&lt;D xsi:type="xsd:double"&gt;53.27&lt;/D&gt;&lt;D xsi:type="xsd:double"&gt;53.08&lt;/D&gt;&lt;D xsi:type="xsd:double"&gt;53.97&lt;/D&gt;&lt;D xsi:type="xsd:double"&gt;53.76&lt;/D&gt;&lt;D xsi:type="xsd:double"&gt;53.41&lt;/D&gt;&lt;D xsi:type="xsd:double"&gt;53.88&lt;/D&gt;&lt;D xsi:type="xsd:double"&gt;54.33&lt;/D&gt;&lt;D xsi:type="xsd:double"&gt;54.71&lt;/D&gt;&lt;D xsi:type="xsd:double"&gt;54.67&lt;/D&gt;&lt;D xsi:type="xsd:double"&gt;54.28&lt;/D&gt;&lt;D xsi:type="xsd:double"&gt;54.22&lt;/D&gt;&lt;D xsi:type="xsd:double"&gt;54.21&lt;/D&gt;&lt;D xsi:type="xsd:double"&gt;54.72&lt;/D&gt;&lt;D xsi:type="xsd:double"&gt;54.83&lt;/D&gt;&lt;D xsi:type="xsd:double"&gt;54.61&lt;/D&gt;&lt;D xsi:type="xsd:double"&gt;54.65&lt;/D&gt;&lt;D xsi:type="xsd:double"&gt;54.62&lt;/D&gt;&lt;D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xsi:type="xsd:double"&gt;53.5&lt;/D&gt;&lt;D xsi:type="xsd:double"&gt;53&lt;/D&gt;&lt;D xsi:type="xsd:double"&gt;52.26&lt;/D&gt;&lt;D xsi:type="xsd:double"&gt;51.13&lt;/D&gt;&lt;D xsi:type="xsd:double"&gt;51.13&lt;/D&gt;&lt;D xsi:type="xsd:double"&gt;51.03&lt;/D&gt;&lt;D xsi:type="xsd:double"&gt;50.76&lt;/D&gt;&lt;D xsi:type="xsd:double"&gt;50.52&lt;/D&gt;&lt;D xsi:type="xsd:double"&gt;51.22&lt;/D&gt;&lt;D xsi:type="xsd:double"&gt;49.16&lt;/D&gt;&lt;D xsi:type="xsd:double"&gt;49.13&lt;/D&gt;&lt;D xsi:type="xsd:double"&gt;49.19&lt;/D&gt;&lt;D xsi:type="xsd:double"&gt;51.18&lt;/D&gt;&lt;D xsi:type="xsd:double"&gt;51.56&lt;/D&gt;&lt;D xsi:type="xsd:double"&gt;51.05&lt;/D&gt;&lt;D xsi:type="xsd:double"&gt;51.48&lt;/D&gt;&lt;D xsi:type="xsd:double"&gt;51.28&lt;/D&gt;&lt;D xsi:type="xsd:double"&gt;51.79&lt;/D&gt;&lt;D xsi:type="xsd:double"&gt;51.4&lt;/D&gt;&lt;D xsi:type="xsd:double"&gt;52.04&lt;/D&gt;&lt;D xsi:type="xsd:double"&gt;52.12&lt;/D&gt;&lt;D xsi:type="xsd:double"&gt;51.47&lt;/D&gt;&lt;D xsi:type="xsd:double"&gt;50.76&lt;/D&gt;&lt;D xsi:type="xsd:double"&gt;50.61&lt;/D&gt;&lt;D xsi:type="xsd:double"&gt;49.88&lt;/D&gt;&lt;D xsi:type="xsd:double"&gt;49.44&lt;/D&gt;&lt;D xsi:type="xsd:double"&gt;48.91&lt;/D&gt;&lt;D xsi:type="xsd:double"&gt;48.51&lt;/D&gt;&lt;D xsi:type="xsd:double"&gt;48.73&lt;/D&gt;&lt;D xsi:type="xsd:double"&gt;48.66&lt;/D&gt;&lt;D xsi:type="xsd:double"&gt;48.36&lt;/D&gt;&lt;D xsi:type="xsd:double"&gt;49.08&lt;/D&gt;&lt;D xsi:type="xsd:double"&gt;48.94&lt;/D&gt;&lt;D xsi:type="xsd:double"&gt;48.93&lt;/D&gt;&lt;D xsi:type="xsd:double"&gt;47.85&lt;/D&gt;&lt;D xsi:type="xsd:double"&gt;47.8&lt;/D&gt;&lt;D xsi:type="xsd:double"&gt;48.1&lt;/D&gt;&lt;D xsi:type="xsd:double"&gt;48.55&lt;/D&gt;&lt;D xsi:type="xsd:double"&gt;49.02&lt;/D&gt;&lt;/FQL&gt;&lt;FQL&gt;&lt;Q&gt;GREK^FG_PRICE(0,-200D)&lt;/Q&gt;&lt;R&gt;201&lt;/R&gt;&lt;C&gt;1&lt;/C&gt;&lt;D xsi:type="xsd:double"&gt;67.67&lt;/D&gt;&lt;D xsi:type="xsd:double"&gt;66.77&lt;/D&gt;&lt;D xsi:type="xsd:double"&gt;65.8&lt;/D&gt;&lt;D xsi:type="xsd:double"&gt;66.97&lt;/D&gt;&lt;D xsi:type="xsd:double"&gt;66.45&lt;/D&gt;&lt;D xsi:type="xsd:double"&gt;66.3&lt;/D&gt;&lt;D xsi:type="xsd:double"&gt;66.37&lt;/D&gt;&lt;D xsi:type="xsd:double"&gt;66.64&lt;/D&gt;&lt;D xsi:type="xsd:double"&gt;66.28&lt;/D&gt;&lt;D xsi:type="xsd:double"&gt;65.32&lt;/D&gt;&lt;D xsi:type="xsd:double"&gt;66.15&lt;/D&gt;&lt;D xsi:type="xsd:double"&gt;65.48&lt;/D&gt;&lt;D xsi:type="xsd:double"&gt;63.99&lt;/D&gt;&lt;D xsi:type="xsd:double"&gt;64.64&lt;/D&gt;&lt;D xsi:type="xsd:double"&gt;62.76&lt;/D&gt;&lt;D xsi:type="xsd:double"&gt;63.34&lt;/D&gt;&lt;D xsi:type="xsd:double"&gt;63.2&lt;/D&gt;&lt;D xsi:type="xsd:double"&gt;64.5&lt;/D&gt;&lt;D xsi:type="xsd:double"&gt;65&lt;/D&gt;&lt;D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xsi:type="xsd:double"&gt;49.05&lt;/D&gt;&lt;D xsi:type="xsd:double"&gt;47.02&lt;/D&gt;&lt;D xsi:type="xsd:double"&gt;47.34&lt;/D&gt;&lt;D xsi:type="xsd:double"&gt;47.35&lt;/D&gt;&lt;D xsi:type="xsd:double"&gt;47.415&lt;/D&gt;&lt;D xsi:type="xsd:double"&gt;46.92&lt;/D&gt;&lt;D xsi:type="xsd:double"&gt;45.92&lt;/D&gt;&lt;D xsi:type="xsd:double"&gt;44.76&lt;/D&gt;&lt;D xsi:type="xsd:double"&gt;44.85&lt;/D&gt;&lt;D xsi:type="xsd:double"&gt;42.65&lt;/D&gt;&lt;D xsi:type="xsd:double"&gt;40.77&lt;/D&gt;&lt;D xsi:type="xsd:double"&gt;43.59&lt;/D&gt;&lt;D xsi:type="xsd:double"&gt;47.32&lt;/D&gt;&lt;D xsi:type="xsd:double"&gt;48.1&lt;/D&gt;&lt;D xsi:type="xsd:double"&gt;47.63&lt;/D&gt;&lt;D xsi:type="xsd:double"&gt;46.97&lt;/D&gt;&lt;D xsi:type="xsd:double"&gt;48.4701&lt;/D&gt;&lt;D xsi:type="xsd:double"&gt;48.9&lt;/D&gt;&lt;D xsi:type="xsd:double"&gt;48.42&lt;/D&gt;&lt;D xsi:type="xsd:double"&gt;48.48&lt;/D&gt;&lt;D xsi:type="xsd:double"&gt;48.31&lt;/D&gt;&lt;D xsi:type="xsd:double"&gt;46.99&lt;/D&gt;&lt;D xsi:type="xsd:double"&gt;47.865&lt;/D&gt;&lt;D xsi:type="xsd:double"&gt;48.03&lt;/D&gt;&lt;D xsi:type="xsd:double"&gt;48.1505&lt;/D&gt;&lt;D xsi:type="xsd:double"&gt;48.59&lt;/D&gt;&lt;D xsi:type="xsd:double"&gt;47.95&lt;/D&gt;&lt;D xsi:type="xsd:double"&gt;46.83&lt;/D&gt;&lt;D xsi:type="xsd:double"&gt;46.85&lt;/D&gt;&lt;D xsi:type="xsd:double"&gt;45.64&lt;/D&gt;&lt;D xsi:type="xsd:double"&gt;44.77&lt;/D&gt;&lt;D xsi:type="xsd:double"&gt;45.53&lt;/D&gt;&lt;D xsi:type="xsd:double"&gt;44.85&lt;/D&gt;&lt;D xsi:type="xsd:double"&gt;45.28&lt;/D&gt;&lt;D xsi:type="xsd:double"&gt;43.36&lt;/D&gt;&lt;D xsi:type="xsd:double"&gt;43.25&lt;/D&gt;&lt;D xsi:type="xsd:double"&gt;42.58&lt;/D&gt;&lt;D xsi:type="xsd:double"&gt;42.0296&lt;/D&gt;&lt;D xsi:type="xsd:double"&gt;42.4371&lt;/D&gt;&lt;/FQL&gt;&lt;FQL&gt;&lt;Q&gt;EZA^FG_PRICE(0,-200D)&lt;/Q&gt;&lt;R&gt;201&lt;/R&gt;&lt;C&gt;1&lt;/C&gt;&lt;D xsi:type="xsd:double"&gt;69.5&lt;/D&gt;&lt;D xsi:type="xsd:double"&gt;68.18&lt;/D&gt;&lt;D xsi:type="xsd:double"&gt;66.91&lt;/D&gt;&lt;D xsi:type="xsd:double"&gt;66.39&lt;/D&gt;&lt;D xsi:type="xsd:double"&gt;67.88&lt;/D&gt;&lt;D xsi:type="xsd:double"&gt;67.05&lt;/D&gt;&lt;D xsi:type="xsd:double"&gt;66.92&lt;/D&gt;&lt;D xsi:type="xsd:double"&gt;66.5&lt;/D&gt;&lt;D xsi:type="xsd:double"&gt;67.45&lt;/D&gt;&lt;D xsi:type="xsd:double"&gt;66.74&lt;/D&gt;&lt;D xsi:type="xsd:double"&gt;67.83&lt;/D&gt;&lt;D xsi:type="xsd:double"&gt;66.3&lt;/D&gt;&lt;D xsi:type="xsd:double"&gt;65.89&lt;/D&gt;&lt;D xsi:type="xsd:double"&gt;64.86&lt;/D&gt;&lt;D xsi:type="xsd:double"&gt;64.93&lt;/D&gt;&lt;D xsi:type="xsd:double"&gt;66.57&lt;/D&gt;&lt;D xsi:type="xsd:double"&gt;66.16&lt;/D&gt;&lt;D xsi:type="xsd:double"&gt;66.13&lt;/D&gt;&lt;D xsi:type="xsd:double"&gt;66.99&lt;/D&gt;&lt;D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xsi:type="xsd:double"&gt;48.16&lt;/D&gt;&lt;D xsi:type="xsd:double"&gt;47.6&lt;/D&gt;&lt;D xsi:type="xsd:double"&gt;47.9&lt;/D&gt;&lt;D xsi:type="xsd:double"&gt;47.43&lt;/D&gt;&lt;D xsi:type="xsd:double"&gt;47.1&lt;/D&gt;&lt;D xsi:type="xsd:double"&gt;47.22&lt;/D&gt;&lt;D xsi:type="xsd:double"&gt;45.62&lt;/D&gt;&lt;D xsi:type="xsd:double"&gt;43.94&lt;/D&gt;&lt;D xsi:type="xsd:double"&gt;44.27&lt;/D&gt;&lt;D xsi:type="xsd:double"&gt;40.54&lt;/D&gt;&lt;D xsi:type="xsd:double"&gt;40.77&lt;/D&gt;&lt;D xsi:type="xsd:double"&gt;41.29&lt;/D&gt;&lt;D xsi:type="xsd:double"&gt;44.88&lt;/D&gt;&lt;D xsi:type="xsd:double"&gt;46.65&lt;/D&gt;&lt;D xsi:type="xsd:double"&gt;48.1&lt;/D&gt;&lt;D xsi:type="xsd:double"&gt;48.13&lt;/D&gt;&lt;D xsi:type="xsd:double"&gt;47.6&lt;/D&gt;&lt;D xsi:type="xsd:double"&gt;48.21&lt;/D&gt;&lt;D xsi:type="xsd:double"&gt;48.16&lt;/D&gt;&lt;D xsi:type="xsd:double"&gt;47.93&lt;/D&gt;&lt;D xsi:type="xsd:double"&gt;47.71&lt;/D&gt;&lt;D xsi:type="xsd:double"&gt;47.6&lt;/D&gt;&lt;D xsi:type="xsd:double"&gt;48.03&lt;/D&gt;&lt;D xsi:type="xsd:double"&gt;48.77&lt;/D&gt;&lt;D xsi:type="xsd:double"&gt;47.69&lt;/D&gt;&lt;D xsi:type="xsd:double"&gt;47.74&lt;/D&gt;&lt;D xsi:type="xsd:double"&gt;47&lt;/D&gt;&lt;D xsi:type="xsd:double"&gt;45.86&lt;/D&gt;&lt;D xsi:type="xsd:double"&gt;45.97&lt;/D&gt;&lt;D xsi:type="xsd:double"&gt;46.31&lt;/D&gt;&lt;D xsi:type="xsd:double"&gt;45.77&lt;/D&gt;&lt;D xsi:type="xsd:double"&gt;46.84&lt;/D&gt;&lt;D xsi:type="xsd:double"&gt;46.57&lt;/D&gt;&lt;D xsi:type="xsd:double"&gt;46.39&lt;/D&gt;&lt;D xsi:type="xsd:double"&gt;45.07&lt;/D&gt;&lt;D xsi:type="xsd:double"&gt;44.54&lt;/D&gt;&lt;D xsi:type="xsd:double"&gt;44.4&lt;/D&gt;&lt;D xsi:type="xsd:double"&gt;45.21&lt;/D&gt;&lt;D xsi:type="xsd:double"&gt;46.1&lt;/D&gt;&lt;/FQL&gt;&lt;FQL&gt;&lt;Q&gt;EWZ^FG_PRICE(0,-200D)&lt;/Q&gt;&lt;R&gt;201&lt;/R&gt;&lt;C&gt;1&lt;/C&gt;&lt;D xsi:type="xsd:double"&gt;33.16&lt;/D&gt;&lt;D xsi:type="xsd:double"&gt;32.77&lt;/D&gt;&lt;D xsi:type="xsd:double"&gt;32.74&lt;/D&gt;&lt;D xsi:type="xsd:double"&gt;32.75&lt;/D&gt;&lt;D xsi:type="xsd:double"&gt;32.53&lt;/D&gt;&lt;D xsi:type="xsd:double"&gt;34.72&lt;/D&gt;&lt;D xsi:type="xsd:double"&gt;34.2&lt;/D&gt;&lt;D xsi:type="xsd:double"&gt;34.03&lt;/D&gt;&lt;D xsi:type="xsd:double"&gt;33.4&lt;/D&gt;&lt;D xsi:type="xsd:double"&gt;33.61&lt;/D&gt;&lt;D xsi:type="xsd:double"&gt;33.47&lt;/D&gt;&lt;D xsi:type="xsd:double"&gt;32.55&lt;/D&gt;&lt;D xsi:type="xsd:double"&gt;32.2&lt;/D&gt;&lt;D xsi:type="xsd:double"&gt;32.03&lt;/D&gt;&lt;D xsi:type="xsd:double"&gt;31.9&lt;/D&gt;&lt;D xsi:type="xsd:double"&gt;32.49&lt;/D&gt;&lt;D xsi:type="xsd:double"&gt;32.71&lt;/D&gt;&lt;D xsi:type="xsd:double"&gt;32.78&lt;/D&gt;&lt;D xsi:type="xsd:double"&gt;33.18&lt;/D&gt;&lt;D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</t>
        </r>
      </text>
    </comment>
    <comment ref="A6" authorId="0" shapeId="0" xr:uid="{CCA37C59-9660-42AB-90B4-DC4E32BCDAC3}">
      <text>
        <r>
          <rPr>
            <b/>
            <sz val="9"/>
            <color indexed="81"/>
            <rFont val="Tahoma"/>
            <charset val="1"/>
          </rPr>
          <t>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xsi:type="xsd:double"&gt;25.86&lt;/D&gt;&lt;D xsi:type="xsd:double"&gt;25.2&lt;/D&gt;&lt;D xsi:type="xsd:double"&gt;25.22&lt;/D&gt;&lt;D xsi:type="xsd:double"&gt;24.79&lt;/D&gt;&lt;D xsi:type="xsd:double"&gt;24.86&lt;/D&gt;&lt;D xsi:type="xsd:double"&gt;25.01&lt;/D&gt;&lt;D xsi:type="xsd:double"&gt;24.69&lt;/D&gt;&lt;D xsi:type="xsd:double"&gt;24.19&lt;/D&gt;&lt;D xsi:type="xsd:double"&gt;24.71&lt;/D&gt;&lt;D xsi:type="xsd:double"&gt;23.44&lt;/D&gt;&lt;D xsi:type="xsd:double"&gt;23.95&lt;/D&gt;&lt;D xsi:type="xsd:double"&gt;24.5&lt;/D&gt;&lt;D xsi:type="xsd:double"&gt;26.33&lt;/D&gt;&lt;D xsi:type="xsd:double"&gt;26.14&lt;/D&gt;&lt;D xsi:type="xsd:double"&gt;26.14&lt;/D&gt;&lt;D xsi:type="xsd:double"&gt;25.85&lt;/D&gt;&lt;D xsi:type="xsd:double"&gt;25.96&lt;/D&gt;&lt;D xsi:type="xsd:double"&gt;26.33&lt;/D&gt;&lt;D xsi:type="xsd:double"&gt;26.3&lt;/D&gt;&lt;D xsi:type="xsd:double"&gt;26.42&lt;/D&gt;&lt;D xsi:type="xsd:double"&gt;26.19&lt;/D&gt;&lt;D xsi:type="xsd:double"&gt;26.57&lt;/D&gt;&lt;D xsi:type="xsd:double"&gt;26.58&lt;/D&gt;&lt;D xsi:type="xsd:double"&gt;26.94&lt;/D&gt;&lt;D xsi:type="xsd:double"&gt;26.57&lt;/D&gt;&lt;D xsi:type="xsd:double"&gt;26.45&lt;/D&gt;&lt;D xsi:type="xsd:double"&gt;25.84&lt;/D&gt;&lt;D xsi:type="xsd:double"&gt;24.8&lt;/D&gt;&lt;D xsi:type="xsd:double"&gt;24.48&lt;/D&gt;&lt;D xsi:type="xsd:double"&gt;24.38&lt;/D&gt;&lt;D xsi:type="xsd:double"&gt;24.3&lt;/D&gt;&lt;D xsi:type="xsd:double"&gt;24.82&lt;/D&gt;&lt;D xsi:type="xsd:double"&gt;24.57&lt;/D&gt;&lt;D xsi:type="xsd:double"&gt;24.58&lt;/D&gt;&lt;D xsi:type="xsd:double"&gt;23.91&lt;/D&gt;&lt;D xsi:type="xsd:double"&gt;24.14&lt;/D&gt;&lt;D xsi:type="xsd:double"&gt;24.11&lt;/D&gt;&lt;D xsi:type="xsd:double"&gt;24.71&lt;/D&gt;&lt;D xsi:type="xsd:double"&gt;24.88&lt;/D&gt;&lt;/FQL&gt;&lt;FQL&gt;&lt;Q&gt;EWY^FG_PRICE(0,-200D)&lt;/Q&gt;&lt;R&gt;201&lt;/R&gt;&lt;C&gt;1&lt;/C&gt;&lt;D xsi:type="xsd:double"&gt;94.96&lt;/D&gt;&lt;D xsi:type="xsd:double"&gt;96.75&lt;/D&gt;&lt;D xsi:type="xsd:double"&gt;95.57&lt;/D&gt;&lt;D xsi:type="xsd:double"&gt;95.07&lt;/D&gt;&lt;D xsi:type="xsd:double"&gt;94.3&lt;/D&gt;&lt;D xsi:type="xsd:double"&gt;91.87&lt;/D&gt;&lt;D xsi:type="xsd:double"&gt;93&lt;/D&gt;&lt;D xsi:type="xsd:double"&gt;92.07&lt;/D&gt;&lt;D xsi:type="xsd:double"&gt;90.62&lt;/D&gt;&lt;D xsi:type="xsd:double"&gt;90.87&lt;/D&gt;&lt;D xsi:type="xsd:double"&gt;91.55&lt;/D&gt;&lt;D xsi:type="xsd:double"&gt;89.79&lt;/D&gt;&lt;D xsi:type="xsd:double"&gt;90.3&lt;/D&gt;&lt;D xsi:type="xsd:double"&gt;89.22&lt;/D&gt;&lt;D xsi:type="xsd:double"&gt;88.53&lt;/D&gt;&lt;D xsi:type="xsd:double"&gt;90.56&lt;/D&gt;&lt;D xsi:type="xsd:double"&gt;91.59&lt;/D&gt;&lt;D xsi:type="xsd:double"&gt;93.02&lt;/D&gt;&lt;D xsi:type="xsd:double"&gt;94.13&lt;/D&gt;&lt;D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xsi:type="xsd:double"&gt;54.81&lt;/D&gt;&lt;D xsi:type="xsd:double"&gt;54.39&lt;/D&gt;&lt;D xsi:type="xsd:double"&gt;54.31&lt;/D&gt;&lt;D xsi:type="xsd:double"&gt;54.06&lt;/D&gt;&lt;D xsi:type="xsd:double"&gt;54.38&lt;/D&gt;&lt;D xsi:type="xsd:double"&gt;54.35&lt;/D&gt;&lt;D xsi:type="xsd:double"&gt;54.31&lt;/D&gt;&lt;D xsi:type="xsd:double"&gt;51.82&lt;/D&gt;&lt;D xsi:type="xsd:double"&gt;53.28&lt;/D&gt;&lt;D xsi:type="xsd:double"&gt;48.92&lt;/D&gt;&lt;D xsi:type="xsd:double"&gt;50.78&lt;/D&gt;&lt;D xsi:type="xsd:double"&gt;51.25&lt;/D&gt;&lt;D xsi:type="xsd:double"&gt;53.14&lt;/D&gt;&lt;D xsi:type="xsd:double"&gt;54.63&lt;/D&gt;&lt;D xsi:type="xsd:double"&gt;54.85&lt;/D&gt;&lt;D xsi:type="xsd:double"&gt;54.04&lt;/D&gt;&lt;D xsi:type="xsd:double"&gt;54.79&lt;/D&gt;&lt;D xsi:type="xsd:double"&gt;56.49&lt;/D&gt;&lt;D xsi:type="xsd:double"&gt;56.81&lt;/D&gt;&lt;D xsi:type="xsd:double"&gt;57.07&lt;/D&gt;&lt;D xsi:type="xsd:double"&gt;57.31&lt;/D&gt;&lt;D xsi:type="xsd:double"&gt;56.86&lt;/D&gt;&lt;D xsi:type="xsd:double"&gt;56.73&lt;/D&gt;&lt;D xsi:type="xsd:double"&gt;57.24&lt;/D&gt;&lt;D xsi:type="xsd:double"&gt;56.97&lt;/D&gt;&lt;D xsi:type="xsd:double"&gt;57.86&lt;/D&gt;&lt;D xsi:type="xsd:double"&gt;56.14&lt;/D&gt;&lt;D xsi:type="xsd:double"&gt;55.22&lt;/D&gt;&lt;D xsi:type="xsd:double"&gt;55.95&lt;/D&gt;&lt;D xsi:type="xsd:double"&gt;54.69&lt;/D&gt;&lt;D xsi:type="xsd:double"&gt;54.09&lt;/D&gt;&lt;D xsi:type="xsd:double"&gt;55.68&lt;/D&gt;&lt;D xsi:type="xsd:double"&gt;54.94&lt;/D&gt;&lt;D xsi:type="xsd:double"&gt;56.05&lt;/D&gt;&lt;D xsi:type="xsd:double"&gt;54.57&lt;/D&gt;&lt;D xsi:type="xsd:double"&gt;54.32&lt;/D&gt;&lt;D xsi:type="xsd:double"&gt;54.67&lt;/D&gt;&lt;D xsi:type="xsd:double"&gt;55.95&lt;/D&gt;&lt;D xsi:type="xsd:double"&gt;57.81&lt;/D&gt;&lt;/FQL&gt;&lt;FQL&gt;&lt;Q&gt;EWW^FG_PRICE(0,-200D)&lt;/Q&gt;&lt;R&gt;201&lt;/R&gt;&lt;C&gt;1&lt;/C&gt;&lt;D xsi:type="xsd:double"&gt;71.06&lt;/D&gt;&lt;D xsi:type="xsd:double"&gt;69.04&lt;/D&gt;&lt;D xsi:type="xsd:double"&gt;69.27&lt;/D&gt;&lt;D xsi:type="xsd:double"&gt;68.64&lt;/D&gt;&lt;D xsi:type="xsd:double"&gt;68.68&lt;/D&gt;&lt;D xsi:type="xsd:double"&gt;68.82&lt;/D&gt;&lt;D xsi:type="xsd:double"&gt;68.43&lt;/D&gt;&lt;D xsi:type="xsd:double"&gt;68.71&lt;/D&gt;&lt;D xsi:type="xsd:double"&gt;68.46&lt;/D&gt;&lt;D xsi:type="xsd:double"&gt;68.42&lt;/D&gt;&lt;D xsi:type="xsd:double"&gt;67.88&lt;/D&gt;&lt;D xsi:type="xsd:double"&gt;67.75&lt;/D&gt;&lt;D xsi:type="xsd:double"&gt;66.55&lt;/D&gt;&lt;D xsi:type="xsd:double"&gt;66.04&lt;/D&gt;&lt;D xsi:type="xsd:double"&gt;66.02&lt;/D&gt;&lt;D xsi:type="xsd:double"&gt;66.77&lt;/D&gt;&lt;D xsi:type="xsd:double"&gt;66.67&lt;/D&gt;&lt;D xsi:type="xsd:double"&gt;65.87&lt;/D&gt;&lt;D xsi:type="xsd:double"&gt;67.22&lt;/D&gt;&lt;D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xsi:type="xsd:double"&gt;55.51&lt;/D&gt;&lt;D xsi:type="xsd:double"&gt;54.34&lt;/D&gt;&lt;D xsi:type="xsd:double"&gt;54.93&lt;/D&gt;&lt;D xsi:type="xsd:double"&gt;53.02&lt;/D&gt;&lt;D xsi:type="xsd:double"&gt;52.19&lt;/D&gt;&lt;D xsi:type="xsd:double"&gt;51.91&lt;/D&gt;&lt;D xsi:type="xsd:double"&gt;50.68&lt;/D&gt;&lt;D xsi:type="xsd:double"&gt;50.3&lt;/D&gt;&lt;D xsi:type="xsd:double"&gt;51.86&lt;/D&gt;&lt;D xsi:type="xsd:double"&gt;48.06&lt;/D&gt;&lt;D xsi:type="xsd:double"&gt;48.52&lt;/D&gt;&lt;D xsi:type="xsd:double"&gt;49.92&lt;/D&gt;&lt;D xsi:type="xsd:double"&gt;54.26&lt;/D&gt;&lt;D xsi:type="xsd:double"&gt;52.16&lt;/D&gt;&lt;D xsi:type="xsd:double"&gt;52.05&lt;/D&gt;&lt;D xsi:type="xsd:double"&gt;50.96&lt;/D&gt;&lt;D xsi:type="xsd:double"&gt;51.62&lt;/D&gt;&lt;D xsi:type="xsd:double"&gt;52.15&lt;/D&gt;&lt;D xsi:type="xsd:double"&gt;52.01&lt;/D&gt;&lt;D xsi:type="xsd:double"&gt;52.59&lt;/D&gt;&lt;D xsi:type="xsd:double"&gt;52.04&lt;/D&gt;&lt;D xsi:type="xsd:double"&gt;51.7&lt;/D&gt;&lt;D xsi:type="xsd:double"&gt;52.26&lt;/D&gt;&lt;D xsi:type="xsd:double"&gt;52.42&lt;/D&gt;&lt;D xsi:type="xsd:double"&gt;52.41&lt;/D&gt;&lt;D xsi:type="xsd:double"&gt;53.28&lt;/D&gt;&lt;D xsi:type="xsd:double"&gt;52.36&lt;/D&gt;&lt;D xsi:type="xsd:double"&gt;51.19&lt;/D&gt;&lt;D xsi:type="xsd:double"&gt;50.98&lt;/D&gt;&lt;D xsi:type="xsd:double"&gt;50.25&lt;/D&gt;&lt;D xsi:type="xsd:double"&gt;50.16&lt;/D&gt;&lt;D xsi:type="xsd:double"&gt;51.53&lt;/D&gt;&lt;D xsi:type="xsd:double"&gt;51.45&lt;/D&gt;&lt;D xsi:type="xsd:double"&gt;51.03&lt;/D&gt;&lt;D xsi:type="xsd:double"&gt;50.02&lt;/D&gt;&lt;D xsi:type="xsd:double"&gt;49.85&lt;/D&gt;&lt;D xsi:type="xsd:double"&gt;50.52&lt;/D&gt;&lt;D xsi:type="xsd:double"&gt;50.59&lt;/D&gt;&lt;D xsi:type="xsd:double"&gt;51.49&lt;/D&gt;&lt;/FQL&gt;&lt;FQL&gt;&lt;Q&gt;EWT^FG_PRICE(0,-200D)&lt;/Q&gt;&lt;R&gt;201&lt;/R&gt;&lt;C&gt;1&lt;/C&gt;&lt;D xsi:type="xsd:double"&gt;65.92&lt;/D&gt;&lt;D xsi:type="xsd:double"&gt;66.8&lt;/D&gt;&lt;D xsi:type="xsd:double"&gt;65.72&lt;/D&gt;&lt;D xsi:type="xsd:double"&gt;65.57&lt;/D&gt;&lt;D xsi:type="xsd:double"&gt;65.35&lt;/D&gt;&lt;D xsi:type="xsd:double"&gt;64.51&lt;/D&gt;&lt;D xsi:type="xsd:double"&gt;64.85&lt;/D&gt;&lt;D xsi:type="xsd:double"&gt;64.63&lt;/D&gt;&lt;D xsi:type="xsd:double"&gt;64.13&lt;/D&gt;&lt;D xsi:type="xsd:double"&gt;64.51&lt;/D&gt;&lt;D xsi:type="xsd:double"&gt;63.66&lt;/D&gt;&lt;D xsi:type="xsd:double"&gt;62.8&lt;/D&gt;&lt;D xsi:type="xsd:double"&gt;62.51&lt;/D&gt;&lt;D xsi:type="xsd:double"&gt;61.8&lt;/D&gt;&lt;D xsi:type="xsd:double"&gt;61.68&lt;/D&gt;&lt;D xsi:type="xsd:double"&gt;62.5&lt;/D&gt;&lt;D xsi:type="xsd:double"&gt;62.67&lt;/D&gt;&lt;D xsi:type="xsd:double"&gt;63.16&lt;/D&gt;&lt;D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xsi:type="xsd:double"&gt;44.33&lt;/D&gt;&lt;D xsi:type="xsd:double"&gt;44.22&lt;/D&gt;&lt;D xsi:type="xsd:double"&gt;44.88&lt;/D&gt;&lt;D xsi:type="xsd:double"&gt;44.99&lt;/D&gt;&lt;D xsi:type="xsd:double"&gt;46.05&lt;/D&gt;&lt;D xsi:type="xsd:double"&gt;45.77&lt;/D&gt;&lt;D xsi:type="xsd:double"&gt;45.62&lt;/D&gt;&lt;D xsi:type="xsd:double"&gt;43.32&lt;/D&gt;&lt;D xsi:type="xsd:double"&gt;44.79&lt;/D&gt;&lt;D xsi:type="xsd:double"&gt;40.95&lt;/D&gt;&lt;D xsi:type="xsd:double"&gt;42.03&lt;/D&gt;&lt;D xsi:type="xsd:double"&gt;43.82&lt;/D&gt;&lt;D xsi:type="xsd:double"&gt;46.05&lt;/D&gt;&lt;D xsi:type="xsd:double"&gt;48.48&lt;/D&gt;&lt;D xsi:type="xsd:double"&gt;48.2&lt;/D&gt;&lt;D xsi:type="xsd:double"&gt;47.48&lt;/D&gt;&lt;D xsi:type="xsd:double"&gt;47.82&lt;/D&gt;&lt;D xsi:type="xsd:double"&gt;49.2&lt;/D&gt;&lt;D xsi:type="xsd:double"&gt;49.51&lt;/D&gt;&lt;D xsi:type="xsd:double"&gt;50.46&lt;/D&gt;&lt;D xsi:type="xsd:double"&gt;50.38&lt;/D&gt;&lt;D xsi:type="xsd:double"&gt;50.22&lt;/D&gt;&lt;D xsi:type="xsd:double"&gt;50.28&lt;/D&gt;&lt;D xsi:type="xsd:double"&gt;50.14&lt;/D&gt;&lt;D xsi:type="xsd:double"&gt;50.2&lt;/D&gt;&lt;D xsi:type="xsd:double"&gt;50.71&lt;/D&gt;&lt;D xsi:type="xsd:double"&gt;50.27&lt;/D&gt;&lt;D xsi:type="xsd:double"&gt;49.63&lt;/D&gt;&lt;D xsi:type="xsd:double"&gt;50.67&lt;/D&gt;&lt;D xsi:type="xsd:double"&gt;49.98&lt;/D&gt;&lt;D xsi:type="xsd:double"&gt;49.89&lt;/D&gt;&lt;D xsi:type="xsd:double"&gt;51.23&lt;/D&gt;&lt;D xsi:type="xsd:double"&gt;50.79&lt;/D&gt;&lt;D xsi:type="xsd:double"&gt;52.07&lt;/D&gt;&lt;D xsi:type="xsd:double"&gt;51.04&lt;/D&gt;&lt;D xsi:type="xsd:double"&gt;50.25&lt;/D&gt;&lt;D xsi:type="xsd:double"&gt;50.81&lt;/D&gt;&lt;D xsi:type="xsd:double"&gt;50.83&lt;/D&gt;&lt;D xsi:type="xsd:double"&gt;53.08&lt;/D&gt;&lt;/FQL&gt;&lt;FQL&gt;&lt;Q&gt;EWM^FG_PRICE(0,-200D)&lt;/Q&gt;&lt;R&gt;201&lt;/R&gt;&lt;C&gt;1&lt;/C&gt;&lt;D xsi:type="xsd:double"&gt;26.87&lt;/D&gt;&lt;D xsi:type="xsd:double"&gt;26.52&lt;/D&gt;&lt;D xsi:type="xsd:double"&gt;26.37&lt;/D&gt;&lt;D xsi:type="xsd:double"&gt;26.32&lt;/D&gt;&lt;D xsi:type="xsd:double"&gt;26.64&lt;/D&gt;&lt;D xsi:type="xsd:double"&gt;26.59&lt;/D&gt;&lt;D xsi:type="xsd:double"&gt;26.73&lt;/D&gt;&lt;D xsi:type="xsd:double"&gt;26.67&lt;/D&gt;&lt;D xsi:type="xsd:double"&gt;26.6&lt;/D&gt;&lt;D xsi:type="xsd:double"&gt;26.43&lt;/D&gt;&lt;D xsi:type="xsd:double"&gt;26.64&lt;/D&gt;&lt;D xsi:type="xsd:double"&gt;26.49&lt;/D&gt;&lt;D xsi:type="xsd:double"&gt;26.47&lt;/D&gt;&lt;D xsi:type="xsd:double"&gt;26.29&lt;/D&gt;&lt;D xsi:type="xsd:double"&gt;26.05&lt;/D&gt;&lt;D xsi:type="xsd:double"&gt;26.33&lt;/D&gt;&lt;D xsi:type="xsd:double"&gt;26.16&lt;/D&gt;&lt;D xsi:type="xsd:double"&gt;26.23&lt;/D&gt;&lt;D xsi:type="xsd:double"&gt;26.45&lt;/D&gt;&lt;D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xsi:type="xsd:double"&gt;22.91&lt;/D&gt;&lt;D xsi:type="xsd:double"&gt;23.04&lt;/D&gt;&lt;D xsi:type="xsd:double"&gt;22.77&lt;/D&gt;&lt;D xsi:type="xsd:double"&gt;22.44&lt;/D&gt;&lt;D xsi:type="xsd:double"&gt;22.63&lt;/D&gt;&lt;D xsi:type="xsd:double"&gt;22.65&lt;/D&gt;&lt;D xsi:type="xsd:double"&gt;22.46&lt;/D&gt;&lt;D xsi:type="xsd:double"&gt;22.05&lt;/D&gt;&lt;D xsi:type="xsd:double"&gt;22.14&lt;/D&gt;&lt;D xsi:type="xsd:double"&gt;21.2&lt;/D&gt;&lt;D xsi:type="xsd:double"&gt;21.75&lt;/D&gt;&lt;D xsi:type="xsd:double"&gt;21.91&lt;/D&gt;&lt;D xsi:type="xsd:double"&gt;23.01&lt;/D&gt;&lt;D xsi:type="xsd:double"&gt;23.32&lt;/D&gt;&lt;D xsi:type="xsd:double"&gt;23.03&lt;/D&gt;&lt;D xsi:type="xsd:double"&gt;23.08&lt;/D&gt;&lt;D xsi:type="xsd:double"&gt;23&lt;/D&gt;&lt;D xsi:type="xsd:double"&gt;23.55&lt;/D&gt;&lt;D xsi:type="xsd:double"&gt;23.21&lt;/D&gt;&lt;D xsi:type="xsd:double"&gt;23.17&lt;/D&gt;&lt;D xsi:type="xsd:double"&gt;23&lt;/D&gt;&lt;D xsi:type="xsd:double"&gt;23.15&lt;/D&gt;&lt;D xsi:type="xsd:double"&gt;22.94&lt;/D&gt;&lt;D xsi:type="xsd:double"&gt;23.32&lt;/D&gt;&lt;D xsi:type="xsd:double"&gt;23.39&lt;/D&gt;&lt;D xsi:type="xsd:double"&gt;23.44&lt;/D&gt;&lt;D xsi:type="xsd:double"&gt;23.21&lt;/D&gt;&lt;D xsi:type="xsd:double"&gt;22.91&lt;/D&gt;&lt;D xsi:type="xsd:double"&gt;22.53&lt;/D&gt;&lt;D xsi:type="xsd:double"&gt;23.1&lt;/D&gt;&lt;D xsi:type="xsd:double"&gt;23.12&lt;/D&gt;&lt;D xsi:type="xsd:double"&gt;23.29&lt;/D&gt;&lt;D xsi:type="xsd:double"&gt;23.42&lt;/D&gt;&lt;D xsi:type="xsd:double"&gt;23.73&lt;/D&gt;&lt;D xsi:type="xsd:double"&gt;23.23&lt;/D&gt;&lt;D xsi:type="xsd:double"&gt;23.4&lt;/D&gt;&lt;D xsi:type="xsd:double"&gt;23.67&lt;/D&gt;&lt;D xsi:type="xsd:double"&gt;23.76&lt;/D&gt;&lt;D xsi:type="xsd:double"&gt;24.16&lt;/D&gt;&lt;/FQL&gt;&lt;FQL&gt;&lt;Q&gt;EPU^FG_PRICE(0,-200D)&lt;/Q&gt;&lt;R&gt;201&lt;/R&gt;&lt;C&gt;1&lt;/C&gt;&lt;D xsi:type="xsd:double"&gt;69.68&lt;/D&gt;&lt;D xsi:type="xsd:double"&gt;68.29&lt;/D&gt;&lt;D xsi:type="xsd:double"&gt;67.48&lt;/D&gt;&lt;D xsi:type="xsd:double"&gt;66.53&lt;/D&gt;&lt;D xsi:type="xsd:double"&gt;67.03&lt;/D&gt;&lt;D xsi:type="xsd:double"&gt;67&lt;/D&gt;&lt;D xsi:type="xsd:double"&gt;66.03&lt;/D&gt;&lt;D xsi:type="xsd:double"&gt;64.67&lt;/D&gt;&lt;D xsi:type="xsd:double"&gt;64.57&lt;/D&gt;&lt;D xsi:type="xsd:double"&gt;64.47&lt;/D&gt;&lt;D xsi:type="xsd:double"&gt;63.1&lt;/D&gt;&lt;D xsi:type="xsd:double"&gt;61.56&lt;/D&gt;&lt;D xsi:type="xsd:double"&gt;61.02&lt;/D&gt;&lt;D xsi:type="xsd:double"&gt;59.64&lt;/D&gt;&lt;D xsi:type="xsd:double"&gt;59.5&lt;/D&gt;&lt;D xsi:type="xsd:double"&gt;61.25&lt;/D&gt;&lt;D xsi:type="xsd:double"&gt;60.32&lt;/D&gt;&lt;D xsi:type="xsd:double"&gt;61.1636&lt;/D&gt;&lt;D xsi:type="xsd:double"&gt;62.34&lt;/D&gt;&lt;D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</t>
        </r>
      </text>
    </comment>
    <comment ref="A7" authorId="0" shapeId="0" xr:uid="{06D15DD7-A451-4890-A703-EEBFAE97E39D}">
      <text>
        <r>
          <rPr>
            <b/>
            <sz val="9"/>
            <color indexed="81"/>
            <rFont val="Tahoma"/>
            <charset val="1"/>
          </rPr>
          <t>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xsi:type="xsd:double"&gt;43.836&lt;/D&gt;&lt;D xsi:type="xsd:double"&gt;43.48&lt;/D&gt;&lt;D xsi:type="xsd:double"&gt;43.2&lt;/D&gt;&lt;D xsi:type="xsd:double"&gt;43.3511&lt;/D&gt;&lt;D xsi:type="xsd:double"&gt;43.15&lt;/D&gt;&lt;D xsi:type="xsd:double"&gt;43.14&lt;/D&gt;&lt;D xsi:type="xsd:double"&gt;42.085&lt;/D&gt;&lt;D xsi:type="xsd:double"&gt;40.8059&lt;/D&gt;&lt;D xsi:type="xsd:double"&gt;41.46&lt;/D&gt;&lt;D xsi:type="xsd:double"&gt;38.53&lt;/D&gt;&lt;D xsi:type="xsd:double"&gt;39.07&lt;/D&gt;&lt;D xsi:type="xsd:double"&gt;40.05&lt;/D&gt;&lt;D xsi:type="xsd:double"&gt;43.42&lt;/D&gt;&lt;D xsi:type="xsd:double"&gt;44.85&lt;/D&gt;&lt;D xsi:type="xsd:double"&gt;44.57&lt;/D&gt;&lt;D xsi:type="xsd:double"&gt;43.89&lt;/D&gt;&lt;D xsi:type="xsd:double"&gt;44.2008&lt;/D&gt;&lt;D xsi:type="xsd:double"&gt;44.86&lt;/D&gt;&lt;D xsi:type="xsd:double"&gt;44.4931&lt;/D&gt;&lt;D xsi:type="xsd:double"&gt;45.2331&lt;/D&gt;&lt;D xsi:type="xsd:double"&gt;44.6&lt;/D&gt;&lt;D xsi:type="xsd:double"&gt;44.66&lt;/D&gt;&lt;D xsi:type="xsd:double"&gt;44.5894&lt;/D&gt;&lt;D xsi:type="xsd:double"&gt;44.48&lt;/D&gt;&lt;D xsi:type="xsd:double"&gt;44.2814&lt;/D&gt;&lt;D xsi:type="xsd:double"&gt;44.12&lt;/D&gt;&lt;D xsi:type="xsd:double"&gt;43.37&lt;/D&gt;&lt;D xsi:type="xsd:double"&gt;42.25&lt;/D&gt;&lt;D xsi:type="xsd:double"&gt;41.7471&lt;/D&gt;&lt;D xsi:type="xsd:double"&gt;41.1012&lt;/D&gt;&lt;D xsi:type="xsd:double"&gt;40.6935&lt;/D&gt;&lt;D xsi:type="xsd:double"&gt;41.5776&lt;/D&gt;&lt;D xsi:type="xsd:double"&gt;41.46&lt;/D&gt;&lt;D xsi:type="xsd:double"&gt;41.4694&lt;/D&gt;&lt;D xsi:type="xsd:double"&gt;40.4409&lt;/D&gt;&lt;D xsi:type="xsd:double"&gt;40.5245&lt;/D&gt;&lt;D xsi:type="xsd:double"&gt;40.9415&lt;/D&gt;&lt;D xsi:type="xsd:double"&gt;40.6676&lt;/D&gt;&lt;D xsi:type="xsd:double"&gt;41.4594&lt;/D&gt;&lt;/FQL&gt;&lt;FQL&gt;&lt;Q&gt;EPOL^FG_PRICE(0,-200D)&lt;/Q&gt;&lt;R&gt;201&lt;/R&gt;&lt;C&gt;1&lt;/C&gt;&lt;D xsi:type="xsd:double"&gt;35.27&lt;/D&gt;&lt;D xsi:type="xsd:double"&gt;34.88&lt;/D&gt;&lt;D xsi:type="xsd:double"&gt;34.25&lt;/D&gt;&lt;D xsi:type="xsd:double"&gt;33.51&lt;/D&gt;&lt;D xsi:type="xsd:double"&gt;33.44&lt;/D&gt;&lt;D xsi:type="xsd:double"&gt;33.53&lt;/D&gt;&lt;D xsi:type="xsd:double"&gt;33.61&lt;/D&gt;&lt;D xsi:type="xsd:double"&gt;33.65&lt;/D&gt;&lt;D xsi:type="xsd:double"&gt;33.9&lt;/D&gt;&lt;D xsi:type="xsd:double"&gt;34.07&lt;/D&gt;&lt;D xsi:type="xsd:double"&gt;34.07&lt;/D&gt;&lt;D xsi:type="xsd:double"&gt;33.73&lt;/D&gt;&lt;D xsi:type="xsd:double"&gt;32.94&lt;/D&gt;&lt;D xsi:type="xsd:double"&gt;33.04&lt;/D&gt;&lt;D xsi:type="xsd:double"&gt;32.56&lt;/D&gt;&lt;D xsi:type="xsd:double"&gt;33.29&lt;/D&gt;&lt;D xsi:type="xsd:double"&gt;32.87&lt;/D&gt;&lt;D xsi:type="xsd:double"&gt;33.39&lt;/D&gt;&lt;D xsi:type="xsd:double"&gt;34.16&lt;/D&gt;&lt;D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xsi:type="xsd:double"&gt;29.25&lt;/D&gt;&lt;D xsi:type="xsd:double"&gt;28.63&lt;/D&gt;&lt;D xsi:type="xsd:double"&gt;28.29&lt;/D&gt;&lt;D xsi:type="xsd:double"&gt;27.74&lt;/D&gt;&lt;D xsi:type="xsd:double"&gt;27.58&lt;/D&gt;&lt;D xsi:type="xsd:double"&gt;27.59&lt;/D&gt;&lt;D xsi:type="xsd:double"&gt;27.25&lt;/D&gt;&lt;D xsi:type="xsd:double"&gt;26.93&lt;/D&gt;&lt;D xsi:type="xsd:double"&gt;27.69&lt;/D&gt;&lt;D xsi:type="xsd:double"&gt;24.7&lt;/D&gt;&lt;D xsi:type="xsd:double"&gt;24.54&lt;/D&gt;&lt;D xsi:type="xsd:double"&gt;25.14&lt;/D&gt;&lt;D xsi:type="xsd:double"&gt;27.51&lt;/D&gt;&lt;D xsi:type="xsd:double"&gt;28.79&lt;/D&gt;&lt;D xsi:type="xsd:double"&gt;28.28&lt;/D&gt;&lt;D xsi:type="xsd:double"&gt;28.01&lt;/D&gt;&lt;D xsi:type="xsd:double"&gt;28.43&lt;/D&gt;&lt;D xsi:type="xsd:double"&gt;28.69&lt;/D&gt;&lt;D xsi:type="xsd:double"&gt;28.42&lt;/D&gt;&lt;D xsi:type="xsd:double"&gt;29.11&lt;/D&gt;&lt;D xsi:type="xsd:double"&gt;28.56&lt;/D&gt;&lt;D xsi:type="xsd:double"&gt;28.13&lt;/D&gt;&lt;D xsi:type="xsd:double"&gt;28.35&lt;/D&gt;&lt;D xsi:type="xsd:double"&gt;28.79&lt;/D&gt;&lt;D xsi:type="xsd:double"&gt;29.15&lt;/D&gt;&lt;D xsi:type="xsd:double"&gt;29.01&lt;/D&gt;&lt;D xsi:type="xsd:double"&gt;28.5&lt;/D&gt;&lt;D xsi:type="xsd:double"&gt;27.58&lt;/D&gt;&lt;D xsi:type="xsd:double"&gt;27.17&lt;/D&gt;&lt;D xsi:type="xsd:double"&gt;26.88&lt;/D&gt;&lt;D xsi:type="xsd:double"&gt;26.44&lt;/D&gt;&lt;D xsi:type="xsd:double"&gt;27.42&lt;/D&gt;&lt;D xsi:type="xsd:double"&gt;26.86&lt;/D&gt;&lt;D xsi:type="xsd:double"&gt;26.92&lt;/D&gt;&lt;D xsi:type="xsd:double"&gt;25.51&lt;/D&gt;&lt;D xsi:type="xsd:double"&gt;25.68&lt;/D&gt;&lt;D xsi:type="xsd:double"&gt;25.28&lt;/D&gt;&lt;D xsi:type="xsd:double"&gt;25.55&lt;/D&gt;&lt;D xsi:type="xsd:double"&gt;26.18&lt;/D&gt;&lt;/FQL&gt;&lt;FQL&gt;&lt;Q&gt;EPHE^FG_PRICE(0,-200D)&lt;/Q&gt;&lt;R&gt;201&lt;/R&gt;&lt;C&gt;1&lt;/C&gt;&lt;D xsi:type="xsd:double"&gt;25.02&lt;/D&gt;&lt;D xsi:type="xsd:double"&gt;24.73&lt;/D&gt;&lt;D xsi:type="xsd:double"&gt;24.67&lt;/D&gt;&lt;D xsi:type="xsd:double"&gt;24.58&lt;/D&gt;&lt;D xsi:type="xsd:double"&gt;24.73&lt;/D&gt;&lt;D xsi:type="xsd:double"&gt;24.2&lt;/D&gt;&lt;D xsi:type="xsd:double"&gt;24.68&lt;/D&gt;&lt;D xsi:type="xsd:double"&gt;25.06&lt;/D&gt;&lt;D xsi:type="xsd:double"&gt;25.24&lt;/D&gt;&lt;D xsi:type="xsd:double"&gt;25.21&lt;/D&gt;&lt;D xsi:type="xsd:double"&gt;25.02&lt;/D&gt;&lt;D xsi:type="xsd:double"&gt;25&lt;/D&gt;&lt;D xsi:type="xsd:double"&gt;24.97&lt;/D&gt;&lt;D xsi:type="xsd:double"&gt;25.06&lt;/D&gt;&lt;D xsi:type="xsd:double"&gt;24.37&lt;/D&gt;&lt;D xsi:type="xsd:double"&gt;24.23&lt;/D&gt;&lt;D xsi:type="xsd:double"&gt;24.02&lt;/D&gt;&lt;D xsi:type="xsd:double"&gt;23.95&lt;/D&gt;&lt;D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xsi:type="xsd:double"&gt;25.55&lt;/D&gt;&lt;D xsi:type="xsd:double"&gt;25.17&lt;/D&gt;&lt;D xsi:type="xsd:double"&gt;25.3019&lt;/D&gt;&lt;D xsi:type="xsd:double"&gt;25.25&lt;/D&gt;&lt;D xsi:type="xsd:double"&gt;25.4141&lt;/D&gt;&lt;D xsi:type="xsd:double"&gt;25.19&lt;/D&gt;&lt;D xsi:type="xsd:double"&gt;24.96&lt;/D&gt;&lt;D xsi:type="xsd:double"&gt;24.18&lt;/D&gt;&lt;D xsi:type="xsd:double"&gt;25.16&lt;/D&gt;&lt;D xsi:type="xsd:double"&gt;24.13&lt;/D&gt;&lt;D xsi:type="xsd:double"&gt;24.14&lt;/D&gt;&lt;D xsi:type="xsd:double"&gt;23.83&lt;/D&gt;&lt;D xsi:type="xsd:double"&gt;25.04&lt;/D&gt;&lt;D xsi:type="xsd:double"&gt;25.56&lt;/D&gt;&lt;D xsi:type="xsd:double"&gt;25.26&lt;/D&gt;&lt;D xsi:type="xsd:double"&gt;25.3&lt;/D&gt;&lt;D xsi:type="xsd:double"&gt;24.98&lt;/D&gt;&lt;D xsi:type="xsd:double"&gt;25.1&lt;/D&gt;&lt;D xsi:type="xsd:double"&gt;25.022&lt;/D&gt;&lt;D xsi:type="xsd:double"&gt;25.2&lt;/D&gt;&lt;D xsi:type="xsd:double"&gt;25.43&lt;/D&gt;&lt;D xsi:type="xsd:double"&gt;25.79&lt;/D&gt;&lt;D xsi:type="xsd:double"&gt;25.91&lt;/D&gt;&lt;D xsi:type="xsd:double"&gt;25.87&lt;/D&gt;&lt;D xsi:type="xsd:double"&gt;25.67&lt;/D&gt;&lt;D xsi:type="xsd:double"&gt;26&lt;/D&gt;&lt;D xsi:type="xsd:double"&gt;25.785&lt;/D&gt;&lt;D xsi:type="xsd:double"&gt;25.38&lt;/D&gt;&lt;D xsi:type="xsd:double"&gt;25.08&lt;/D&gt;&lt;D xsi:type="xsd:double"&gt;25.07&lt;/D&gt;&lt;D xsi:type="xsd:double"&gt;25.47&lt;/D&gt;&lt;D xsi:type="xsd:double"&gt;25.36&lt;/D&gt;&lt;D xsi:type="xsd:double"&gt;25.14&lt;/D&gt;&lt;D xsi:type="xsd:double"&gt;24.71&lt;/D&gt;&lt;D xsi:type="xsd:double"&gt;24.25&lt;/D&gt;&lt;D xsi:type="xsd:double"&gt;24.05&lt;/D&gt;&lt;D xsi:type="xsd:double"&gt;24&lt;/D&gt;&lt;D xsi:type="xsd:double"&gt;24.3&lt;/D&gt;&lt;D xsi:type="xsd:double"&gt;24.46&lt;/D&gt;&lt;/FQL&gt;&lt;FQL&gt;&lt;Q&gt;EIDO^FG_PRICE(0,-200D)&lt;/Q&gt;&lt;R&gt;201&lt;/R&gt;&lt;C&gt;1&lt;/C&gt;&lt;D xsi:type="xsd:double"&gt;18.68&lt;/D&gt;&lt;D xsi:type="xsd:double"&gt;18.86&lt;/D&gt;&lt;D xsi:type="xsd:double"&gt;18.68&lt;/D&gt;&lt;D xsi:type="xsd:double"&gt;18.87&lt;/D&gt;&lt;D xsi:type="xsd:double"&gt;18.82&lt;/D&gt;&lt;D xsi:type="xsd:double"&gt;18.79&lt;/D&gt;&lt;D xsi:type="xsd:double"&gt;18.83&lt;/D&gt;&lt;D xsi:type="xsd:double"&gt;18.92&lt;/D&gt;&lt;D xsi:type="xsd:double"&gt;18.79&lt;/D&gt;&lt;D xsi:type="xsd:double"&gt;18.67&lt;/D&gt;&lt;D xsi:type="xsd:double"&gt;18.87&lt;/D&gt;&lt;D xsi:type="xsd:double"&gt;18.73&lt;/D&gt;&lt;D xsi:type="xsd:double"&gt;18.78&lt;/D&gt;&lt;D xsi:type="xsd:double"&gt;18.37&lt;/D&gt;&lt;D xsi:type="xsd:double"&gt;18.33&lt;/D&gt;&lt;D xsi:type="xsd:double"&gt;18.48&lt;/D&gt;&lt;D xsi:type="xsd:double"&gt;18.26&lt;/D&gt;&lt;D xsi:type="xsd:double"&gt;18.38&lt;/D&gt;&lt;D xsi:type="xsd:double"&gt;18.38&lt;/D&gt;&lt;D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xsi:type="xsd:double"&gt;16.36&lt;/D&gt;&lt;D xsi:type="xsd:double"&gt;16.03&lt;/D&gt;&lt;D xsi:type="xsd:double"&gt;16.13&lt;/D&gt;&lt;D xsi:type="xsd:double"&gt;15.93&lt;/D&gt;&lt;D xsi:type="xsd:double"&gt;16.14&lt;/D&gt;&lt;D xsi:type="xsd:double"&gt;16.09&lt;/D&gt;&lt;D xsi:type="xsd:double"&gt;15.87&lt;/D&gt;&lt;D xsi:type="xsd:double"&gt;15.45&lt;/D&gt;&lt;D xsi:type="xsd:double"&gt;15.56&lt;/D&gt;&lt;D xsi:type="xsd:double"&gt;14.36&lt;/D&gt;&lt;D xsi:type="xsd:double"&gt;15.15&lt;/D&gt;&lt;D xsi:type="xsd:double"&gt;15.09&lt;/D&gt;&lt;D xsi:type="xsd:double"&gt;15.88&lt;/D&gt;&lt;D xsi:type="xsd:double"&gt;16.33&lt;/D&gt;&lt;D xsi:type="xsd:double"&gt;16.25&lt;/D&gt;&lt;D xsi:type="xsd:double"&gt;16.3&lt;/D&gt;&lt;D xsi:type="xsd:double"&gt;16.37&lt;/D&gt;&lt;D xsi:type="xsd:double"&gt;16.42&lt;/D&gt;&lt;D xsi:type="xsd:double"&gt;16.31&lt;/D&gt;&lt;D xsi:type="xsd:double"&gt;15.72&lt;/D&gt;&lt;D xsi:type="xsd:double"&gt;15.34&lt;/D&gt;&lt;D xsi:type="xsd:double"&gt;15.62&lt;/D&gt;&lt;D xsi:type="xsd:double"&gt;15.91&lt;/D&gt;&lt;D xsi:type="xsd:double"&gt;15.95&lt;/D&gt;&lt;D xsi:type="xsd:double"&gt;15.74&lt;/D&gt;&lt;D xsi:type="xsd:double"&gt;16.62&lt;/D&gt;&lt;D xsi:type="xsd:double"&gt;16.57&lt;/D&gt;&lt;D xsi:type="xsd:double"&gt;16.73&lt;/D&gt;&lt;D xsi:type="xsd:double"&gt;16.87&lt;/D&gt;&lt;D xsi:type="xsd:double"&gt;16.46&lt;/D&gt;&lt;D xsi:type="xsd:double"&gt;16.69&lt;/D&gt;&lt;D xsi:type="xsd:double"&gt;17.1&lt;/D&gt;&lt;D xsi:type="xsd:double"&gt;17.12&lt;/D&gt;&lt;D xsi:type="xsd:double"&gt;17.05&lt;/D&gt;&lt;D xsi:type="xsd:double"&gt;16.46&lt;/D&gt;&lt;D xsi:type="xsd:double"&gt;16.66&lt;/D&gt;&lt;D xsi:type="xsd:double"&gt;15.96&lt;/D&gt;&lt;D xsi:type="xsd:double"&gt;16.41&lt;/D&gt;&lt;D xsi:type="xsd:double"&gt;16.98&lt;/D&gt;&lt;/FQL&gt;&lt;FQL&gt;&lt;Q&gt;ECH^FG_PRICE(0,-200D)&lt;/Q&gt;&lt;R&gt;201&lt;/R&gt;&lt;C&gt;1&lt;/C&gt;&lt;D xsi:type="xsd:double"&gt;39.28&lt;/D&gt;&lt;D xsi:type="xsd:double"&gt;38.75&lt;/D&gt;&lt;D xsi:type="xsd:double"&gt;38.34&lt;/D&gt;&lt;D xsi:type="xsd:double"&gt;38.24&lt;/D&gt;&lt;D xsi:type="xsd:double"&gt;38.18&lt;/D&gt;&lt;D xsi:type="xsd:double"&gt;38.51&lt;/D&gt;&lt;D xsi:type="xsd:double"&gt;38.62&lt;/D&gt;&lt;D xsi:type="xsd:double"&gt;38.29&lt;/D&gt;&lt;D xsi:type="xsd:double"&gt;37.69&lt;/D&gt;&lt;D xsi:type="xsd:double"&gt;37.86&lt;/D&gt;&lt;D xsi:type="xsd:double"&gt;37.61&lt;/D&gt;&lt;D xsi:type="xsd:double"&gt;37.27&lt;/D&gt;&lt;D xsi:type="xsd:double"&gt;36.61&lt;/D&gt;&lt;D xsi:type="xsd:double"&gt;36.34&lt;/D&gt;&lt;D xsi:type="xsd:double"&gt;36.59&lt;/D&gt;&lt;D xsi:type="xsd:double"&gt;37.11&lt;/D&gt;&lt;D xsi:type="xsd:double"&gt;36.83&lt;/D&gt;&lt;D xsi:type="xsd:double"&gt;37.31&lt;/D&gt;&lt;D xsi:type="xsd:double"&gt;36.37&lt;/D&gt;&lt;D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xsi:type="xsd:double"&gt;30.91&lt;/D&gt;&lt;D xsi:type="xsd:double"&gt;30.05&lt;/D&gt;&lt;D xsi:type="xsd:double"&gt;29.95&lt;/D&gt;&lt;D xsi:type="xsd:double"&gt;29.43&lt;/D&gt;&lt;D xsi:type="xsd:double"&gt;29.35&lt;/D&gt;&lt;D xsi:type="xsd:double"&gt;29.13&lt;/D&gt;&lt;D xsi:type="xsd:double"&gt;28.39&lt;/D&gt;&lt;D xsi:type="xsd:double"&gt;27.51&lt;/D&gt;&lt;D xsi:type="xsd:double"&gt;28.24&lt;/D&gt;&lt;D xsi:type="xsd:double"&gt;26.5&lt;/D&gt;&lt;D xsi:type="xsd:double"&gt;27.09&lt;/D&gt;&lt;D xsi:type="xsd:double"&gt;28.19&lt;/D&gt;&lt;D xsi:type="xsd:double"&gt;30.07&lt;/D&gt;&lt;D xsi:type="xsd:double"&gt;29.91&lt;/D&gt;&lt;D xsi:type="xsd:double"&gt;30.2&lt;/D&gt;&lt;D xsi:type="xsd:double"&gt;29.82&lt;/D&gt;&lt;D xsi:type="xsd:double"&gt;29.76&lt;/D&gt;&lt;D xsi:type="xsd:double"&gt;30.17&lt;/D&gt;&lt;D xsi:type="xsd:double"&gt;30.27&lt;/D&gt;&lt;D xsi:type="xsd:double"&gt;30.76&lt;/D&gt;&lt;D xsi:type="xsd:double"&gt;30.41&lt;/D&gt;&lt;D xsi:type="xsd:double"&gt;30.3&lt;/D&gt;&lt;D xsi:type="xsd:double"&gt;30.52&lt;/D&gt;&lt;D xsi:type="xsd:double"&gt;30.94&lt;/D&gt;&lt;D xsi:type="xsd:double"&gt;30.9&lt;/D&gt;&lt;D xsi:type="xsd:double"&gt;30.71&lt;/D&gt;&lt;D xsi:type="xsd:double"&gt;30.06&lt;/D&gt;&lt;D xsi:type="xsd:double"&gt;29.76&lt;/D&gt;&lt;D xsi:type="xsd:double"&gt;29.34&lt;/D&gt;&lt;D xsi:type="xsd:double"&gt;29.39&lt;/D&gt;&lt;D xsi:type="xsd:double"&gt;29.16&lt;/D&gt;&lt;D xsi:type="xsd:double"&gt;29.77&lt;/D&gt;&lt;D xsi:type="xsd:double"&gt;29.69&lt;/D&gt;&lt;D xsi:type="xsd:double"&gt;29.39&lt;/D&gt;&lt;D xsi:type="xsd:double"&gt;28.9&lt;/D&gt;&lt;D xsi:type="xsd:double"&gt;28.36&lt;/D&gt;&lt;D xsi:type="xsd:double"&gt;28.62&lt;/D&gt;&lt;D xsi:type="xsd:double"&gt;28.74&lt;/D&gt;&lt;D xsi:type="xsd:double"&gt;28.89&lt;/D&gt;&lt;/FQL&gt;&lt;FQL&gt;&lt;Q&gt;CNYA^FG_PRICE(0,-200D)&lt;/Q&gt;&lt;R&gt;201&lt;/R&gt;&lt;C&gt;1&lt;/C&gt;&lt;D xsi:type="xsd:double"&gt;34.09&lt;/D&gt;&lt;D xsi:type="xsd:double"&gt;34.34&lt;/D&gt;&lt;D xsi:type="xsd:double"&gt;34.225&lt;/D&gt;&lt;D xsi:type="xsd:double"&gt;34.36&lt;/D&gt;&lt;D xsi:type="xsd:double"&gt;34.21&lt;/D&gt;&lt;D xsi:type="xsd:double"&gt;33.74&lt;/D&gt;&lt;D xsi:type="xsd:double"&gt;33.76&lt;/D&gt;&lt;D xsi:type="xsd:double"&gt;33.81&lt;/D&gt;&lt;D xsi:type="xsd:double"&gt;34.25&lt;/D&gt;&lt;D xsi:type="xsd:double"&gt;33.95&lt;/D&gt;&lt;D xsi:type="xsd:double"&gt;33.59&lt;/D&gt;&lt;D xsi:type="xsd:double"&gt;33.51&lt;/D&gt;&lt;D xsi:type="xsd:double"&gt;33.11&lt;/D&gt;&lt;D xsi:type="xsd:double"&gt;33.06&lt;/D&gt;&lt;D xsi:type="xsd:double"&gt;33.46&lt;/D&gt;&lt;D xsi:type="xsd:double"&gt;33.88&lt;/D&gt;&lt;D xsi:type="xsd:double"&gt;33.93&lt;/D&gt;&lt;D xsi:type="xsd:double"&gt;33.89&lt;/D&gt;&lt;D xsi:type="xsd:double"&gt;34.19&lt;/D&gt;&lt;D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</t>
        </r>
      </text>
    </comment>
    <comment ref="A8" authorId="0" shapeId="0" xr:uid="{95DF222B-38A4-4CF3-A148-258C40C25EC4}">
      <text>
        <r>
          <rPr>
            <b/>
            <sz val="9"/>
            <color indexed="81"/>
            <rFont val="Tahoma"/>
            <charset val="1"/>
          </rPr>
          <t>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xsi:type="xsd:double"&gt;27.16&lt;/D&gt;&lt;D xsi:type="xsd:double"&gt;27.04&lt;/D&gt;&lt;D xsi:type="xsd:double"&gt;26.82&lt;/D&gt;&lt;D xsi:type="xsd:double"&gt;26.92&lt;/D&gt;&lt;D xsi:type="xsd:double"&gt;26.7&lt;/D&gt;&lt;D xsi:type="xsd:double"&gt;26.96&lt;/D&gt;&lt;D xsi:type="xsd:double"&gt;27.09&lt;/D&gt;&lt;D xsi:type="xsd:double"&gt;26.64&lt;/D&gt;&lt;D xsi:type="xsd:double"&gt;26.4&lt;/D&gt;&lt;D xsi:type="xsd:double"&gt;24.95&lt;/D&gt;&lt;D xsi:type="xsd:double"&gt;24.71&lt;/D&gt;&lt;D xsi:type="xsd:double"&gt;26.56&lt;/D&gt;&lt;D xsi:type="xsd:double"&gt;27.65&lt;/D&gt;&lt;D xsi:type="xsd:double"&gt;27.91&lt;/D&gt;&lt;D xsi:type="xsd:double"&gt;27.92&lt;/D&gt;&lt;D xsi:type="xsd:double"&gt;28.03&lt;/D&gt;&lt;D xsi:type="xsd:double"&gt;28.08&lt;/D&gt;&lt;D xsi:type="xsd:double"&gt;28.34&lt;/D&gt;&lt;D xsi:type="xsd:double"&gt;28.16&lt;/D&gt;&lt;D xsi:type="xsd:double"&gt;28.33&lt;/D&gt;&lt;D xsi:type="xsd:double"&gt;28.3&lt;/D&gt;&lt;D xsi:type="xsd:double"&gt;28.17&lt;/D&gt;&lt;D xsi:type="xsd:double"&gt;28.46&lt;/D&gt;&lt;D xsi:type="xsd:double"&gt;28.96&lt;/D&gt;&lt;D xsi:type="xsd:double"&gt;29.02&lt;/D&gt;&lt;D xsi:type="xsd:double"&gt;29.2&lt;/D&gt;&lt;D xsi:type="xsd:double"&gt;29.34&lt;/D&gt;&lt;D xsi:type="xsd:double"&gt;28.34&lt;/D&gt;&lt;D xsi:type="xsd:double"&gt;28.435&lt;/D&gt;&lt;D xsi:type="xsd:double"&gt;28.51&lt;/D&gt;&lt;D xsi:type="xsd:double"&gt;28.09&lt;/D&gt;&lt;D xsi:type="xsd:double"&gt;28.45&lt;/D&gt;&lt;D xsi:type="xsd:double"&gt;28.625&lt;/D&gt;&lt;D xsi:type="xsd:double"&gt;28.38&lt;/D&gt;&lt;D xsi:type="xsd:double"&gt;27.97&lt;/D&gt;&lt;D xsi:type="xsd:double"&gt;27.77&lt;/D&gt;&lt;D xsi:type="xsd:double"&gt;27.96&lt;/D&gt;&lt;D xsi:type="xsd:double"&gt;28.41&lt;/D&gt;&lt;D xsi:type="xsd:double"&gt;28.5&lt;/D&gt;&lt;/FQL&gt;&lt;FQL&gt;&lt;Q&gt;CNYA^JULIAN(FG_PRICE(0,-200D).DATES)&lt;/Q&gt;&lt;R&gt;201&lt;/R&gt;&lt;C&gt;1&lt;/C&gt;&lt;D xsi:type="xsd:long"&gt;46002&lt;/D&gt;&lt;D xsi:type="xsd:long"&gt;46001&lt;/D&gt;&lt;D xsi:type="xsd:long"&gt;46000&lt;/D&gt;&lt;D xsi:type="xsd:long"&gt;45999&lt;/D&gt;&lt;D xsi:type="xsd:long"&gt;45996&lt;/D&gt;&lt;D xsi:type="xsd:long"&gt;45995&lt;/D&gt;&lt;D xsi:type="xsd:long"&gt;45994&lt;/D&gt;&lt;D xsi:type="xsd:long"&gt;45993&lt;/D&gt;&lt;D xsi:type="xsd:long"&gt;45992&lt;/D&gt;&lt;D xsi:type="xsd:long"&gt;45989&lt;/D&gt;&lt;D xsi:type="xsd:long"&gt;45987&lt;/D&gt;&lt;D xsi:type="xsd:long"&gt;45986&lt;/D&gt;&lt;D xsi:type="xsd:long"&gt;45985&lt;/D&gt;&lt;D xsi:type="xsd:long"&gt;45982&lt;/D&gt;&lt;D xsi:type="xsd:long"&gt;45981&lt;/D&gt;&lt;D xsi:type="xsd:long"&gt;45980&lt;/D&gt;&lt;D xsi:type="xsd:long"&gt;45979&lt;/D&gt;&lt;D xsi:type="xsd:long"&gt;45978&lt;/D&gt;&lt;D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xsi:type="xsd:long"&gt;45727&lt;/D&gt;&lt;D xsi:type="xsd:long"&gt;45726&lt;/D&gt;&lt;D xsi:type="xsd:long"&gt;45723&lt;/D&gt;&lt;D xsi:type="xsd:long"&gt;45722&lt;/D&gt;&lt;D xsi:type="xsd:long"&gt;45721&lt;/D&gt;&lt;D xsi:type="xsd:long"&gt;45720&lt;/D&gt;&lt;D xsi:type="xsd:long"&gt;45719&lt;/D&gt;&lt;D xsi:type="xsd:long"&gt;45716&lt;/D&gt;&lt;D xsi:type="xsd:long"&gt;45715&lt;/D&gt;&lt;D xsi:type="xsd:long"&gt;45714&lt;/D&gt;&lt;/FQL&gt;&lt;FQL&gt;&lt;Q&gt;EWI^FG_TOTAL_RETURNC(-5AY,0,AM)&lt;/Q&gt;&lt;R&gt;61&lt;/R&gt;&lt;C&gt;1&lt;/C&gt;&lt;D xsi:type="xsd:double"&gt;7.4019194&lt;/D&gt;&lt;D xsi:type="xsd:double"&gt;4.3350577&lt;/D&gt;&lt;D xsi:type="xsd:double"&gt;2.3309946&lt;/D&gt;&lt;D xsi:type="xsd:double"&gt;2.6358604&lt;/D&gt;&lt;D xsi:type="xsd:double"&gt;0.47558546&lt;/D&gt;&lt;D xsi:type="xsd:double"&gt;2.0195723&lt;/D&gt;&lt;D xsi:type="xsd:double"&gt;5.539775&lt;/D&gt;&lt;D xsi:type="xsd:double"&gt;-4.4497194&lt;/D&gt;&lt;D xsi:type="xsd:double"&gt;4.408574&lt;/D&gt;&lt;D xsi:type="xsd:double"&gt;-3.95481&lt;/D&gt;&lt;D xsi:type="xsd:double"&gt;-1.2074292&lt;/D&gt;&lt;D xsi:type="xsd:double"&gt;6.1422706&lt;/D&gt;&lt;D xsi:type="xsd:double"&gt;-3.8086712&lt;/D&gt;&lt;D xsi:type="xsd:double"&gt;3.8832307&lt;/D&gt;&lt;D xsi:type="xsd:double"&gt;-3.7159085&lt;/D&gt;&lt;D xsi:type="xsd:double"&gt;-16.433239&lt;/D&gt;&lt;D xsi:type="xsd:double"&gt;8.156431&lt;/D&gt;&lt;D xsi:type="xsd:double"&gt;-8.4022045&lt;/D&gt;&lt;D xsi:type="xsd:double"&gt;-2.1227717&lt;/D&gt;&lt;D xsi:type="xsd:double"&gt;-7.957244&lt;/D&gt;&lt;D xsi:type="xsd:double"&gt;8.3871&lt;/D&gt;&lt;D xsi:type="xsd:double"&gt;-5.4761944&lt;/D&gt;&lt;D xsi:type="xsd:double"&gt;-9.739715&lt;/D&gt;&lt;D xsi:type="xsd:double"&gt;27.255821&lt;/D&gt;&lt;D xsi:type="xsd:double"&gt;0&lt;/D&gt;&lt;D xsi:type="xsd:double"&gt;8.181572&lt;/D&gt;&lt;D xsi:type="xsd:double"&gt;3.8408756&lt;/D&gt;&lt;D xsi:type="xsd:double"&gt;-2.1136105&lt;/D&gt;&lt;D xsi:type="xsd:double"&gt;5.026984&lt;/D&gt;&lt;D xsi:type="xsd:double"&gt;0.54609776&lt;/D&gt;&lt;D xsi:type="xsd:double"&gt;-1.0159552&lt;/D&gt;&lt;D xsi:type="xsd:double"&gt;5.291009&lt;/D&gt;&lt;D xsi:type="xsd:double"&gt;0.3140688&lt;/D&gt;&lt;D xsi:type="xsd:double"&gt;-1.0644972&lt;/D&gt;&lt;D xsi:type="xsd:double"&gt;-2.8797448&lt;/D&gt;&lt;D xsi:type="xsd:double"&gt;1.4988542&lt;/D&gt;&lt;D xsi:type="xsd:double"&gt;7.1910143&lt;/D&gt;&lt;D xsi:type="xsd:double"&gt;2.3230553&lt;/D&gt;&lt;D xsi:type="xsd:double"&gt;0.5927563&lt;/D&gt;&lt;D xsi:type="xsd:double"&gt;7.896292&lt;/D&gt;&lt;D xsi:type="xsd:double"&gt;-0.3823042&lt;/D&gt;&lt;D xsi:type="xsd:double"&gt;4.6875&lt;/D&gt;&lt;D xsi:type="xsd:double"&gt;-1.7899752&lt;/D&gt;&lt;D xsi:type="xsd:double"&gt;2.3224115&lt;/D&gt;&lt;D xsi:type="xsd:double"&gt;-5.0467253&lt;/D&gt;&lt;D xsi:type="xsd:double"&gt;6.4679384&lt;/D&gt;&lt;D xsi:type="xsd:double"&gt;1.2414217&lt;/D&gt;&lt;D xsi:type="xsd:double"&gt;-3.0002654&lt;/D&gt;&lt;D xsi:type="xsd:double"&gt;1.0220528&lt;/D&gt;&lt;D xsi:type="xsd:double"&gt;-1.3331175&lt;/D&gt;&lt;D xsi:type="xsd:double"&gt;8.9589&lt;/D&gt;&lt;D xsi:type="xsd:double"&gt;6.2861443&lt;/D&gt;&lt;D xsi:type="xsd:double"&gt;-4.116398&lt;/D&gt;&lt;D xsi:type="xsd:double"&gt;13.027393&lt;/D&gt;&lt;D xsi:type="xsd:double"&gt;4.627812&lt;/D&gt;&lt;D xsi:type="xsd:double"&gt;1.8676758&lt;/D&gt;&lt;D xsi:type="xsd:double"&gt;4.167533&lt;/D&gt;&lt;D xsi:type="xsd:double"&gt;3.2206416&lt;/D&gt;&lt;D xsi:type="xsd:double"&gt;-2.4999917&lt;/D&gt;&lt;D xsi:type="xsd:double"&gt;6.8376064&lt;/D&gt;&lt;D xsi:type="xsd:double"&gt;0.37209988&lt;/D&gt;&lt;/FQL&gt;&lt;FQL&gt;&lt;Q&gt;EWD^FG_TOTAL_RETURNC(-5AY,0,AM)&lt;/Q&gt;&lt;R&gt;61&lt;/R&gt;&lt;C&gt;1&lt;/C&gt;&lt;D xsi:type="xsd:double"&gt;2.94348&lt;/D&gt;&lt;D xsi:type="xsd:double"&gt;5.005729&lt;/D&gt;&lt;D xsi:type="xsd:double"&gt;3.3988833&lt;/D&gt;&lt;D xsi:type="xsd:double"&gt;5.9168816&lt;/D&gt;&lt;D xsi:type="xsd:double"&gt;4.389274&lt;/D&gt;&lt;D xsi:type="xsd:double"&gt;0.08494854&lt;/D&gt;&lt;D xsi:type="xsd:double"&gt;4.608476&lt;/D&gt;&lt;D xsi:type="xsd:double"&gt;-1.888752&lt;/D&gt;&lt;D xsi:type="xsd:double"&gt;2.89824&lt;/D&gt;&lt;D xsi:type="xsd:double"&gt;-2.0764768&lt;/D&gt;&lt;D xsi:type="xsd:double"&gt;-6.7184567&lt;/D&gt;&lt;D xsi:type="xsd:double"&gt;9.047937&lt;/D&gt;&lt;D xsi:type="xsd:double"&gt;-4.4169245&lt;/D&gt;&lt;D xsi:type="xsd:double"&gt;1.629591&lt;/D&gt;&lt;D xsi:type="xsd:double"&gt;-10.365987&lt;/D&gt;&lt;D xsi:type="xsd:double"&gt;-12.004889&lt;/D&gt;&lt;D xsi:type="xsd:double"&gt;6.112802&lt;/D&gt;&lt;D xsi:type="xsd:double"&gt;-12.463993&lt;/D&gt;&lt;D xsi:type="xsd:double"&gt;2.648306&lt;/D&gt;&lt;D xsi:type="xsd:double"&gt;-9.355318&lt;/D&gt;&lt;D xsi:type="xsd:double"&gt;12.173343&lt;/D&gt;&lt;D xsi:type="xsd:double"&gt;-9.171337&lt;/D&gt;&lt;D xsi:type="xsd:double"&gt;-13.051945&lt;/D&gt;&lt;D xsi:type="xsd:double"&gt;27.408504&lt;/D&gt;&lt;D xsi:type="xsd:double"&gt;-0.6154716&lt;/D&gt;&lt;D xsi:type="xsd:double"&gt;3.9824247&lt;/D&gt;&lt;D xsi:type="xsd:double"&gt;-0.34227967&lt;/D&gt;&lt;D xsi:type="xsd:double"&gt;-4.092729&lt;/D&gt;&lt;D xsi:type="xsd:double"&gt;5.849004&lt;/D&gt;&lt;D xsi:type="xsd:double"&gt;2.3118138&lt;/D&gt;&lt;D xsi:type="xsd:double"&gt;-2.7555823&lt;/D&gt;&lt;D xsi:type="xsd:double"&gt;-0.68008304&lt;/D&gt;&lt;D xsi:type="xsd:double"&gt;-2.8530657&lt;/D&gt;&lt;D xsi:type="xsd:double"&gt;-2.5550604&lt;/D&gt;&lt;D xsi:type="xsd:double"&gt;1.7179012&lt;/D&gt;&lt;D xsi:type="xsd:double"&gt;-2.4000049&lt;/D&gt;&lt;D xsi:type="xsd:double"&gt;14.51124&lt;/D&gt;&lt;D xsi:type="xsd:double"&gt;2.523756&lt;/D&gt;&lt;D xsi:type="xsd:double"&gt;-0.2649784&lt;/D&gt;&lt;D xsi:type="xsd:double"&gt;7.8374147&lt;/D&gt;&lt;D xsi:type="xsd:double"&gt;-2.5375664&lt;/D&gt;&lt;D xsi:type="xsd:double"&gt;3.2608628&lt;/D&gt;&lt;D xsi:type="xsd:double"&gt;1.7605901&lt;/D&gt;&lt;D xsi:type="xsd:double"&gt;-0.17110705&lt;/D&gt;&lt;D xsi:type="xsd:double"&gt;-4.627812&lt;/D&gt;&lt;D xsi:type="xsd:double"&gt;3.4403086&lt;/D&gt;&lt;D xsi:type="xsd:double"&gt;3.499627&lt;/D&gt;&lt;D xsi:type="xsd:double"&gt;-4.1726646&lt;/D&gt;&lt;D xsi:type="xsd:double"&gt;-1.4514446&lt;/D&gt;&lt;D xsi:type="xsd:double"&gt;-4.621637&lt;/D&gt;&lt;D xsi:type="xsd:double"&gt;13.20554&lt;/D&gt;&lt;D xsi:type="xsd:double"&gt;3.1984925&lt;/D&gt;&lt;D xsi:type="xsd:double"&gt;-8.135825&lt;/D&gt;&lt;D xsi:type="xsd:double"&gt;10.096752&lt;/D&gt;&lt;D xsi:type="xsd:double"&gt;3.4249663&lt;/D&gt;&lt;D xsi:type="xsd:double"&gt;1.5148282&lt;/D&gt;&lt;D xsi:type="xsd:double"&gt;-0.7461071&lt;/D&gt;&lt;D xsi:type="xsd:double"&gt;4.6429396&lt;/D&gt;&lt;D xsi:type="xsd:double"&gt;-0.8662641&lt;/D&gt;&lt;D xsi:type="xsd:double"&gt;3.3248067&lt;/D&gt;&lt;D xsi:type="xsd:double"&gt;2.4546146&lt;/D&gt;&lt;/FQL&gt;&lt;FQL&gt;&lt;Q&gt;EWN^FG_TOTAL_RETURNC(-5AY,0,AM)&lt;/Q&gt;&lt;R&gt;61&lt;/R&gt;&lt;C&gt;1&lt;/C&gt;&lt;D xsi:type="xsd:double"&gt;5.3890586&lt;/D&gt;&lt;D xsi:type="xsd:double"&gt;6.232941&lt;/D&gt;&lt;D xsi:type="xsd:double"&gt;7.0435762&lt;/D&gt;&lt;D xsi:type="xsd:double"&gt;-0.2860844&lt;/D&gt;&lt;D xsi:type="xsd:double"&gt;5.8927298&lt;/D&gt;&lt;D xsi:type="xsd:double"&gt;-0.6461084&lt;/D&gt;&lt;D xsi:type="xsd:double"&gt;5.033362&lt;/D&gt;&lt;D xsi:type="xsd:double"&gt;-3.1162083&lt;/D&gt;&lt;D xsi:type="xsd:double"&gt;5.8933377&lt;/D&gt;&lt;D xsi:type="xsd:double"&gt;3.5077453&lt;/D&gt;&lt;D xsi:type="xsd:double"&gt;-7.251036&lt;/D&gt;&lt;D xsi:type="xsd:double"&gt;7.1851373&lt;/D&gt;&lt;D xsi:type="xsd:double"&gt;-6.0940742&lt;/D&gt;&lt;D xsi:type="xsd:double"&gt;-0.034826994&lt;/D&gt;&lt;D xsi:type="xsd:double"&gt;-8.348608&lt;/D&gt;&lt;D xsi:type="xsd:double"&gt;-14.419013&lt;/D&gt;&lt;D xsi:type="xsd:double"&gt;4.8805833&lt;/D&gt;&lt;D xsi:type="xsd:double"&gt;-11.509907&lt;/D&gt;&lt;D xsi:type="xsd:double"&gt;3.491187&lt;/D&gt;&lt;D xsi:type="xsd:double"&gt;-7.256299&lt;/D&gt;&lt;D xsi:type="xsd:double"&gt;12.488926&lt;/D&gt;&lt;D xsi:type="xsd:double"&gt;-8.2939625&lt;/D&gt;&lt;D xsi:type="xsd:double"&gt;-14.081276&lt;/D&gt;&lt;D xsi:type="xsd:double"&gt;25.749493&lt;/D&gt;&lt;D xsi:type="xsd:double"&gt;3.0463576&lt;/D&gt;&lt;D xsi:type="xsd:double"&gt;6.5703154&lt;/D&gt;&lt;D xsi:type="xsd:double"&gt;0.9466052&lt;/D&gt;&lt;D xsi:type="xsd:double"&gt;-4.376054&lt;/D&gt;&lt;D xsi:type="xsd:double"&gt;6.1855674&lt;/D&gt;&lt;D xsi:type="xsd:double"&gt;-0.6393552&lt;/D&gt;&lt;D xsi:type="xsd:double"&gt;1.0601163&lt;/D&gt;&lt;D xsi:type="xsd:double"&gt;2.6111722&lt;/D&gt;&lt;D xsi:type="xsd:double"&gt;-0.4647851&lt;/D&gt;&lt;D xsi:type="xsd:double"&gt;-6.5374794&lt;/D&gt;&lt;D xsi:type="xsd:double"&gt;-3.4723938&lt;/D&gt;&lt;D xsi:type="xsd:double"&gt;3.80435&lt;/D&gt;&lt;D xsi:type="xsd:double"&gt;7.6788783&lt;/D&gt;&lt;D xsi:type="xsd:double"&gt;1.6875982&lt;/D&gt;&lt;D xsi:type="xsd:double"&gt;8.648777&lt;/D&gt;&lt;D xsi:type="xsd:double"&gt;2.34375&lt;/D&gt;&lt;D xsi:type="xsd:double"&gt;2.145648&lt;/D&gt;&lt;D xsi:type="xsd:double"&gt;2.302575&lt;/D&gt;&lt;D xsi:type="xsd:double"&gt;1.7071247&lt;/D&gt;&lt;D xsi:type="xsd:double"&gt;1.9827247&lt;/D&gt;&lt;D xsi:type="xsd:double"&gt;-7.949954&lt;/D&gt;&lt;D xsi:type="xsd:double"&gt;2.133&lt;/D&gt;&lt;D xsi:type="xsd:double"&gt;2.4979591&lt;/D&gt;&lt;D xsi:type="xsd:double"&gt;-8.389932&lt;/D&gt;&lt;D xsi:type="xsd:double"&gt;1.5918016&lt;/D&gt;&lt;D xsi:type="xsd:double"&gt;-3.3109426&lt;/D&gt;&lt;D xsi:type="xsd:double"&gt;5.7322025&lt;/D&gt;&lt;D xsi:type="xsd:double"&gt;1.2494683&lt;/D&gt;&lt;D xsi:type="xsd:double"&gt;-4.1832266&lt;/D&gt;&lt;D xsi:type="xsd:double"&gt;10.870993&lt;/D&gt;&lt;D xsi:type="xsd:double"&gt;7.0486307&lt;/D&gt;&lt;D xsi:type="xsd:double"&gt;1.4094949&lt;/D&gt;&lt;D xsi:type="xsd:double"&gt;-3.749311&lt;/D&gt;&lt;D xsi:type="xsd:double"&gt;3.990829&lt;/D&gt;&lt;D xsi:type="xsd:double"&gt;4.0029407&lt;/D&gt;&lt;D xsi:type="xsd:double"&gt;3.6899686&lt;/D&gt;&lt;D xsi:type="xsd:double"&gt;1.3110876&lt;/D&gt;&lt;/FQL&gt;&lt;FQL&gt;&lt;Q&gt;EWQ^FG_TOTAL_RETURNC(-5AY,0,AM)&lt;/Q&gt;&lt;R&gt;61&lt;/R&gt;&lt;C&gt;1&lt;/C&gt;&lt;D xsi:type="xsd:double"&gt;4.28077&lt;/D&gt;&lt;D xsi:type="xsd:double"&gt;2.8306723&lt;/D&gt;&lt;D xsi:type="xsd:double"&gt;0.265491&lt;/D&gt;&lt;D xsi:type="xsd:double"&gt;4.1776896&lt;/D&gt;&lt;D xsi:type="xsd:double"&gt;2.0050764&lt;/D&gt;&lt;D xsi:type="xsd:double"&gt;3.7929177&lt;/D&gt;&lt;D xsi:type="xsd:double"&gt;5.5134177&lt;/D&gt;&lt;D xsi:type="xsd:double"&gt;-3.093046&lt;/D&gt;&lt;D xsi:type="xsd:double"&gt;3.5083175&lt;/D&gt;&lt;D xsi:type="xsd:double"&gt;-1.5545368&lt;/D&gt;&lt;D xsi:type="xsd:double"&gt;-3.339374&lt;/D&gt;&lt;D xsi:type="xsd:double"&gt;6.8291306&lt;/D&gt;&lt;D xsi:type="xsd:double"&gt;-2.2060692&lt;/D&gt;&lt;D xsi:type="xsd:double"&gt;3.793776&lt;/D&gt;&lt;D xsi:type="xsd:double"&gt;-5.1776648&lt;/D&gt;&lt;D xsi:type="xsd:double"&gt;-12.981802&lt;/D&gt;&lt;D xsi:type="xsd:double"&gt;5.1676393&lt;/D&gt;&lt;D xsi:type="xsd:double"&gt;-7.3413253&lt;/D&gt;&lt;D xsi:type="xsd:double"&gt;1.714766&lt;/D&gt;&lt;D xsi:type="xsd:double"&gt;-7.188499&lt;/D&gt;&lt;D xsi:type="xsd:double"&gt;11.600685&lt;/D&gt;&lt;D xsi:type="xsd:double"&gt;-6.7242384&lt;/D&gt;&lt;D xsi:type="xsd:double"&gt;-10.515875&lt;/D&gt;&lt;D xsi:type="xsd:double"&gt;21.61863&lt;/D&gt;&lt;D xsi:type="xsd:double"&gt;2.218175&lt;/D&gt;&lt;D xsi:type="xsd:double"&gt;6.536269&lt;/D&gt;&lt;D xsi:type="xsd:double"&gt;1.9602418&lt;/D&gt;&lt;D xsi:type="xsd:double"&gt;-0.8239448&lt;/D&gt;&lt;D xsi:type="xsd:double"&gt;6.286347&lt;/D&gt;&lt;D xsi:type="xsd:double"&gt;1.4330387&lt;/D&gt;&lt;D xsi:type="xsd:double"&gt;-3.1742096&lt;/D&gt;&lt;D xsi:type="xsd:double"&gt;3.0919433&lt;/D&gt;&lt;D xsi:type="xsd:double"&gt;0.57879686&lt;/D&gt;&lt;D xsi:type="xsd:double"&gt;-2.7988493&lt;/D&gt;&lt;D xsi:type="xsd:double"&gt;-3.794402&lt;/D&gt;&lt;D xsi:type="xsd:double"&gt;0&lt;/D&gt;&lt;D xsi:type="xsd:double"&gt;7.3286653&lt;/D&gt;&lt;D xsi:type="xsd:double"&gt;0.46768188&lt;/D&gt;&lt;D xsi:type="xsd:double"&gt;1.4360309&lt;/D&gt;&lt;D xsi:type="xsd:double"&gt;5.585587&lt;/D&gt;&lt;D xsi:type="xsd:double"&gt;-1.633352&lt;/D&gt;&lt;D xsi:type="xsd:double"&gt;4.0892243&lt;/D&gt;&lt;D xsi:type="xsd:double"&gt;-4.084289&lt;/D&gt;&lt;D xsi:type="xsd:double"&gt;-0.9905994&lt;/D&gt;&lt;D xsi:type="xsd:double"&gt;-3.5146177&lt;/D&gt;&lt;D xsi:type="xsd:double"&gt;3.3235788&lt;/D&gt;&lt;D xsi:type="xsd:double"&gt;1.235199&lt;/D&gt;&lt;D xsi:type="xsd:double"&gt;-5.0076303&lt;/D&gt;&lt;D xsi:type="xsd:double"&gt;-0.9098232&lt;/D&gt;&lt;D xsi:type="xsd:double"&gt;-2.3263752&lt;/D&gt;&lt;D xsi:type="xsd:double"&gt;9.164333&lt;/D&gt;&lt;D xsi:type="xsd:double"&gt;4.848182&lt;/D&gt;&lt;D xsi:type="xsd:double"&gt;-5.159402&lt;/D&gt;&lt;D xsi:type="xsd:double"&gt;6.954062&lt;/D&gt;&lt;D xsi:type="xsd:double"&gt;3.430903&lt;/D&gt;&lt;D xsi:type="xsd:double"&gt;2.6641846&lt;/D&gt;&lt;D xsi:type="xsd:double"&gt;-2.148801&lt;/D&gt;&lt;D xsi:type="xsd:double"&gt;2.7863026&lt;/D&gt;&lt;D xsi:type="xsd:double"&gt;-0.551337&lt;/D&gt;&lt;D xsi:type="xsd:double"&gt;3.2801986&lt;/D&gt;&lt;D xsi:type="xsd:double"&gt;0.64862967&lt;/D&gt;&lt;/FQL&gt;&lt;FQL&gt;&lt;Q&gt;SPY^FG_TOTAL_RETURNC(-5AY,0,AM)&lt;/Q&gt;&lt;R&gt;61&lt;/R&gt;&lt;C&gt;1&lt;/C&gt;&lt;D xsi:type="xsd:double"&gt;2.6999712&lt;/D&gt;&lt;D xsi:type="xsd:double"&gt;3.8249373&lt;/D&gt;&lt;D xsi:type="xsd:double"&gt;3.1741023&lt;/D&gt;&lt;D xsi:type="xsd:double"&gt;0.72176456&lt;/D&gt;&lt;D xsi:type="xsd:double"&gt;4.906857&lt;/D&gt;&lt;D xsi:type="xsd:double"&gt;0.6610155&lt;/D&gt;&lt;D xsi:type="xsd:double"&gt;2.4383783&lt;/D&gt;&lt;D xsi:type="xsd:double"&gt;2.9822946&lt;/D&gt;&lt;D xsi:type="xsd:double"&gt;1.896584&lt;/D&gt;&lt;D xsi:type="xsd:double"&gt;0.3740549&lt;/D&gt;&lt;D xsi:type="xsd:double"&gt;-2.0976067&lt;/D&gt;&lt;D xsi:type="xsd:double"&gt;6.6898227&lt;/D&gt;&lt;D xsi:type="xsd:double"&gt;1.5028954&lt;/D&gt;&lt;D xsi:type="xsd:double"&gt;0.1447916&lt;/D&gt;&lt;D xsi:type="xsd:double"&gt;-6.235236&lt;/D&gt;&lt;D xsi:type="xsd:double"&gt;-4.6292486&lt;/D&gt;&lt;D xsi:type="xsd:double"&gt;5.047226&lt;/D&gt;&lt;D xsi:type="xsd:double"&gt;-10.7224045&lt;/D&gt;&lt;D xsi:type="xsd:double"&gt;-0.75111985&lt;/D&gt;&lt;D xsi:type="xsd:double"&gt;-1.0040879&lt;/D&gt;&lt;D xsi:type="xsd:double"&gt;9.306919&lt;/D&gt;&lt;D xsi:type="xsd:double"&gt;-3.188169&lt;/D&gt;&lt;D xsi:type="xsd:double"&gt;-11.652433&lt;/D&gt;&lt;D xsi:type="xsd:double"&gt;11.396551&lt;/D&gt;&lt;D xsi:type="xsd:double"&gt;-1.312393&lt;/D&gt;&lt;D xsi:type="xsd:double"&gt;1.0370016&lt;/D&gt;&lt;D xsi:type="xsd:double"&gt;3.1654596&lt;/D&gt;&lt;D xsi:type="xsd:double"&gt;-5.423486&lt;/D&gt;&lt;D xsi:type="xsd:double"&gt;6.579888&lt;/D&gt;&lt;D xsi:type="xsd:double"&gt;0.5882025&lt;/D&gt;&lt;D xsi:type="xsd:double"&gt;4.3117404&lt;/D&gt;&lt;D xsi:type="xsd:double"&gt;3.305316&lt;/D&gt;&lt;D xsi:type="xsd:double"&gt;0.72096586&lt;/D&gt;&lt;D xsi:type="xsd:double"&gt;0.6283045&lt;/D&gt;&lt;D xsi:type="xsd:double"&gt;-2.357453&lt;/D&gt;&lt;D xsi:type="xsd:double"&gt;0.9832144&lt;/D&gt;&lt;D xsi:type="xsd:double"&gt;4.8523664&lt;/D&gt;&lt;D xsi:type="xsd:double"&gt;3.5270452&lt;/D&gt;&lt;D xsi:type="xsd:double"&gt;5.2167535&lt;/D&gt;&lt;D xsi:type="xsd:double"&gt;2.011168&lt;/D&gt;&lt;D xsi:type="xsd:double"&gt;1.6312957&lt;/D&gt;&lt;D xsi:type="xsd:double"&gt;0.54826736&lt;/D&gt;&lt;D xsi:type="xsd:double"&gt;3.0930758&lt;/D&gt;&lt;D xsi:type="xsd:double"&gt;3.9720058&lt;/D&gt;&lt;D xsi:type="xsd:double"&gt;-4.221177&lt;/D&gt;&lt;D xsi:type="xsd:double"&gt;4.0207148&lt;/D&gt;&lt;D xsi:type="xsd:double"&gt;4.859197&lt;/D&gt;&lt;D xsi:type="xsd:double"&gt;3.3092856&lt;/D&gt;&lt;D xsi:type="xsd:double"&gt;1.4530063&lt;/D&gt;&lt;D xsi:type="xsd:double"&gt;-4.122072&lt;/D&gt;&lt;D xsi:type="xsd:double"&gt;4.2757034&lt;/D&gt;&lt;D xsi:type="xsd:double"&gt;-8.159458&lt;/D&gt;&lt;D xsi:type="xsd:double"&gt;-3.6650538&lt;/D&gt;&lt;D xsi:type="xsd:double"&gt;5.693531&lt;/D&gt;&lt;D xsi:type="xsd:double"&gt;6.5598726&lt;/D&gt;&lt;D xsi:type="xsd:double"&gt;4.008925&lt;/D&gt;&lt;D xsi:type="xsd:double"&gt;1.9723535&lt;/D&gt;&lt;D xsi:type="xsd:double"&gt;3.4139514&lt;/D&gt;&lt;D xsi:type="xsd:double"&gt;-0.42703748&lt;/D&gt;&lt;D xsi:type="xsd:double"&gt;4.590976&lt;/D&gt;&lt;D xsi:type="xsd:double"&gt;0.903368&lt;/D&gt;&lt;/FQL&gt;&lt;FQL&gt;&lt;Q&gt;QQQ^FG_TOTAL_RETURNC(-5AY,0,AM)&lt;/Q&gt;&lt;R&gt;61&lt;/R&gt;&lt;C&gt;1&lt;/C&gt;&lt;D xsi:type="xsd:double"&gt;4.1724205&lt;/D&gt;&lt;D xsi:type="xsd:double"&gt;4.353595&lt;/D&gt;&lt;D xsi:type="xsd:double"&gt;6.411803&lt;/D&gt;&lt;D xsi:type="xsd:double"&gt;-4.943502&lt;/D&gt;&lt;D xsi:type="xsd:double"&gt;6.1273932&lt;/D&gt;&lt;D xsi:type="xsd:double"&gt;-3.5003364&lt;/D&gt;&lt;D xsi:type="xsd:double"&gt;4.8968673&lt;/D&gt;&lt;D xsi:type="xsd:double"&gt;5.915487&lt;/D&gt;&lt;D xsi:type="xsd:double"&gt;1.4403939&lt;/D&gt;&lt;D xsi:type="xsd:double"&gt;2.8344393&lt;/D&gt;&lt;D xsi:type="xsd:double"&gt;-4.725128&lt;/D&gt;&lt;D xsi:type="xsd:double"&gt;8.984625&lt;/D&gt;&lt;D xsi:type="xsd:double"&gt;1.8996954&lt;/D&gt;&lt;D xsi:type="xsd:double"&gt;-2.937609&lt;/D&gt;&lt;D xsi:type="xsd:double"&gt;-10.046137&lt;/D&gt;&lt;D xsi:type="xsd:double"&gt;-6.5291286&lt;/D&gt;&lt;D xsi:type="xsd:double"&gt;5.2134156&lt;/D&gt;&lt;D xsi:type="xsd:double"&gt;-14.388811&lt;/D&gt;&lt;D xsi:type="xsd:double"&gt;-1.0279596&lt;/D&gt;&lt;D xsi:type="xsd:double"&gt;0.25701523&lt;/D&gt;&lt;D xsi:type="xsd:double"&gt;12.122881&lt;/D&gt;&lt;D xsi:type="xsd:double"&gt;-5.2425327&lt;/D&gt;&lt;D xsi:type="xsd:double"&gt;-14.286322&lt;/D&gt;&lt;D xsi:type="xsd:double"&gt;9.594667&lt;/D&gt;&lt;D xsi:type="xsd:double"&gt;-2.0558357&lt;/D&gt;&lt;D xsi:type="xsd:double"&gt;-1.3528764&lt;/D&gt;&lt;D xsi:type="xsd:double"&gt;7.9805493&lt;/D&gt;&lt;D xsi:type="xsd:double"&gt;-3.7203968&lt;/D&gt;&lt;D xsi:type="xsd:double"&gt;9.62311&lt;/D&gt;&lt;D xsi:type="xsd:double"&gt;3.2834172&lt;/D&gt;&lt;D xsi:type="xsd:double"&gt;8.675659&lt;/D&gt;&lt;D xsi:type="xsd:double"&gt;3.9987922&lt;/D&gt;&lt;D xsi:type="xsd:double"&gt;-0.52422285&lt;/D&gt;&lt;D xsi:type="xsd:double"&gt;2.929771&lt;/D&gt;&lt;D xsi:type="xsd:double"&gt;-1.3830304&lt;/D&gt;&lt;D xsi:type="xsd:double"&gt;1.9314766&lt;/D&gt;&lt;D xsi:type="xsd:double"&gt;4.527068&lt;/D&gt;&lt;D xsi:type="xsd:double"&gt;3.756559&lt;/D&gt;&lt;D xsi:type="xsd:double"&gt;6.76682&lt;/D&gt;&lt;D xsi:type="xsd:double"&gt;0.07779598&lt;/D&gt;&lt;D xsi:type="xsd:double"&gt;1.9579291&lt;/D&gt;&lt;D xsi:type="xsd:double"&gt;-0.74320436&lt;/D&gt;&lt;D xsi:type="xsd:double"&gt;5.8725&lt;/D&gt;&lt;D xsi:type="xsd:double"&gt;5.2776337&lt;/D&gt;&lt;D xsi:type="xsd:double"&gt;-8.44022&lt;/D&gt;&lt;D xsi:type="xsd:double"&gt;4.042983&lt;/D&gt;&lt;D xsi:type="xsd:double"&gt;5.42686&lt;/D&gt;&lt;D xsi:type="xsd:double"&gt;4.1511297&lt;/D&gt;&lt;D xsi:type="xsd:double"&gt;3.129375&lt;/D&gt;&lt;D xsi:type="xsd:double"&gt;-4.136544&lt;/D&gt;&lt;D xsi:type="xsd:double"&gt;4.101026&lt;/D&gt;&lt;D xsi:type="xsd:double"&gt;-10.680121&lt;/D&gt;&lt;D xsi:type="xsd:double"&gt;-3.5066068&lt;/D&gt;&lt;D xsi:type="xsd:double"&gt;7.387769&lt;/D&gt;&lt;D xsi:type="xsd:double"&gt;9.107113&lt;/D&gt;&lt;D xsi:type="xsd:double"&gt;4.2084575&lt;/D&gt;&lt;D xsi:type="xsd:double"&gt;3.3652067&lt;/D&gt;&lt;D xsi:type="xsd:double"&gt;1.9603848&lt;/D&gt;&lt;D xsi:type="xsd:double"&gt;1.0442615&lt;/D&gt;&lt;D xsi:type="xsd:double"&gt;5.4401994&lt;/D&gt;&lt;D xsi:type="xsd:double"&gt;0.64513683&lt;/D&gt;&lt;/FQL&gt;&lt;FQL&gt;&lt;Q&gt;EWU^FG_TOTAL_RETURNC(-5AY,0,AM)&lt;/Q&gt;&lt;R&gt;61&lt;/R&gt;&lt;C&gt;1&lt;/C&gt;&lt;D xsi:type="xsd:double"&gt;3.1974792&lt;/D&gt;&lt;D xsi:type="xsd:double"&gt;5.726075&lt;/D&gt;&lt;D xsi:type="xsd:double"&gt;-1.9218266&lt;/D&gt;&lt;D xsi:type="xsd:double"&gt;5.114579&lt;/D&gt;&lt;D xsi:type="xsd:double"&gt;1.4533997&lt;/D&gt;&lt;D xsi:type="xsd:double"&gt;4.048586&lt;/D&gt;&lt;D xsi:type="xsd:double"&gt;2.694106&lt;/D&gt;&lt;D xsi:type="xsd:double"&gt;-1.6893983&lt;/D&gt;&lt;D xsi:type="xsd:double"&gt;1.5676856&lt;/D&gt;&lt;D xsi:type="xsd:double"&gt;-2.8198183&lt;/D&gt;&lt;D xsi:type="xsd:double"&gt;0.12216568&lt;/D&gt;&lt;D xsi:type="xsd:double"&gt;2.3184896&lt;/D&gt;&lt;D xsi:type="xsd:double"&gt;-1.4311254&lt;/D&gt;&lt;D xsi:type="xsd:double"&gt;6.327176&lt;/D&gt;&lt;D xsi:type="xsd:double"&gt;0.7307768&lt;/D&gt;&lt;D xsi:type="xsd:double"&gt;-8.589667&lt;/D&gt;&lt;D xsi:type="xsd:double"&gt;7.4285746&lt;/D&gt;&lt;D xsi:type="xsd:double"&gt;-9.249413&lt;/D&gt;&lt;D xsi:type="xsd:double"&gt;2.399683&lt;/D&gt;&lt;D xsi:type="xsd:double"&gt;-5.60233&lt;/D&gt;&lt;D xsi:type="xsd:double"&gt;6.6895366&lt;/D&gt;&lt;D xsi:type="xsd:double"&gt;-5.7234764&lt;/D&gt;&lt;D xsi:type="xsd:double"&gt;-11.493855&lt;/D&gt;&lt;D xsi:type="xsd:double"&gt;15.105974&lt;/D&gt;&lt;D xsi:type="xsd:double"&gt;5.490458&lt;/D&gt;&lt;D xsi:type="xsd:double"&gt;3.0746102&lt;/D&gt;&lt;D xsi:type="xsd:double"&gt;1.1562467&lt;/D&gt;&lt;D xsi:type="xsd:double"&gt;-2.4714231&lt;/D&gt;&lt;D xsi:type="xsd:double"&gt;5.0047517&lt;/D&gt;&lt;D xsi:type="xsd:double"&gt;0.4524827&lt;/D&gt;&lt;D xsi:type="xsd:double"&gt;-1.5473723&lt;/D&gt;&lt;D xsi:type="xsd:double"&gt;-1.243782&lt;/D&gt;&lt;D xsi:type="xsd:double"&gt;2.3299694&lt;/D&gt;&lt;D xsi:type="xsd:double"&gt;-1.5384614&lt;/D&gt;&lt;D xsi:type="xsd:double"&gt;0.5312443&lt;/D&gt;&lt;D xsi:type="xsd:double"&gt;-3.5125792&lt;/D&gt;&lt;D xsi:type="xsd:double"&gt;4.896903&lt;/D&gt;&lt;D xsi:type="xsd:double"&gt;2.5849342&lt;/D&gt;&lt;D xsi:type="xsd:double"&gt;-1.2251198&lt;/D&gt;&lt;D xsi:type="xsd:double"&gt;3.5348772999999998&lt;/D&gt;&lt;D xsi:type="xsd:double"&gt;2.0964384&lt;/D&gt;&lt;D xsi:type="xsd:double"&gt;6.042826&lt;/D&gt;&lt;D xsi:type="xsd:double"&gt;-1.6235948&lt;/D&gt;&lt;D xsi:type="xsd:double"&gt;2.5802732&lt;/D&gt;&lt;D xsi:type="xsd:double"&gt;-1.0620356&lt;/D&gt;&lt;D xsi:type="xsd:double"&gt;3.4745693&lt;/D&gt;&lt;D xsi:type="xsd:double"&gt;-0.21840334&lt;/D&gt;&lt;D xsi:type="xsd:double"&gt;-3.44733&lt;/D&gt;&lt;D xsi:type="xsd:double"&gt;1.926887&lt;/D&gt;&lt;D xsi:type="xsd:double"&gt;-4.9402714&lt;/D&gt;&lt;D xsi:type="xsd:double"&gt;8.868313&lt;/D&gt;&lt;D xsi:type="xsd:double"&gt;1.3713717&lt;/D&gt;&lt;D xsi:type="xsd:double"&gt;-3.7608206&lt;/D&gt;&lt;D xsi:type="xsd:double"&gt;7.6468945&lt;/D&gt;&lt;D xsi:type="xsd:double"&gt;5.5366874&lt;/D&gt;&lt;D xsi:type="xsd:double"&gt;0.80963373&lt;/D&gt;&lt;D xsi:type="xsd:double"&gt;1.8036127&lt;/D&gt;&lt;D xsi:type="xsd:double"&gt;3.81397&lt;/D&gt;&lt;D xsi:type="xsd:double"&gt;-1.090306&lt;/D&gt;&lt;D xsi:type="xsd:double"&gt;4.6010137&lt;/D&gt;&lt;D xsi:type="xsd:double"&gt;0&lt;/D&gt;&lt;/FQL&gt;&lt;FQL&gt;&lt;Q&gt;EWL^FG_TOTAL_RETURNC(-5AY,0,AM)&lt;/Q&gt;&lt;R&gt;61&lt;/R&gt;&lt;C&gt;1&lt;/C&gt;&lt;D xsi:type="xsd:double"&gt;2.2791266&lt;/D&gt;&lt;D xsi:type="xsd:double"&gt;3.9366722&lt;/D&gt;&lt;D xsi:type="xsd:double"&gt;0.3538251&lt;/D&gt;&lt;D xsi:type="xsd:double"&gt;-2.6002645&lt;/D&gt;&lt;D xsi:type="xsd:double"&gt;4.5701385&lt;/D&gt;&lt;D xsi:type="xsd:double"&gt;0.8005142&lt;/D&gt;&lt;D xsi:type="xsd:double"&gt;8.511686&lt;/D&gt;&lt;D xsi:type="xsd:double"&gt;-0.72522163&lt;/D&gt;&lt;D xsi:type="xsd:double"&gt;2.2524357&lt;/D&gt;&lt;D xsi:type="xsd:double"&gt;-1.9845188&lt;/D&gt;&lt;D xsi:type="xsd:double"&gt;-4.2113724&lt;/D&gt;&lt;D xsi:type="xsd:double"&gt;7.2711825&lt;/D&gt;&lt;D xsi:type="xsd:double"&gt;0.9655237&lt;/D&gt;&lt;D xsi:type="xsd:double"&gt;0.33177137&lt;/D&gt;&lt;D xsi:type="xsd:double"&gt;-5.3686023&lt;/D&gt;&lt;D xsi:type="xsd:double"&gt;-7.173693&lt;/D&gt;&lt;D xsi:type="xsd:double"&gt;10.540295&lt;/D&gt;&lt;D xsi:type="xsd:double"&gt;-13.541662&lt;/D&gt;&lt;D xsi:type="xsd:double"&gt;-2.759111&lt;/D&gt;&lt;D xsi:type="xsd:double"&gt;0.1701951&lt;/D&gt;&lt;D xsi:type="xsd:double"&gt;6.2864065&lt;/D&gt;&lt;D xsi:type="xsd:double"&gt;-4.841292&lt;/D&gt;&lt;D xsi:type="xsd:double"&gt;-11.231094&lt;/D&gt;&lt;D xsi:type="xsd:double"&gt;17.085695&lt;/D&gt;&lt;D xsi:type="xsd:double"&gt;-1.223743&lt;/D&gt;&lt;D xsi:type="xsd:double"&gt;3.5296917&lt;/D&gt;&lt;D xsi:type="xsd:double"&gt;0.09031296&lt;/D&gt;&lt;D xsi:type="xsd:double"&gt;-3.3386052&lt;/D&gt;&lt;D xsi:type="xsd:double"&gt;8.238041&lt;/D&gt;&lt;D xsi:type="xsd:double"&gt;4.3984413&lt;/D&gt;&lt;D xsi:type="xsd:double"&gt;-3.5620213&lt;/D&gt;&lt;D xsi:type="xsd:double"&gt;0.26276112&lt;/D&gt;&lt;D xsi:type="xsd:double"&gt;1.5505552&lt;/D&gt;&lt;D xsi:type="xsd:double"&gt;-2.5591373&lt;/D&gt;&lt;D xsi:type="xsd:double"&gt;-1.5007734&lt;/D&gt;&lt;D xsi:type="xsd:double"&gt;-3.495407&lt;/D&gt;&lt;D xsi:type="xsd:double"&gt;7.0582747&lt;/D&gt;&lt;D xsi:type="xsd:double"&gt;3.4265876&lt;/D&gt;&lt;D xsi:type="xsd:double"&gt;-2.746904&lt;/D&gt;&lt;D xsi:type="xsd:double"&gt;4.484689&lt;/D&gt;&lt;D xsi:type="xsd:double"&gt;-4.416013&lt;/D&gt;&lt;D xsi:type="xsd:double"&gt;3.4974098&lt;/D&gt;&lt;D xsi:type="xsd:double"&gt;3.2690644&lt;/D&gt;&lt;D xsi:type="xsd:double"&gt;1.670444&lt;/D&gt;&lt;D xsi:type="xsd:double"&gt;0.95335245&lt;/D&gt;&lt;D xsi:type="xsd:double"&gt;1.8886805&lt;/D&gt;&lt;D xsi:type="xsd:double"&gt;1.498723&lt;/D&gt;&lt;D xsi:type="xsd:double"&gt;-5.4983497&lt;/D&gt;&lt;D xsi:type="xsd:double"&gt;-1.9942462&lt;/D&gt;&lt;D xsi:type="xsd:double"&gt;-2.643168&lt;/D&gt;&lt;D xsi:type="xsd:double"&gt;7.843137&lt;/D&gt;&lt;D xsi:type="xsd:double"&gt;3.6363602&lt;/D&gt;&lt;D xsi:type="xsd:double"&gt;-1.5808761&lt;/D&gt;&lt;D xsi:type="xsd:double"&gt;4.9559355&lt;/D&gt;&lt;D xsi:type="xsd:double"&gt;3.4527779&lt;/D&gt;&lt;D xsi:type="xsd:double"&gt;0.5610585&lt;/D&gt;&lt;D xsi:type="xsd:double"&gt;-2.742231&lt;/D&gt;&lt;D xsi:type="xsd:double"&gt;5.4887176&lt;/D&gt;&lt;D xsi:type="xsd:double"&gt;-0.035637617&lt;/D&gt;&lt;D xsi:type="xsd:double"&gt;2.7985692&lt;/D&gt;&lt;D xsi:type="xsd:double"&gt;1.4218926&lt;/D&gt;&lt;/FQL&gt;&lt;FQL&gt;&lt;Q&gt;EWJ^FG_TOTAL_RETURNC(-5AY,0,AM)&lt;/Q&gt;&lt;R&gt;61&lt;/R&gt;&lt;C&gt;1&lt;/C&gt;&lt;D xsi:type="xsd:double"&gt;3.9073467&lt;/D&gt;&lt;D xsi:type="xsd:double"&gt;4.486692&lt;/D&gt;&lt;D xsi:type="xsd:double"&gt;3.5984874&lt;/D&gt;&lt;D xsi:type="xsd:double"&gt;-4.317254&lt;/D&gt;&lt;D xsi:type="xsd:double"&gt;2.3956418&lt;/D&gt;&lt;D xsi:type="xsd:double"&gt;-2.7558446&lt;/D&gt;&lt;D xsi:type="xsd:double"&gt;2.414143&lt;/D&gt;&lt;D xsi:type="xsd:double"&gt;-0.65330863&lt;/D&gt;&lt;D xsi:type="xsd:double"&gt;0.3361106&lt;/D&gt;&lt;D xsi:type="xsd:double"&gt;6.0442686&lt;/D&gt;&lt;D xsi:type="xsd:double"&gt;-6.3864765&lt;/D&gt;&lt;D xsi:type="xsd:double"&gt;1.3497591&lt;/D&gt;&lt;D xsi:type="xsd:double"&gt;-0.94094276&lt;/D&gt;&lt;D xsi:type="xsd:double"&gt;-0.74530244&lt;/D&gt;&lt;D xsi:type="xsd:double"&gt;-4.580039&lt;/D&gt;&lt;D xsi:type="xsd:double"&gt;-8.474046&lt;/D&gt;&lt;D xsi:type="xsd:double"&gt;-0.068330765&lt;/D&gt;&lt;D xsi:type="xsd:double"&gt;-6.71795&lt;/D&gt;&lt;D xsi:type="xsd:double"&gt;1.3854146&lt;/D&gt;&lt;D xsi:type="xsd:double"&gt;-3.285271&lt;/D&gt;&lt;D xsi:type="xsd:double"&gt;6.2275887&lt;/D&gt;&lt;D xsi:type="xsd:double"&gt;-5.720377&lt;/D&gt;&lt;D xsi:type="xsd:double"&gt;-7.480687&lt;/D&gt;&lt;D xsi:type="xsd:double"&gt;11.894094&lt;/D&gt;&lt;D xsi:type="xsd:double"&gt;0.5824566&lt;/D&gt;&lt;D xsi:type="xsd:double"&gt;0.11343956&lt;/D&gt;&lt;D xsi:type="xsd:double"&gt;5.2898526&lt;/D&gt;&lt;D xsi:type="xsd:double"&gt;-2.3055732&lt;/D&gt;&lt;D xsi:type="xsd:double"&gt;1.9373059&lt;/D&gt;&lt;D xsi:type="xsd:double"&gt;3.5072565&lt;/D&gt;&lt;D xsi:type="xsd:double"&gt;4.5889735&lt;/D&gt;&lt;D xsi:type="xsd:double"&gt;-0.6428838&lt;/D&gt;&lt;D xsi:type="xsd:double"&gt;-0.7279217&lt;/D&gt;&lt;D xsi:type="xsd:double"&gt;1.5479922&lt;/D&gt;&lt;D xsi:type="xsd:double"&gt;-3.4338892&lt;/D&gt;&lt;D xsi:type="xsd:double"&gt;0.48189163&lt;/D&gt;&lt;D xsi:type="xsd:double"&gt;4.415405&lt;/D&gt;&lt;D xsi:type="xsd:double"&gt;5.681741&lt;/D&gt;&lt;D xsi:type="xsd:double"&gt;1.2613893&lt;/D&gt;&lt;D xsi:type="xsd:double"&gt;4.45745&lt;/D&gt;&lt;D xsi:type="xsd:double"&gt;0.56034327&lt;/D&gt;&lt;D xsi:type="xsd:double"&gt;-2.914703&lt;/D&gt;&lt;D xsi:ty</t>
        </r>
      </text>
    </comment>
    <comment ref="A9" authorId="0" shapeId="0" xr:uid="{6DB411D9-FEB3-45B0-8392-8804754BD40E}">
      <text>
        <r>
          <rPr>
            <b/>
            <sz val="9"/>
            <color indexed="81"/>
            <rFont val="Tahoma"/>
            <charset val="1"/>
          </rPr>
          <t>pe="xsd:double"&gt;0.910449&lt;/D&gt;&lt;D xsi:type="xsd:double"&gt;4.334414&lt;/D&gt;&lt;D xsi:type="xsd:double"&gt;-7.942539&lt;/D&gt;&lt;D xsi:type="xsd:double"&gt;6.409657&lt;/D&gt;&lt;D xsi:type="xsd:double"&gt;2.142048&lt;/D&gt;&lt;D xsi:type="xsd:double"&gt;-2.0408213&lt;/D&gt;&lt;D xsi:type="xsd:double"&gt;2.1120667&lt;/D&gt;&lt;D xsi:type="xsd:double"&gt;-6.7636786&lt;/D&gt;&lt;D xsi:type="xsd:double"&gt;5.3648114&lt;/D&gt;&lt;D xsi:type="xsd:double"&gt;-0.6982744&lt;/D&gt;&lt;D xsi:type="xsd:double"&gt;-3.574574&lt;/D&gt;&lt;D xsi:type="xsd:double"&gt;9.404445&lt;/D&gt;&lt;D xsi:type="xsd:double"&gt;2.3052335&lt;/D&gt;&lt;D xsi:type="xsd:double"&gt;-0.9844005&lt;/D&gt;&lt;D xsi:type="xsd:double"&gt;7.5041413&lt;/D&gt;&lt;D xsi:type="xsd:double"&gt;4.5378566&lt;/D&gt;&lt;D xsi:type="xsd:double"&gt;-3.6399424&lt;/D&gt;&lt;D xsi:type="xsd:double"&gt;6.878507&lt;/D&gt;&lt;D xsi:type="xsd:double"&gt;0.56118965&lt;/D&gt;&lt;/FQL&gt;&lt;FQL&gt;&lt;Q&gt;EWG^FG_TOTAL_RETURNC(-5AY,0,AM)&lt;/Q&gt;&lt;R&gt;61&lt;/R&gt;&lt;C&gt;1&lt;/C&gt;&lt;D xsi:type="xsd:double"&gt;3.206408&lt;/D&gt;&lt;D xsi:type="xsd:double"&gt;6.077087&lt;/D&gt;&lt;D xsi:type="xsd:double"&gt;1.6064286&lt;/D&gt;&lt;D xsi:type="xsd:double"&gt;1.1857748&lt;/D&gt;&lt;D xsi:type="xsd:double"&gt;3.9663434&lt;/D&gt;&lt;D xsi:type="xsd:double"&gt;0.23121834&lt;/D&gt;&lt;D xsi:type="xsd:double"&gt;4.455662&lt;/D&gt;&lt;D xsi:type="xsd:double"&gt;-1.965189&lt;/D&gt;&lt;D xsi:type="xsd:double"&gt;-0.114536285&lt;/D&gt;&lt;D xsi:type="xsd:double"&gt;-1.1467934&lt;/D&gt;&lt;D xsi:type="xsd:double"&gt;-5.7424603&lt;/D&gt;&lt;D xsi:type="xsd:double"&gt;4.8615456&lt;/D&gt;&lt;D xsi:type="xsd:double"&gt;-4.107988&lt;/D&gt;&lt;D xsi:type="xsd:double"&gt;2.6553154&lt;/D&gt;&lt;D xsi:type="xsd:double"&gt;-5.0811768&lt;/D&gt;&lt;D xsi:type="xsd:double"&gt;-15.394365&lt;/D&gt;&lt;D xsi:type="xsd:double"&gt;2.358675&lt;/D&gt;&lt;D xsi:type="xsd:double"&gt;-7.681054&lt;/D&gt;&lt;D xsi:type="xsd:double"&gt;1.4173985&lt;/D&gt;&lt;D xsi:type="xsd:double"&gt;-11.35723&lt;/D&gt;&lt;D xsi:type="xsd:double"&gt;8.995914&lt;/D&gt;&lt;D xsi:type="xsd:double"&gt;-6.5443935&lt;/D&gt;&lt;D xsi:type="xsd:double"&gt;-11.864406&lt;/D&gt;&lt;D xsi:type="xsd:double"&gt;25.657892&lt;/D&gt;&lt;D xsi:type="xsd:double"&gt;1.7317772&lt;/D&gt;&lt;D xsi:type="xsd:double"&gt;8.151924&lt;/D&gt;&lt;D xsi:type="xsd:double"&gt;1.6843677&lt;/D&gt;&lt;D xsi:type="xsd:double"&gt;-1.6924798&lt;/D&gt;&lt;D xsi:type="xsd:double"&gt;4.9450517&lt;/D&gt;&lt;D xsi:type="xsd:double"&gt;1.082027&lt;/D&gt;&lt;D xsi:type="xsd:double"&gt;-1.511538&lt;/D&gt;&lt;D xsi:type="xsd:double"&gt;1.5489936&lt;/D&gt;&lt;D xsi:type="xsd:double"&gt;-0.28378963&lt;/D&gt;&lt;D xsi:type="xsd:double"&gt;-2.3834944&lt;/D&gt;&lt;D xsi:type="xsd:double"&gt;-3.6807597&lt;/D&gt;&lt;D xsi:type="xsd:double"&gt;-0.34052134&lt;/D&gt;&lt;D xsi:type="xsd:double"&gt;10.250568&lt;/D&gt;&lt;D xsi:type="xsd:double"&gt;0.521791&lt;/D&gt;&lt;D xsi:type="xsd:double"&gt;0.27406216&lt;/D&gt;&lt;D xsi:type="xsd:double"&gt;6.012988&lt;/D&gt;&lt;D xsi:type="xsd:double"&gt;-0.5800843&lt;/D&gt;&lt;D xsi:type="xsd:double"&gt;4.31118&lt;/D&gt;&lt;D xsi:type="xsd:double"&gt;-2.0867705&lt;/D&gt;&lt;D xsi:type="xsd:double"&gt;2.21138&lt;/D&gt;&lt;D xsi:type="xsd:double"&gt;-4.040724&lt;/D&gt;&lt;D xsi:type="xsd:double"&gt;5.4708242&lt;/D&gt;&lt;D xsi:type="xsd:double"&gt;4.3382525&lt;/D&gt;&lt;D xsi:type="xsd:double"&gt;-2.8622985&lt;/D&gt;&lt;D xsi:type="xsd:double"&gt;2.9156327&lt;/D&gt;&lt;D xsi:type="xsd:double"&gt;-3.4659505&lt;/D&gt;&lt;D xsi:type="xsd:double"&gt;10.5214&lt;/D&gt;&lt;D xsi:type="xsd:double"&gt;6.610167&lt;/D&gt;&lt;D xsi:type="xsd:double"&gt;-3.6301076&lt;/D&gt;&lt;D xsi:type="xsd:double"&gt;12.097883&lt;/D&gt;&lt;D xsi:type="xsd:double"&gt;3.2867312&lt;/D&gt;&lt;D xsi:type="xsd:double"&gt;2.4723768&lt;/D&gt;&lt;D xsi:type="xsd:double"&gt;-1.201421&lt;/D&gt;&lt;D xsi:type="xsd:double"&gt;-1.3113976&lt;/D&gt;&lt;D xsi:type="xsd:double"&gt;0.31409264&lt;/D&gt;&lt;D xsi:type="xsd:double"&gt;-0.69845915&lt;/D&gt;&lt;D xsi:type="xsd:double"&gt;2.8134823&lt;/D&gt;&lt;/FQL&gt;&lt;FQL&gt;&lt;Q&gt;EWC^FG_TOTAL_RETURNC(-5AY,0,AM)&lt;/Q&gt;&lt;R&gt;61&lt;/R&gt;&lt;C&gt;1&lt;/C&gt;&lt;D xsi:type="xsd:double"&gt;7.932687&lt;/D&gt;&lt;D xsi:type="xsd:double"&gt;2.3790598&lt;/D&gt;&lt;D xsi:type="xsd:double"&gt;3.1780958&lt;/D&gt;&lt;D xsi:type="xsd:double"&gt;4.574561&lt;/D&gt;&lt;D xsi:type="xsd:double"&gt;2.274716&lt;/D&gt;&lt;D xsi:type="xsd:double"&gt;4.3341875&lt;/D&gt;&lt;D xsi:type="xsd:double"&gt;3.9977908&lt;/D&gt;&lt;D xsi:type="xsd:double"&gt;-1.4807045&lt;/D&gt;&lt;D xsi:type="xsd:double"&gt;1.476121&lt;/D&gt;&lt;D xsi:type="xsd:double"&gt;-1.5075386&lt;/D&gt;&lt;D xsi:type="xsd:double"&gt;0.9935498&lt;/D&gt;&lt;D xsi:type="xsd:double"&gt;4.918897&lt;/D&gt;&lt;D xsi:type="xsd:double"&gt;-3.6239266&lt;/D&gt;&lt;D xsi:type="xsd:double"&gt;3.5051465&lt;/D&gt;&lt;D xsi:type="xsd:double"&gt;-0.05146861&lt;/D&gt;&lt;D xsi:type="xsd:double"&gt;-0.82389116&lt;/D&gt;&lt;D xsi:type="xsd:double"&gt;2.7258515&lt;/D&gt;&lt;D xsi:type="xsd:double"&gt;-11.068994&lt;/D&gt;&lt;D xsi:type="xsd:double"&gt;3.7228465&lt;/D&gt;&lt;D xsi:type="xsd:double"&gt;-8.170021&lt;/D&gt;&lt;D xsi:type="xsd:double"&gt;7.8749537&lt;/D&gt;&lt;D xsi:type="xsd:double"&gt;-2.7862906&lt;/D&gt;&lt;D xsi:type="xsd:double"&gt;-12.754369&lt;/D&gt;&lt;D xsi:type="xsd:double"&gt;15.111696&lt;/D&gt;&lt;D xsi:type="xsd:double"&gt;-3.3961236&lt;/D&gt;&lt;D xsi:type="xsd:double"&gt;2.6560307&lt;/D&gt;&lt;D xsi:type="xsd:double"&gt;3.6204457&lt;/D&gt;&lt;D xsi:type="xsd:double"&gt;-7.382369&lt;/D&gt;&lt;D xsi:type="xsd:double"&gt;6.1454177&lt;/D&gt;&lt;D xsi:type="xsd:double"&gt;0.14330149&lt;/D&gt;&lt;D xsi:type="xsd:double"&gt;-1.4152884&lt;/D&gt;&lt;D xsi:type="xsd:double"&gt;1.0264039&lt;/D&gt;&lt;D xsi:type="xsd:double"&gt;1.4804006&lt;/D&gt;&lt;D xsi:type="xsd:double"&gt;-1.6876459&lt;/D&gt;&lt;D xsi:type="xsd:double"&gt;-2.065754&lt;/D&gt;&lt;D xsi:type="xsd:double"&gt;-1.0992229&lt;/D&gt;&lt;D xsi:type="xsd:double"&gt;5.5271864&lt;/D&gt;&lt;D xsi:type="xsd:double"&gt;4.62296&lt;/D&gt;&lt;D xsi:type="xsd:double"&gt;0.22063255&lt;/D&gt;&lt;D xsi:type="xsd:double"&gt;3.7974715&lt;/D&gt;&lt;D xsi:type="xsd:double"&gt;0.10603666&lt;/D&gt;&lt;D xsi:type="xsd:double"&gt;1.1387706&lt;/D&gt;&lt;D xsi:type="xsd:double"&gt;-2.4894297&lt;/D&gt;&lt;D xsi:type="xsd:double"&gt;4.039037&lt;/D&gt;&lt;D xsi:type="xsd:double"&gt;-1.4330387&lt;/D&gt;&lt;D xsi:type="xsd:double"&gt;5.8683515&lt;/D&gt;&lt;D xsi:type="xsd:double"&gt;3.8701653&lt;/D&gt;&lt;D xsi:type="xsd:double"&gt;0.649035&lt;/D&gt;&lt;D xsi:type="xsd:double"&gt;2.1256208&lt;/D&gt;&lt;D xsi:type="xsd:double"&gt;-5.151725&lt;/D&gt;&lt;D xsi:type="xsd:double"&gt;5.122435&lt;/D&gt;&lt;D xsi:type="xsd:double"&gt;-6.156409&lt;/D&gt;&lt;D xsi:type="xsd:double"&gt;0.9878397&lt;/D&gt;&lt;D xsi:type="xsd:double"&gt;7.4742913&lt;/D&gt;&lt;D xsi:type="xsd:double"&gt;6.5577626&lt;/D&gt;&lt;D xsi:type="xsd:double"&gt;1.7048001&lt;/D&gt;&lt;D xsi:type="xsd:double"&gt;2.4929523&lt;/D&gt;&lt;D xsi:type="xsd:double"&gt;5.583751&lt;/D&gt;&lt;D xsi:type="xsd:double"&gt;-0.120186806&lt;/D&gt;&lt;D xsi:type="xsd:double"&gt;2.3666263&lt;/D&gt;&lt;D xsi:type="xsd:double"&gt;5.9561133&lt;/D&gt;&lt;/FQL&gt;&lt;FQL&gt;&lt;Q&gt;EWA^FG_TOTAL_RETURNC(-5AY,0,AM)&lt;/Q&gt;&lt;R&gt;61&lt;/R&gt;&lt;C&gt;1&lt;/C&gt;&lt;D xsi:type="xsd:double"&gt;6.35916&lt;/D&gt;&lt;D xsi:type="xsd:double"&gt;3.6936045&lt;/D&gt;&lt;D xsi:type="xsd:double"&gt;2.7846098&lt;/D&gt;&lt;D xsi:type="xsd:double"&gt;0.35856962&lt;/D&gt;&lt;D xsi:type="xsd:double"&gt;1.3100386&lt;/D&gt;&lt;D xsi:type="xsd:double"&gt;4.2319775&lt;/D&gt;&lt;D xsi:type="xsd:double"&gt;2.8803945&lt;/D&gt;&lt;D xsi:type="xsd:double"&gt;-3.2234132&lt;/D&gt;&lt;D xsi:type="xsd:double"&gt;1.4931083&lt;/D&gt;&lt;D xsi:type="xsd:double"&gt;-2.6782393&lt;/D&gt;&lt;D xsi:type="xsd:double"&gt;-1.2015462&lt;/D&gt;&lt;D xsi:type="xsd:double"&gt;1.3730884&lt;/D&gt;&lt;D xsi:type="xsd:double"&gt;-2.3219824&lt;/D&gt;&lt;D xsi:type="xsd:double"&gt;1.591289&lt;/D&gt;&lt;D xsi:type="xsd:double"&gt;-4.365402&lt;/D&gt;&lt;D xsi:type="xsd:double"&gt;3.0431032&lt;/D&gt;&lt;D xsi:type="xsd:double"&gt;7.7112436&lt;/D&gt;&lt;D xsi:type="xsd:double"&gt;-11.500382&lt;/D&gt;&lt;D xsi:type="xsd:double"&gt;-0.58938265&lt;/D&gt;&lt;D xsi:type="xsd:double"&gt;-7.2832823&lt;/D&gt;&lt;D xsi:type="xsd:double"&gt;11.036146&lt;/D&gt;&lt;D xsi:type="xsd:double"&gt;-2.9947937&lt;/D&gt;&lt;D xsi:type="xsd:double"&gt;-12.214762&lt;/D&gt;&lt;D xsi:type="xsd:double"&gt;16.207945&lt;/D&gt;&lt;D xsi:type="xsd:double"&gt;1.622808&lt;/D&gt;&lt;D xsi:type="xsd:double"&gt;2.697444&lt;/D&gt;&lt;D xsi:type="xsd:double"&gt;3.4674644&lt;/D&gt;&lt;D xsi:type="xsd:double"&gt;-7.9437313&lt;/D&gt;&lt;D xsi:type="xsd:double"&gt;4.494381&lt;/D&gt;&lt;D xsi:type="xsd:double"&gt;-1.1612952&lt;/D&gt;&lt;D xsi:type="xsd:double"&gt;-0.8588135&lt;/D&gt;&lt;D xsi:type="xsd:double"&gt;-0.2683401&lt;/D&gt;&lt;D xsi:type="xsd:double"&gt;-0.22421479&lt;/D&gt;&lt;D xsi:type="xsd:double"&gt;-0.89887977&lt;/D&gt;&lt;D xsi:type="xsd:double"&gt;-1.4512479&lt;/D&gt;&lt;D xsi:type="xsd:double"&gt;-1.6106784&lt;/D&gt;&lt;D xsi:type="xsd:double"&gt;6.6884995&lt;/D&gt;&lt;D xsi:type="xsd:double"&gt;5.8635473&lt;/D&gt;&lt;D xsi:type="xsd:double"&gt;-0.042265654&lt;/D&gt;&lt;D xsi:type="xsd:double"&gt;3.2135367&lt;/D&gt;&lt;D xsi:type="xsd:double"&gt;-0.24579763&lt;/D&gt;&lt;D xsi:type="xsd:double"&gt;0.5338788&lt;/D&gt;&lt;D xsi:type="xsd:double"&gt;0.1578331&lt;/D&gt;&lt;D xsi:type="xsd:double"&gt;5.0311923&lt;/D&gt;&lt;D xsi:type="xsd:double"&gt;-3.840059&lt;/D&gt;&lt;D xsi:type="xsd:double"&gt;5.4343343&lt;/D&gt;&lt;D xsi:type="xsd:double"&gt;3.4752011&lt;/D&gt;&lt;D xsi:type="xsd:double"&gt;-2.150941&lt;/D&gt;&lt;D xsi:type="xsd:double"&gt;-1.1569679&lt;/D&gt;&lt;D xsi:type="xsd:double"&gt;-5.541033&lt;/D&gt;&lt;D xsi:type="xsd:double"&gt;5.165899&lt;/D&gt;&lt;D xsi:type="xsd:double"&gt;-6.869012&lt;/D&gt;&lt;D xsi:type="xsd:double"&gt;-2.3584902&lt;/D&gt;&lt;D xsi:type="xsd:double"&gt;9.837508&lt;/D&gt;&lt;D xsi:type="xsd:double"&gt;6.3574553&lt;/D&gt;&lt;D xsi:type="xsd:double"&gt;0.6069541&lt;/D&gt;&lt;D xsi:type="xsd:double"&gt;1.1001468&lt;/D&gt;&lt;D xsi:type="xsd:double"&gt;2.8517842&lt;/D&gt;&lt;D xsi:type="xsd:double"&gt;-3.538853&lt;/D&gt;&lt;D xsi:type="xsd:double"&gt;0.7186055&lt;/D&gt;&lt;D xsi:type="xsd:double"&gt;0.037550926&lt;/D&gt;&lt;/FQL&gt;&lt;FQL&gt;&lt;Q&gt;ENZL^FG_TOTAL_RETURNC(-5AY,0,AM)&lt;/Q&gt;&lt;R&gt;61&lt;/R&gt;&lt;C&gt;1&lt;/C&gt;&lt;D xsi:type="xsd:double"&gt;3.908646&lt;/D&gt;&lt;D xsi:type="xsd:double"&gt;2.0949244&lt;/D&gt;&lt;D xsi:type="xsd:double"&gt;-3.032732&lt;/D&gt;&lt;D xsi:type="xsd:double"&gt;-4.273123&lt;/D&gt;&lt;D xsi:type="xsd:double"&gt;-0.6613076&lt;/D&gt;&lt;D xsi:type="xsd:double"&gt;1.8227935&lt;/D&gt;&lt;D xsi:type="xsd:double"&gt;-2.519226&lt;/D&gt;&lt;D xsi:type="xsd:double"&gt;-0.12891293&lt;/D&gt;&lt;D xsi:type="xsd:double"&gt;-0.46789646&lt;/D&gt;&lt;D xsi:type="xsd:double"&gt;2.7232885&lt;/D&gt;&lt;D xsi:type="xsd:double"&gt;-3.0298233&lt;/D&gt;&lt;D xsi:type="xsd:double"&gt;1.0740399&lt;/D&gt;&lt;D xsi:type="xsd:double"&gt;-5.0635996&lt;/D&gt;&lt;D xsi:type="xsd:double"&gt;-0.54324865&lt;/D&gt;&lt;D xsi:type="xsd:double"&gt;-7.323408&lt;/D&gt;&lt;D xsi:type="xsd:double"&gt;0.6538391&lt;/D&gt;&lt;D xsi:type="xsd:double"&gt;-0.519681&lt;/D&gt;&lt;D xsi:type="xsd:double"&gt;-13.264918&lt;/D&gt;&lt;D xsi:type="xsd:double"&gt;-0.56984425&lt;/D&gt;&lt;D xsi:type="xsd:double"&gt;-2.4053931&lt;/D&gt;&lt;D xsi:type="xsd:double"&gt;11.594522&lt;/D&gt;&lt;D xsi:type="xsd:double"&gt;-3.7781298&lt;/D&gt;&lt;D xsi:type="xsd:double"&gt;-15.350884&lt;/D&gt;&lt;D xsi:type="xsd:double"&gt;13.200104&lt;/D&gt;&lt;D xsi:type="xsd:double"&gt;8.06452&lt;/D&gt;&lt;D xsi:type="xsd:double"&gt;0.91047287&lt;/D&gt;&lt;D xsi:type="xsd:double"&gt;3.5147667&lt;/D&gt;&lt;D xsi:type="xsd:double"&gt;-7.217699&lt;/D&gt;&lt;D xsi:type="xsd:double"&gt;3.7222862&lt;/D&gt;&lt;D xsi:type="xsd:double"&gt;1.8749952&lt;/D&gt;&lt;D xsi:type="xsd:double"&gt;-4.840165&lt;/D&gt;&lt;D xsi:type="xsd:double"&gt;2.9875398&lt;/D&gt;&lt;D xsi:type="xsd:double"&gt;-3.9363682&lt;/D&gt;&lt;D xsi:type="xsd:double"&gt;-5.5626335&lt;/D&gt;&lt;D xsi:type="xsd:double"&gt;1.2589931&lt;/D&gt;&lt;D xsi:type="xsd:double"&gt;-2.975136&lt;/D&gt;&lt;D xsi:type="xsd:double"&gt;6.6132665&lt;/D&gt;&lt;D xsi:type="xsd:double"&gt;4.8198223&lt;/D&gt;&lt;D xsi:type="xsd:double"&gt;-2.6964903&lt;/D&gt;&lt;D xsi:type="xsd:double"&gt;-1.1707783&lt;/D&gt;&lt;D xsi:type="xsd:double"&gt;-1.4237642&lt;/D&gt;&lt;D xsi:type="xsd:double"&gt;-0.15435219&lt;/D&gt;&lt;D xsi:type="xsd:double"&gt;1.2781024&lt;/D&gt;&lt;D xsi:type="xsd:double"&gt;1.5601039&lt;/D&gt;&lt;D xsi:type="xsd:double"&gt;0.129807&lt;/D&gt;&lt;D xsi:type="xsd:double"&gt;6.2662125&lt;/D&gt;&lt;D xsi:type="xsd:double"&gt;0.52866936&lt;/D&gt;&lt;D xsi:type="xsd:double"&gt;-3.3735871&lt;/D&gt;&lt;D xsi:type="xsd:double"&gt;-2.9196918&lt;/D&gt;&lt;D xsi:type="xsd:double"&gt;-3.8131356&lt;/D&gt;&lt;D xsi:type="xsd:double"&gt;2.1119952&lt;/D&gt;&lt;D xsi:type="xsd:double"&gt;-5.694586&lt;/D&gt;&lt;D xsi:type="xsd:double"&gt;0&lt;/D&gt;&lt;D xsi:type="xsd:double"&gt;6.558144&lt;/D&gt;&lt;D xsi:type="xsd:double"&gt;1.3061762&lt;/D&gt;&lt;D xsi:type="xsd:double"&gt;0.9468436&lt;/D&gt;&lt;D xsi:type="xsd:double"&gt;0.06556511&lt;/D&gt;&lt;D xsi:type="xsd:double"&gt;3.1338692&lt;/D&gt;&lt;D xsi:type="xsd:double"&gt;-3.0068755&lt;/D&gt;&lt;D xsi:type="xsd:double"&gt;-0.28381348&lt;/D&gt;&lt;D xsi:type="xsd:double"&gt;1.4778256&lt;/D&gt;&lt;/FQL&gt;&lt;FQL&gt;&lt;Q&gt;KSA^FG_TOTAL_RETURNC(-5AY,0,AM)&lt;/Q&gt;&lt;R&gt;61&lt;/R&gt;&lt;C&gt;1&lt;/C&gt;&lt;D xsi:type="xsd:double"&gt;1.9268394&lt;/D&gt;&lt;D xsi:type="xsd:double"&gt;2.2657156&lt;/D&gt;&lt;D xsi:type="xsd:double"&gt;0.7228136&lt;/D&gt;&lt;D xsi:type="xsd:double"&gt;7.363498&lt;/D&gt;&lt;D xsi:type="xsd:double"&gt;5.6669593&lt;/D&gt;&lt;D xsi:type="xsd:double"&gt;2.722764&lt;/D&gt;&lt;D xsi:type="xsd:double"&gt;4.726565&lt;/D&gt;&lt;D xsi:type="xsd:double"&gt;0.85161924&lt;/D&gt;&lt;D xsi:type="xsd:double"&gt;5.7574153&lt;/D&gt;&lt;D xsi:type="xsd:double"&gt;0.7984519&lt;/D&gt;&lt;D xsi:type="xsd:double"&gt;1.7042756&lt;/D&gt;&lt;D xsi:type="xsd:double"&gt;3.7762642&lt;/D&gt;&lt;D xsi:type="xsd:double"&gt;-9.5747175&lt;/D&gt;&lt;D xsi:type="xsd:double"&gt;10.234558&lt;/D&gt;&lt;D xsi:type="xsd:double"&gt;3.1709552&lt;/D&gt;&lt;D xsi:type="xsd:double"&gt;3.830731&lt;/D&gt;&lt;D xsi:type="xsd:double"&gt;7.1428657&lt;/D&gt;&lt;D xsi:type="xsd:double"&gt;-2.982986&lt;/D&gt;&lt;D xsi:type="xsd:double"&gt;-7.494384&lt;/D&gt;&lt;D xsi:type="xsd:double"&gt;-7.5730324&lt;/D&gt;&lt;D xsi:type="xsd:double"&gt;10.162902&lt;/D&gt;&lt;D xsi:type="xsd:double"&gt;-4.811299&lt;/D&gt;&lt;D xsi:type="xsd:double"&gt;-2.643168&lt;/D&gt;&lt;D xsi:type="xsd:double"&gt;-0.23815632&lt;/D&gt;&lt;D xsi:type="xsd:double"&gt;-10.408211&lt;/D&gt;&lt;D xsi:type="xsd:double"&gt;3.4704804&lt;/D&gt;&lt;D xsi:type="xsd:double"&gt;-2.8630912&lt;/D&gt;&lt;D xsi:type="xsd:double"&gt;0.21436214&lt;/D&gt;&lt;D xsi:type="xsd:double"&gt;6.149733&lt;/D&gt;&lt;D xsi:type="xsd:double"&gt;3.3249378&lt;/D&gt;&lt;D xsi:type="xsd:double"&gt;1.8781304&lt;/D&gt;&lt;D xsi:type="xsd:double"&gt;1.8886209&lt;/D&gt;&lt;D xsi:type="xsd:double"&gt;-3.5408795&lt;/D&gt;&lt;D xsi:type="xsd:double"&gt;-0.78837276&lt;/D&gt;&lt;D xsi:type="xsd:double"&gt;-7.673204&lt;/D&gt;&lt;D xsi:type="xsd:double"&gt;4.2495966&lt;/D&gt;&lt;D xsi:type="xsd:double"&gt;5.1083684&lt;/D&gt;&lt;D xsi:type="xsd:double"&gt;6.0779095&lt;/D&gt;&lt;D xsi:type="xsd:double"&gt;1.4302373&lt;/D&gt;&lt;D xsi:type="xsd:double"&gt;2.2884965&lt;/D&gt;&lt;D xsi:type="xsd:double"&gt;1.6497135&lt;/D&gt;&lt;D xsi:type="xsd:double"&gt;-4.6687365&lt;/D&gt;&lt;D xsi:type="xsd:double"&gt;-3.4007668&lt;/D&gt;&lt;D xsi:type="xsd:double"&gt;0.5145788&lt;/D&gt;&lt;D xsi:type="xsd:double"&gt;-1.0970294&lt;/D&gt;&lt;D xsi:type="xsd:double"&gt;1.4542818&lt;/D&gt;&lt;D xsi:type="xsd:double"&gt;1.6763806&lt;/D&gt;&lt;D xsi:type="xsd:double"&gt;0.7885337&lt;/D&gt;&lt;D xsi:type="xsd:double"&gt;0.6401181&lt;/D&gt;&lt;D xsi:type="xsd:double"&gt;-1.9248366&lt;/D&gt;&lt;D xsi:type="xsd:double"&gt;3.6239028&lt;/D&gt;&lt;D xsi:type="xsd:double"&gt;-5.6001844&lt;/D&gt;&lt;D xsi:type="xsd:double"&gt;-0.92615485&lt;/D&gt;&lt;D xsi:type="xsd:double"&gt;-0.101065636&lt;/D&gt;&lt;D xsi:type="xsd:double"&gt;-2.7314186&lt;/D&gt;&lt;D xsi:type="xsd:double"&gt;2.8268218&lt;/D&gt;&lt;D xsi:type="xsd:double"&gt;-3.7541747&lt;/D&gt;&lt;D xsi:type="xsd:double"&gt;-1.6831458&lt;/D&gt;&lt;D xsi:type="xsd:double"&gt;8.179355&lt;/D&gt;&lt;D xsi:type="xsd:double"&gt;-1.0550141&lt;/D&gt;&lt;D xsi:type="xsd:double"&gt;-4.4935284&lt;/D&gt;&lt;/FQL&gt;&lt;FQL&gt;&lt;Q&gt;VNM^FG_TOTAL_RETURNC(-5AY,0,AM)&lt;/Q&gt;&lt;R&gt;61&lt;/R&gt;&lt;C&gt;1&lt;/C&gt;&lt;D xsi:type="xsd:double"&gt;7.4311376&lt;/D&gt;&lt;D xsi:type="xsd:double"&gt;10.834753&lt;/D&gt;&lt;D xsi:type="xsd:double"&gt;-3.13344&lt;/D&gt;&lt;D xsi:type="xsd:double"&gt;0.3346324&lt;/D&gt;&lt;D xsi:type="xsd:double"&gt;3.390777&lt;/D&gt;&lt;D xsi:type="xsd:double"&gt;2.2580624&lt;/D&gt;&lt;D xsi:type="xsd:double"&gt;5.152464&lt;/D&gt;&lt;D xsi:type="xsd:double"&gt;-0.34999847&lt;/D&gt;&lt;D xsi:type="xsd:double"&gt;0.10035038&lt;/D&gt;&lt;D xsi:type="xsd:double"&gt;0.4009962&lt;/D&gt;&lt;D xsi:type="xsd:double"&gt;-1.947087&lt;/D&gt;&lt;D xsi:type="xsd:double"&gt;4.887986&lt;/D&gt;&lt;D xsi:type="xsd:double"&gt;0.3883481&lt;/D&gt;&lt;D xsi:type="xsd:double"&gt;2.347207&lt;/D&gt;&lt;D xsi:type="xsd:double"&gt;-6.8376007&lt;/D&gt;&lt;D xsi:type="xsd:double"&gt;-5.555558&lt;/D&gt;&lt;D xsi:type="xsd:double"&gt;0.86346865&lt;/D&gt;&lt;D xsi:type="xsd:double"&gt;-13.911181&lt;/D&gt;&lt;D xsi:type="xsd:double"&gt;-2.7346194&lt;/D&gt;&lt;D xsi:type="xsd:double"&gt;-9.392965&lt;/D&gt;&lt;D xsi:type="xsd:double"&gt;8.815229&lt;/D&gt;&lt;D xsi:type="xsd:double"&gt;-2.4627328&lt;/D&gt;&lt;D xsi:type="xsd:double"&gt;-20.066446&lt;/D&gt;&lt;D xsi:type="xsd:double"&gt;-6.816292&lt;/D&gt;&lt;D xsi:type="xsd:double"&gt;14.629793&lt;/D&gt;&lt;D xsi:type="xsd:double"&gt;-0.94600916&lt;/D&gt;&lt;D xsi:type="xsd:double"&gt;-5.2339373&lt;/D&gt;&lt;D xsi:type="xsd:double"&gt;-2.4267793&lt;/D&gt;&lt;D xsi:type="xsd:double"&gt;5.4030895&lt;/D&gt;&lt;D xsi:type="xsd:double"&gt;0.69161654&lt;/D&gt;&lt;D xsi:type="xsd:double"&gt;6.2626243&lt;/D&gt;&lt;D xsi:type="xsd:double"&gt;4.258561&lt;/D&gt;&lt;D xsi:type="xsd:double"&gt;10.685635&lt;/D&gt;&lt;D xsi:type="xsd:double"&gt;0.5601287&lt;/D&gt;&lt;D xsi:type="xsd:double"&gt;-10.550463&lt;/D&gt;&lt;D xsi:type="xsd:double"&gt;-3.4432173&lt;/D&gt;&lt;D xsi:type="xsd:double"&gt;3.4142613&lt;/D&gt;&lt;D xsi:type="xsd:double"&gt;-0.12976527&lt;/D&gt;&lt;D xsi:type="xsd:double"&gt;1.2006164&lt;/D&gt;&lt;D xsi:type="xsd:double"&gt;1.7987013&lt;/D&gt;&lt;D xsi:type="xsd:double"&gt;0.526309&lt;/D&gt;&lt;D xsi:type="xsd:double"&gt;-6.0583353&lt;/D&gt;&lt;D xsi:type="xsd:double"&gt;0.7165551&lt;/D&gt;&lt;D xsi:type="xsd:double"&gt;-1.6600788&lt;/D&gt;&lt;D xsi:type="xsd:double"&gt;-4.8231483&lt;/D&gt;&lt;D xsi:type="xsd:double"&gt;4.983115&lt;/D&gt;&lt;D xsi:type="xsd:double"&gt;1.7699003&lt;/D&gt;&lt;D xsi:type="xsd:double"&gt;-5.770749&lt;/D&gt;&lt;D xsi:type="xsd:double"&gt;-0.08389354&lt;/D&gt;&lt;D xsi:type="xsd:double"&gt;-6.549114&lt;/D&gt;&lt;D xsi:type="xsd:double"&gt;1.886797&lt;/D&gt;&lt;D xsi:type="xsd:double"&gt;9.435617&lt;/D&gt;&lt;D xsi:type="xsd:double"&gt;-4.35133&lt;/D&gt;&lt;D xsi:type="xsd:double"&gt;5.2232504&lt;/D&gt;&lt;D xsi:type="xsd:double"&gt;6.64531&lt;/D&gt;&lt;D xsi:type="xsd:double"&gt;14.264274&lt;/D&gt;&lt;D xsi:type="xsd:double"&gt;13.469124&lt;/D&gt;&lt;D xsi:type="xsd:double"&gt;4.4006944&lt;/D&gt;&lt;D xsi:type="xsd:double"&gt;5.268991&lt;/D&gt;&lt;D xsi:type="xsd:double"&gt;-10.800838&lt;/D&gt;&lt;D xsi:type="xsd:double"&gt;7.9149485&lt;/D&gt;&lt;/FQL&gt;&lt;FQL&gt;&lt;Q&gt;UAE^FG_TOTAL_RETURNC(-5AY,0,AM)&lt;/Q&gt;&lt;R&gt;61&lt;/R&gt;&lt;C&gt;1&lt;/C&gt;&lt;D xsi:type="xsd:double"&gt;11.9238615&lt;/D&gt;&lt;D xsi:type="xsd:double"&gt;4.411888&lt;/D&gt;&lt;D xsi:type="xsd:double"&gt;3.3778548&lt;/D&gt;&lt;D xsi:type="xsd:double"&gt;0.30394793&lt;/D&gt;&lt;D xsi:type="xsd:double"&gt;0.37878752&lt;/D&gt;&lt;D xsi:type="xsd:double"&gt;3.4716964&lt;/D&gt;&lt;D xsi:type="xsd:double"&gt;9.625948&lt;/D&gt;&lt;D xsi:type="xsd:double"&gt;-3.030306&lt;/D&gt;&lt;D xsi:type="xsd:double"&gt;2.5568128&lt;/D&gt;&lt;D xsi:type="xsd:double"&gt;5.2631617&lt;/D&gt;&lt;D xsi:type="xsd:double"&gt;-4.2763114&lt;/D&gt;&lt;D xsi:type="xsd:double"&gt;10.137451&lt;/D&gt;&lt;D xsi:type="xsd:double"&gt;7.956314&lt;/D&gt;&lt;D xsi:type="xsd:double"&gt;-4.636735&lt;/D&gt;&lt;D xsi:type="xsd:double"&gt;4.9907684&lt;/D&gt;&lt;D xsi:type="xsd:double"&gt;6.4553857&lt;/D&gt;&lt;D xsi:type="xsd:double"&gt;6.670344&lt;/D&gt;&lt;D xsi:type="xsd:double"&gt;-9.250652&lt;/D&gt;&lt;D xsi:type="xsd:double"&gt;-5.42022&lt;/D&gt;&lt;D xsi:type="xsd:double"&gt;-6.2192144&lt;/D&gt;&lt;D xsi:type="xsd:double"&gt;10.702562&lt;/D&gt;&lt;D xsi:type="xsd:double"&gt;-8.362997&lt;/D&gt;&lt;D xsi:type="xsd:double"&gt;-2.5242686&lt;/D&gt;&lt;D xsi:type="xsd:double"&gt;6.7728996&lt;/D&gt;&lt;D xsi:type="xsd:double"&gt;-6.0945272&lt;/D&gt;&lt;D xsi:type="xsd:double"&gt;-1.6401529&lt;/D&gt;&lt;D xsi:type="xsd:double"&gt;1.9399524&lt;/D&gt;&lt;D xsi:type="xsd:double"&gt;-4.4183373&lt;/D&gt;&lt;D xsi:type="xsd:double"&gt;-0.3462553&lt;/D&gt;&lt;D xsi:type="xsd:double"&gt;3.544128&lt;/D&gt;&lt;D xsi:type="xsd:double"&gt;-1.5527666&lt;/D&gt;&lt;D xsi:type="xsd:double"&gt;3.9215684&lt;/D&gt;&lt;D xsi:type="xsd:double"&gt;2.7628064&lt;/D&gt;&lt;D xsi:type="xsd:double"&gt;-1.5081942&lt;/D&gt;&lt;D xsi:type="xsd:double"&gt;-1.0652542&lt;/D&gt;&lt;D xsi:type="xsd:double"&gt;-0.60564876&lt;/D&gt;&lt;D xsi:type="xsd:double"&gt;-2.6404917&lt;/D&gt;&lt;D xsi:type="xsd:double"&gt;6.6026807&lt;/D&gt;&lt;D xsi:type="xsd:double"&gt;-4.462904&lt;/D&gt;&lt;D xsi:type="xsd:double"&gt;-0.6893337&lt;/D&gt;&lt;D xsi:type="xsd:double"&gt;3.3910036&lt;/D&gt;&lt;D xsi:type="xsd:double"&gt;-2.744311&lt;/D&gt;&lt;D xsi:type="xsd:double"&gt;-4.1460695&lt;/D&gt;&lt;D xsi:type="xsd:double"&gt;3.8805962&lt;/D&gt;&lt;D xsi:type="xsd:double"&gt;3.9511561&lt;/D&gt;&lt;D xsi:type="xsd:double"&gt;3.662753&lt;/D&gt;&lt;D xsi:type="xsd:double"&gt;-1.5999973&lt;/D&gt;&lt;D xsi:type="xsd:double"&gt;3.7262917&lt;/D&gt;&lt;D xsi:type="xsd:double"&gt;0.84911585&lt;/D&gt;&lt;D xsi:type="xsd:double"&gt;7.765889&lt;/D&gt;&lt;D xsi:type="xsd:double"&gt;6.25751&lt;/D&gt;&lt;D xsi:type="xsd:double"&gt;-6.115514&lt;/D&gt;&lt;D xsi:type="xsd:double"&gt;-0.42219162&lt;/D&gt;&lt;D xsi:type="xsd:double"&gt;9.933365&lt;/D&gt;&lt;D xsi:type="xsd:double"&gt;3.1404972&lt;/D&gt;&lt;D xsi:type="xsd:double"&gt;6.1003327&lt;/D&gt;&lt;D xsi:type="xsd:double"&gt;4.528892&lt;/D&gt;&lt;D xsi:type="xsd:double"&gt;-5.328685&lt;/D&gt;&lt;D xsi:type="xsd:double"&gt;-0.05260706&lt;/D&gt;&lt;D xsi:type="xsd:double"&gt;3.6315799&lt;/D&gt;&lt;D xsi:type="xsd:double"&gt;-0.91416836&lt;/D&gt;&lt;/FQL&gt;&lt;FQL&gt;&lt;Q&gt;TUR^FG_TOTAL_RETURNC(-5AY,0,AM)&lt;/Q&gt;&lt;R&gt;61&lt;/R&gt;&lt;C&gt;1&lt;/C&gt;&lt;D xsi:type="xsd:double"&gt;7.40242&lt;/D&gt;&lt;D xsi:type="xsd:double"&gt;15.53998&lt;/D&gt;&lt;D xsi:type="xsd:double"&gt;6.7101955&lt;/D&gt;&lt;D xsi:type="xsd:double"&gt;-5.064583&lt;/D&gt;&lt;D xsi:type="xsd:double"&gt;-16.57716&lt;/D&gt;&lt;D xsi:type="xsd:double"&gt;2.660942&lt;/D&gt;&lt;D xsi:type="xsd:double"&gt;1.1660218&lt;/D&gt;&lt;D xsi:type="xsd:double"&gt;-8.468085&lt;/D&gt;&lt;D xsi:type="xsd:double"&gt;2.6499271&lt;/D&gt;&lt;D xsi:type="xsd:double"&gt;3.35145&lt;/D&gt;&lt;D xsi:type="xsd:double"&gt;-7.0990324&lt;/D&gt;&lt;D xsi:type="xsd:double"&gt;5.377352&lt;/D&gt;&lt;D xsi:type="xsd:double"&gt;-10.966879&lt;/D&gt;&lt;D xsi:type="xsd:double"&gt;1.4565825&lt;/D&gt;&lt;D xsi:type="xsd:double"&gt;0.4479885&lt;/D&gt;&lt;D xsi:type="xsd:double"&gt;-9.0188265&lt;/D&gt;&lt;D xsi:type="xsd:double"&gt;23.692799&lt;/D&gt;&lt;D xsi:type="xsd:double"&gt;-4.6675444&lt;/D&gt;&lt;D xsi:type="xsd:double"&gt;-7.992065&lt;/D&gt;&lt;D xsi:type="xsd:double"&gt;-6.2467756&lt;/D&gt;&lt;D xsi:type="xsd:double"&gt;14.647579&lt;/D&gt;&lt;D xsi:type="xsd:double"&gt;20.365036&lt;/D&gt;&lt;D xsi:type="xsd:double"&gt;-1.75578&lt;/D&gt;&lt;D xsi:type="xsd:double"&gt;22.014618&lt;/D&gt;&lt;D xsi:type="xsd:double"&gt;12.849533&lt;/D&gt;&lt;D xsi:type="xsd:double"&gt;-3.91832&lt;/D&gt;&lt;D xsi:type="xsd:double"&gt;-9.44153&lt;/D&gt;&lt;D xsi:type="xsd:double"&gt;24.87223&lt;/D&gt;&lt;D xsi:type="xsd:double"&gt;-5.67531&lt;/D&gt;&lt;D xsi:type="xsd:double"&gt;-3.2976568&lt;/D&gt;&lt;D xsi:type="xsd:double"&gt;-6.1024547&lt;/D&gt;&lt;D xsi:type="xsd:double"&gt;1.6501665&lt;/D&gt;&lt;D xsi:type="xsd:double"&gt;16.850662&lt;/D&gt;&lt;D xsi:type="xsd:double"&gt;6.751871&lt;/D&gt;&lt;D xsi:type="xsd:double"&gt;-0.10410547&lt;/D&gt;&lt;D xsi:type="xsd:double"&gt;-9.718603&lt;/D&gt;&lt;D xsi:type="xsd:double"&gt;-1.5007198&lt;/D&gt;&lt;D xsi:type="xsd:double"&gt;-0.47976375&lt;/D&gt;&lt;D xsi:type="xsd:double"&gt;12.079727&lt;/D&gt;&lt;D xsi:type="xsd:double"&gt;-3.7164807&lt;/D&gt;&lt;D xsi:type="xsd:double"&gt;7.140887&lt;/D&gt;&lt;D xsi:type="xsd:double"&gt;6.3046813&lt;/D&gt;&lt;D xsi:type="xsd:double"&gt;-2.0706892&lt;/D&gt;&lt;D xsi:type="xsd:double"&gt;8.408415&lt;/D&gt;&lt;D xsi:type="xsd:double"&gt;-11.980605&lt;/D&gt;&lt;D xsi:type="xsd:double"&gt;-6.163132&lt;/D&gt;&lt;D xsi:type="xsd:double"&gt;-5.925095&lt;/D&gt;&lt;D xsi:type="xsd:double"&gt;3.5353541&lt;/D&gt;&lt;D xsi:type="xsd:double"&gt;8.034444&lt;/D&gt;&lt;D xsi:type="xsd:double"&gt;-3.818655&lt;/D&gt;&lt;D xsi:type="xsd:double"&gt;-2.1901906&lt;/D&gt;&lt;D xsi:type="xsd:double"&gt;5.0170064&lt;/D&gt;&lt;D xsi:type="xsd:double"&gt;-13.414299&lt;/D&gt;&lt;D xsi:type="xsd:double"&gt;-2.0885348&lt;/D&gt;&lt;D xsi:type="xsd:double"&gt;2.2285938&lt;/D&gt;&lt;D xsi:type="xsd:double"&gt;4.873395&lt;/D&gt;&lt;D xsi:type="xsd:double"&gt;5.049145&lt;/D&gt;&lt;D xsi:type="xsd:double"&gt;-7.245845&lt;/D&gt;&lt;D xsi:type="xsd:double"&gt;1.6089082&lt;/D&gt;&lt;D xsi:type="xsd:double"&gt;0.030446053&lt;/D&gt;&lt;D xsi:type="xsd:double"&gt;5.9969544&lt;/D&gt;&lt;/FQL&gt;&lt;FQL&gt;&lt;Q&gt;SET-BKK^FG_TOTAL_RETURNC(-5AY,0,AM)&lt;/Q&gt;&lt;R&gt;61&lt;/R&gt;&lt;C&gt;1&lt;/C&gt;&lt;D xsi:type="xsd:double"&gt;10.207832&lt;/D&gt;&lt;D xsi:type="xsd:double"&gt;3.6299348&lt;/D&gt;&lt;D xsi:type="xsd:double"&gt;-1.8314481&lt;/D&gt;&lt;D xsi:type="xsd:double"&gt;4.4273615&lt;/D&gt;&lt;D xsi:type="xsd:double"&gt;-0.55805445&lt;/D&gt;&lt;D xsi:type="xsd:double"&gt;0.8037925&lt;/D&gt;&lt;D xsi:type="xsd:double"&gt;3.649938&lt;/D&gt;&lt;D xsi:type="xsd:double"&gt;-5.1614404&lt;/D&gt;&lt;D xsi:type="xsd:double"&gt;-1.2486398&lt;/D&gt;&lt;D xsi:type="xsd:double"&gt;6.6966414&lt;/D&gt;&lt;D xsi:type="xsd:double"&gt;-0.1167953&lt;/D&gt;&lt;D xsi:type="xsd:double"&gt;-0.06121993&lt;/D&gt;&lt;D xsi:type="xsd:double"&gt;-0.8704722&lt;/D&gt;&lt;D xsi:type="xsd:double"&gt;3.0212045&lt;/D&gt;&lt;D xsi:type="xsd:double"&gt;1.9242764&lt;/D&gt;&lt;D xsi:type="xsd:double"&gt;-2.4240792&lt;/D&gt;&lt;D xsi:type="xsd:double"&gt;1.2333989&lt;/D&gt;&lt;D xsi:type="xsd:double"&gt;-3.8797438&lt;/D&gt;&lt;D xsi:type="xsd:double"&gt;1.1950374&lt;/D&gt;&lt;D xsi:type="xsd:double"&gt;-4.607314&lt;/D&gt;&lt;D xsi:type="xsd:double"&gt;4.164636&lt;/D&gt;&lt;D xsi:type="xsd:double"&gt;1.9947529&lt;/D&gt;&lt;D xsi:type="xsd:double"&gt;-5.5565596&lt;/D&gt;&lt;D xsi:type="xsd:double"&gt;4.774487&lt;/D&gt;&lt;D xsi:type="xsd:double"&gt;-0.8648455&lt;/D&gt;&lt;D xsi:type="xsd:double"&gt;3.8579822&lt;/D&gt;&lt;D xsi:type="xsd:double"&gt;-1.2564182&lt;/D&gt;&lt;D xsi:type="xsd:double"&gt;-3.9000988&lt;/D&gt;&lt;D xsi:type="xsd:double"&gt;-0.15941262&lt;/D&gt;&lt;D xsi:type="xsd:double"&gt;-1.8596172&lt;/D&gt;&lt;D xsi:type="xsd:double"&gt;-0.78410506&lt;/D&gt;&lt;D xsi:type="xsd:double"&gt;-3.7392855&lt;/D&gt;&lt;D xsi:type="xsd:double"&gt;2.5518417&lt;/D&gt;&lt;D xsi:type="xsd:double"&gt;0.3764987&lt;/D&gt;&lt;D xsi:type="xsd:double"&gt;-5.512863&lt;/D&gt;&lt;D xsi:type="xsd:double"&gt;-4.5618477&lt;/D&gt;&lt;D xsi:type="xsd:double"&gt;-0.61745644&lt;/D&gt;&lt;D xsi:type="xsd:double"&gt;1.9732237&lt;/D&gt;&lt;D xsi:type="xsd:double"&gt;-1.410979&lt;/D&gt;&lt;D xsi:type="xsd:double"&gt;-0.5863011&lt;/D&gt;&lt;D xsi:type="xsd:double"&gt;1.1700988&lt;/D&gt;&lt;D xsi:type="xsd:double"&gt;-1.7531037&lt;/D&gt;&lt;D xsi:type="xsd:double"&gt;-4.067355&lt;/D&gt;&lt;D xsi:type="xsd:double"&gt;1.0082841&lt;/D&gt;&lt;D xsi:type="xsd:double"&gt;-2.4297237&lt;/D&gt;&lt;D xsi:type="xsd:double"&gt;9.123648&lt;/D&gt;&lt;D xsi:type="xsd:double"&gt;3.863895&lt;/D&gt;&lt;D xsi:type="xsd:double"&gt;-0.92715025&lt;/D&gt;&lt;D xsi:type="xsd:double"&gt;-0.9213984&lt;/D&gt;&lt;D xsi:type="xsd:double"&gt;-5.2014885&lt;/D&gt;&lt;D xsi:type="xsd:double"&gt;-6.141859&lt;/D&gt;&lt;D xsi:type="xsd:double"&gt;-7.503289&lt;/D&gt;&lt;D xsi:type="xsd:double"&gt;-4.9653473&lt;/D&gt;&lt;D xsi:type="xsd:double"&gt;7.2900534&lt;/D&gt;&lt;D xsi:type="xsd:double"&gt;-5.72778&lt;/D&gt;&lt;D xsi:type="xsd:double"&gt;-1.7913699&lt;/D&gt;&lt;D xsi:type="xsd:double"&gt;12.30365&lt;/D&gt;&lt;D xsi:type="xsd:double"&gt;2.3001194&lt;/D&gt;&lt;D xsi:type="xsd:double"&gt;-0.08152127&lt;/D&gt;&lt;D xsi:type="xsd:double"&gt;1.0481954&lt;/D&gt;&lt;D xsi:type="xsd:double"&gt;-3.6086917&lt;/D&gt;&lt;/FQL&gt;&lt;FQL&gt;&lt;Q&gt;QAT^FG_TOTAL_RETURNC(-5AY,0,AM)&lt;/Q&gt;&lt;R&gt;61&lt;/R&gt;&lt;C&gt;1&lt;/C&gt;&lt;D xsi:type="xsd:double"&gt;3.0555844&lt;/D&gt;&lt;D xsi:type="xsd:double"&gt;3.0761123&lt;/D&gt;&lt;D xsi:type="xsd:double"&gt;-2.6687622&lt;/D&gt;&lt;D xsi:type="xsd:double"&gt;-0.349468&lt;/D&gt;&lt;D xsi:type="xsd:double"&gt;2.346909&lt;/D&gt;&lt;D xsi:type="xsd:double"&gt;3.4001112&lt;/D&gt;&lt;D xsi:type="xsd:double"&gt;-0.7863343&lt;/D&gt;&lt;D xsi:type="xsd:double"&gt;1.1209965&lt;/D&gt;&lt;D xsi:type="xsd:double"&gt;0.8311629&lt;/D&gt;&lt;D xsi:type="xsd:double"&gt;1.4940858&lt;/D&gt;&lt;D xsi:type="xsd:double"&gt;5.004561&lt;/D&gt;&lt;D xsi:type="xsd:double"&gt;2.5336027&lt;/D&gt;&lt;D xsi:type="xsd:double"&gt;-3.5360694&lt;/D&gt;&lt;D xsi:type="xsd:double"&gt;2.7965188&lt;/D&gt;&lt;D xsi:type="xsd:double"&gt;10.91243&lt;/D&gt;&lt;D xsi:type="xsd:double"&gt;2.1496177&lt;/D&gt;&lt;D xsi:type="xsd:double"&gt;7.954538&lt;/D&gt;&lt;D xsi:type="xsd:double"&gt;-7.9142275&lt;/D&gt;&lt;D xsi:type="xsd:double"&gt;-4.69026&lt;/D&gt;&lt;D xsi:type="xsd:double"&gt;-5.238968&lt;/D&gt;&lt;D xsi:type="xsd:double"&gt;12.7061&lt;/D&gt;&lt;D xsi:type="xsd:double"&gt;-5.518502&lt;/D&gt;&lt;D xsi:type="xsd:double"&gt;-2.493453&lt;/D&gt;&lt;D xsi:type="xsd:double"&gt;3.6730528&lt;/D&gt;&lt;D xsi:type="xsd:double"&gt;-11.156768&lt;/D&gt;&lt;D xsi:type="xsd:double"&gt;-1.2514234&lt;/D&gt;&lt;D xsi:type="xsd:double"&gt;-7.9116344&lt;/D&gt;&lt;D xsi:type="xsd:double"&gt;3.7650585&lt;/D&gt;&lt;D xsi:type="xsd:double"&gt;-1.2439132&lt;/D&gt;&lt;D xsi:type="xsd:double"&gt;5.914569&lt;/D&gt;&lt;D xsi:type="xsd:double"&gt;-2.7903438&lt;/D&gt;&lt;D xsi:type="xsd:double"&gt;-2.1558821&lt;/D&gt;&lt;D xsi:type="xsd:double"&gt;4.2372823&lt;/D&gt;&lt;D xsi:type="xsd:double"&gt;-2.0596266&lt;/D&gt;&lt;D xsi:type="xsd:double"&gt;-4.759276&lt;/D&gt;&lt;D xsi:type="xsd:double"&gt;-0.058096647&lt;/D&gt;&lt;D xsi:type="xsd:double"&gt;-2.2093058&lt;/D&gt;&lt;D xsi:type="xsd:double"&gt;5.7075024&lt;/D&gt;&lt;D xsi:type="xsd:double"&gt;-3.7120342&lt;/D&gt;&lt;D xsi:type="xsd:double"&gt;4.6144843&lt;/D&gt;&lt;D xsi:type="xsd:double"&gt;-1.8425465&lt;/D&gt;&lt;D xsi:type="xsd:double"&gt;-2.1615446&lt;/D&gt;&lt;D xsi:type="xsd:double"&gt;-0.2312541&lt;/D&gt;&lt;D xsi:type="xsd:double"&gt;5.6741953&lt;/D&gt;&lt;D xsi:type="xsd:double"&gt;0.8083105&lt;/D&gt;&lt;D xsi:type="xsd:double"&gt;1.2027502&lt;/D&gt;&lt;D xsi:type="xsd:double"&gt;3.9049268&lt;/D&gt;&lt;D xsi:type="xsd:double"&gt;0.21785498&lt;/D&gt;&lt;D xsi:type="xsd:double"&gt;-1.0869503&lt;/D&gt;&lt;D xsi:type="xsd:double"&gt;-1.8104136&lt;/D&gt;&lt;D xsi:type="xsd:double"&gt;2.3308635&lt;/D&gt;&lt;D xsi:type="xsd:double"&gt;0.27776957&lt;/D&gt;&lt;D xsi:type="xsd:double"&gt;-2.437663&lt;/D&gt;&lt;D xsi:type="xsd:double"&gt;6.132877&lt;/D&gt;&lt;D xsi:type="xsd:double"&gt;1.4446139&lt;/D&gt;&lt;D xsi:type="xsd:double"&gt;1.1622071&lt;/D&gt;&lt;D xsi:type="xsd:double"&gt;6.9652915&lt;/D&gt;&lt;D xsi:type="xsd:double"&gt;-2.2690713&lt;/D&gt;&lt;D xsi:type="xsd:double"&gt;-1.7875373&lt;/D&gt;&lt;D xsi:type="xsd:double"&gt;2.1731615&lt;/D&gt;&lt;D xsi:type="xsd:double"&gt;-1.6943216&lt;/D&gt;&lt;/FQL&gt;&lt;FQL&gt;&lt;Q&gt;MCHI^FG_TOTAL_RETURNC(-5AY,0,AM)&lt;/Q&gt;&lt;R&gt;61&lt;/R&gt;&lt;C&gt;1&lt;/C&gt;&lt;D xsi:type="xsd:double"&gt;-0.100404024&lt;/D&gt;&lt;D xsi:type="xsd:double"&gt;5.870521&lt;/D&gt;&lt;D xsi:type="xsd:double"&gt;15.401173&lt;/D&gt;&lt;D xsi:type="xsd:double"&gt;-9.916073&lt;/D&gt;&lt;D xsi:type="xsd:double"&gt;-6.3952208&lt;/D&gt;&lt;D xsi:type="xsd:double"&gt;-2.98599&lt;/D&gt;&lt;D xsi:type="xsd:double"&gt;3.428495&lt;/D&gt;&lt;D xsi:type="xsd:double"&gt;-4.602355&lt;/D&gt;&lt;D xsi:type="xsd:double"&gt;-6.406796&lt;/D&gt;&lt;D xsi:type="xsd:double"&gt;-1.182133&lt;/D&gt;&lt;D xsi:type="xsd:double"&gt;-3.9783&lt;/D&gt;&lt;D xsi:type="xsd:double"&gt;2.3468137&lt;/D&gt;&lt;D xsi:type="xsd:double"&gt;-6.7232847&lt;/D&gt;&lt;D xsi:type="xsd:double"&gt;-2.468294&lt;/D&gt;&lt;D xsi:type="xsd:double"&gt;-2.4764836&lt;/D&gt;&lt;D xsi:type="xsd:double"&gt;-21.086472&lt;/D&gt;&lt;D xsi:type="xsd:double"&gt;5.784118&lt;/D&gt;&lt;D xsi:type="xsd:double"&gt;-10.66615&lt;/D&gt;&lt;D xsi:type="xsd:double"&gt;15.867996&lt;/D&gt;&lt;D xsi:type="xsd:double"&gt;-0.7483661&lt;/D&gt;&lt;D xsi:type="xsd:double"&gt;-6.0508966&lt;/D&gt;&lt;D xsi:type="xsd:double"&gt;-2.9695034&lt;/D&gt;&lt;D xsi:type="xsd:double"&gt;-15.963608&lt;/D&gt;&lt;D xsi:type="xsd:double"&gt;5.4872036&lt;/D&gt;&lt;D xsi:type="xsd:double"&gt;13.69257&lt;/D&gt;&lt;D xsi:type="xsd:double"&gt;11.205125&lt;/D&gt;&lt;D xsi:type="xsd:double"&gt;-3.950572&lt;/D&gt;&lt;D xsi:type="xsd:double"&gt;-8.908379&lt;/D&gt;&lt;D xsi:type="xsd:double"&gt;6.0560703&lt;/D&gt;&lt;D xsi:type="xsd:double"&gt;-4.3180046&lt;/D&gt;&lt;D xsi:type="xsd:double"&gt;-3.15547&lt;/D&gt;&lt;D xsi:type="xsd:double"&gt;-0.3956914&lt;/D&gt;&lt;D xsi:type="xsd:double"&gt;1.1697173&lt;/D&gt;&lt;D xsi:type="xsd:double"&gt;-2.6832461&lt;/D&gt;&lt;D xsi:type="xsd:double"&gt;-0.80699325&lt;/D&gt;&lt;D xsi:type="xsd:double"&gt;-3.954804&lt;/D&gt;&lt;D xsi:type="xsd:double"&gt;-4.04706&lt;/D&gt;&lt;D xsi:type="xsd:double"&gt;-2.1958947&lt;/D&gt;&lt;D xsi:type="xsd:double"&gt;-3.2390773&lt;/D&gt;&lt;D xsi:type="xsd:double"&gt;5.765152&lt;/D&gt;&lt;D xsi:type="xsd:double"&gt;1.833713&lt;/D&gt;&lt;D xsi:type="xsd:double"&gt;11.445486&lt;/D&gt;&lt;D xsi:type="xsd:double"&gt;-3.7393868&lt;/D&gt;&lt;D xsi:type="xsd:double"&gt;0.62355995&lt;/D&gt;&lt;D xsi:type="xsd:double"&gt;-4.7280254&lt;/D&gt;&lt;D xsi:type="xsd:double"&gt;-1.7586112&lt;/D&gt;&lt;D xsi:type="xsd:double"&gt;29.082882&lt;/D&gt;&lt;D xsi:type="xsd:double"&gt;-6.02203&lt;/D&gt;&lt;D xsi:type="xsd:double"&gt;-1.2735009&lt;/D&gt;&lt;D xsi:type="xsd:double"&gt;-8.81483&lt;/D&gt;&lt;D xsi:type="xsd:double"&gt;15.625715&lt;/D&gt;&lt;D xsi:type="xsd:double"&gt;10.466957&lt;/D&gt;&lt;D xsi:type="xsd:double"&gt;-11.015588&lt;/D&gt;&lt;D xsi:type="xsd:double"&gt;7.1859956&lt;/D&gt;&lt;D xsi:type="xsd:double"&gt;4.901409&lt;/D&gt;&lt;D xsi:type="xsd:double"&gt;-0.6713569&lt;/D&gt;&lt;D xsi:type="xsd:double"&gt;5.2229285&lt;/D&gt;&lt;D xsi:type="xsd:double"&gt;11.051536&lt;/D&gt;&lt;D xsi:type="xsd:double"&gt;-4.391837&lt;/D&gt;&lt;D xsi:type="xsd:double"&gt;5.1148415&lt;/D&gt;&lt;D xsi:type="xsd:double"&gt;-4.401052&lt;/D&gt;&lt;/FQL&gt;&lt;FQL&gt;&lt;Q&gt;INDA^FG_TOTAL_RETURNC(-5AY,0,AM)&lt;/Q&gt;&lt;R&gt;61&lt;/R&gt;&lt;C&gt;1&lt;/C&gt;&lt;D xsi:type="xsd:double"&gt;6.40707&lt;/D&gt;&lt;D xsi:type="xsd:double"&gt;7.6669455&lt;/D&gt;&lt;D xsi:type="xsd:double"&gt;3.7394404&lt;/D&gt;&lt;D xsi:type="xsd:double"&gt;1.8372059&lt;/D&gt;&lt;D xsi:type="xsd:double"&gt;-4.795623&lt;/D&gt;&lt;D xsi:type="xsd:double"&gt;1.7270327&lt;/D&gt;&lt;D xsi:type="xsd:double"&gt;6.700611&lt;/D&gt;&lt;D xsi:type="xsd:double"&gt;-1.9464672&lt;/D&gt;&lt;D xsi:type="xsd:double"&gt;3.2934785&lt;/D&gt;&lt;D xsi:type="xsd:double"&gt;7.6435924&lt;/D&gt;&lt;D xsi:type="xsd:double"&gt;-0.34490228&lt;/D&gt;&lt;D xsi:type="xsd:double"&gt;2.1376252&lt;/D&gt;&lt;D xsi:type="xsd:double"&gt;-3.2888114&lt;/D&gt;&lt;D xsi:type="xsd:double"&gt;5.7098627&lt;/D&gt;&lt;D xsi:type="xsd:double"&gt;-8.284884&lt;/D&gt;&lt;D xsi:type="xsd:double"&gt;-4.709077&lt;/D&gt;&lt;D xsi:type="xsd:double"&gt;8.149206&lt;/D&gt;&lt;D xsi:type="xsd:double"&gt;-10.786468&lt;/D&gt;&lt;D xsi:type="xsd:double"&gt;-0.886482&lt;/D&gt;&lt;D xsi:type="xsd:double"&gt;-0.4223585&lt;/D&gt;&lt;D xsi:type="xsd:double"&gt;7.9341173&lt;/D&gt;&lt;D xsi:type="xsd:double"&gt;1.1789203&lt;/D&gt;&lt;D xsi:type="xsd:double"&gt;-7.7450275&lt;/D&gt;&lt;D xsi:type="xsd:double"&gt;9.039127&lt;/D&gt;&lt;D xsi:type="xsd:double"&gt;-2.8389752&lt;/D&gt;&lt;D xsi:type="xsd:double"&gt;-1.3791502&lt;/D&gt;&lt;D xsi:type="xsd:double"&gt;-4.384923&lt;/D&gt;&lt;D xsi:type="xsd:double"&gt;-2.4789274&lt;/D&gt;&lt;D xsi:type="xsd:double"&gt;1.8556118&lt;/D&gt;&lt;D xsi:type="xsd:double"&gt;3.4689307&lt;/D&gt;&lt;D xsi:type="xsd:double"&gt;1.7599106&lt;/D&gt;&lt;D xsi:type="xsd:double"&gt;4.417002&lt;/D&gt;&lt;D xsi:type="xsd:double"&gt;-0.79600215&lt;/D&gt;&lt;D xsi:type="xsd:double"&gt;4.2182446&lt;/D&gt;&lt;D xsi:type="xsd:double"&gt;-1.7157912&lt;/D&gt;&lt;D xsi:type="xsd:double"&gt;-0.42524338&lt;/D&gt;&lt;D xsi:type="xsd:double"&gt;6.9004297&lt;/D&gt;&lt;D xsi:type="xsd:double"&gt;3.4272432&lt;/D&gt;&lt;D xsi:type="xsd:double"&gt;3.1103969&lt;/D&gt;&lt;D xsi:type="xsd:double"&gt;2.3265004&lt;/D&gt;&lt;D xsi:type="xsd:double"&gt;0.8670449&lt;/D&gt;&lt;D xsi:type="xsd:double"&gt;-1.872015&lt;/D&gt;&lt;D xsi:type="xsd:double"&gt;5.625856&lt;/D&gt;&lt;D xsi:type="xsd:double"&gt;4.847038&lt;/D&gt;&lt;D xsi:type="xsd:double"&gt;-1.9335508&lt;/D&gt;&lt;D xsi:type="xsd:double"&gt;2.3929&lt;/D&gt;&lt;D xsi:type="xsd:double"&gt;0.11378527&lt;/D&gt;&lt;D xsi:type="xsd:double"&gt;-4.633671&lt;/D&gt;&lt;D xsi:type="xsd:double"&gt;2.1635532&lt;/D&gt;&lt;D xsi:type="xsd:double"&gt;-7.4214277&lt;/D&gt;&lt;D xsi:type="xsd:double"&gt;-2.0894349&lt;/D&gt;&lt;D xsi:type="xsd:double"&gt;-2.9517353&lt;/D&gt;&lt;D xsi:type="xsd:double"&gt;4.3156624&lt;/D&gt;&lt;D xsi:type="xsd:double"&gt;3.2111883&lt;/D&gt;&lt;D xsi:type="xsd:double"&gt;5.6117654&lt;/D&gt;&lt;D xsi:type="xsd:double"&gt;-0.8133054&lt;/D&gt;&lt;D xsi:type="xsd:double"&gt;-4.755831&lt;/D&gt;&lt;D xsi:type="xsd:double"&gt;1.8557549&lt;/D&gt;&lt;D xsi:type="xsd:double"&gt;-0.88279843&lt;/D&gt;&lt;D xsi:type="xsd:double"&gt;3.733182&lt;/D&gt;&lt;D xsi:type="xsd:double"&gt;-2.1373808&lt;/D&gt;&lt;/FQL&gt;&lt;FQL&gt;&lt;Q&gt;GREK^FG_TOTAL_RETURNC(-5AY,0,AM)&lt;/Q&gt;&lt;R&gt;61&lt;/R&gt;&lt;C&gt;1&lt;/C&gt;&lt;D xsi:type="xsd:double"&gt;23.196877&lt;/D&gt;&lt;D xsi:type="xsd:double"&gt;2.458012&lt;/D&gt;&lt;D xsi:type="xsd:double"&gt;-5.103451&lt;/D&gt;&lt;D xsi:type="xsd:double"&gt;10.382056&lt;/D&gt;&lt;D xsi:type="xsd:double"&gt;5.1918745&lt;/D&gt;&lt;D xsi:type="xsd:double"&gt;2.6108742&lt;/D&gt;&lt;D xsi:type="xsd:double"&gt;4.5660496&lt;/D&gt;&lt;D xsi:type="xsd:double"&gt;-7.9000053&lt;/D&gt;&lt;D xsi:type="xsd:double"&gt;0.97720623&lt;/D&gt;&lt;D xsi:type="xsd:double"&gt;2.078855&lt;/D&gt;&lt;D xsi:type="xsd:double"&gt;-3.160113&lt;/D&gt;&lt;D xsi:type="xsd:double"&gt;2.320516&lt;/D&gt;&lt;D xsi:type="xsd:double"&gt;-3.2601&lt;/D&gt;&lt;D xsi:type="xsd:double"&gt;5.5166006&lt;/D&gt;&lt;D xsi:type="xsd:double"&gt;4.0439844&lt;/D&gt;&lt;D xsi:type="xsd:double"&gt;-16.808731&lt;/D&gt;&lt;D xsi:type="xsd:double"&gt;11.47542&lt;/D&gt;&lt;D xsi:type="xsd:double"&gt;-8.272058&lt;/D&gt;&lt;D xsi:type="xsd:double"&gt;0.7214308&lt;/D&gt;&lt;D xsi:type="xsd:double"&gt;-13.388729&lt;/D&gt;&lt;D xsi:type="xsd:double"&gt;15.318298&lt;/D&gt;&lt;D xsi:type="xsd:double"&gt;-5.734235&lt;/D&gt;&lt;D xsi:type="xsd:double"&gt;-7.881361&lt;/D&gt;&lt;D xsi:type="xsd:double"&gt;19.457222&lt;/D&gt;&lt;D xsi:type="xsd:double"&gt;2.156341&lt;/D&gt;&lt;D xsi:type="xsd:double"&gt;8.747101&lt;/D&gt;&lt;D xsi:type="xsd:double"&gt;11.059737&lt;/D&gt;&lt;D xsi:type="xsd:double"&gt;-3.7143767&lt;/D&gt;&lt;D xsi:type="xsd:double"&gt;4.5892954&lt;/D&gt;&lt;D xsi:type="xsd:double"&gt;2.5437236&lt;/D&gt;&lt;D xsi:type="xsd:double"&gt;10.759699&lt;/D&gt;&lt;D xsi:type="xsd:double"&gt;8.528412&lt;/D&gt;&lt;D xsi:type="xsd:double"&gt;-2.464974&lt;/D&gt;&lt;D xsi:type="xsd:double"&gt;-6.8635345&lt;/D&gt;&lt;D xsi:type="xsd:double"&gt;-5.7412148&lt;/D&gt;&lt;D xsi:type="xsd:double"&gt;5.9393883&lt;/D&gt;&lt;D xsi:type="xsd:double"&gt;3.6899328&lt;/D&gt;&lt;D xsi:type="xsd:double"&gt;9.175134&lt;/D&gt;&lt;D xsi:type="xsd:double"&gt;4.1505575&lt;/D&gt;&lt;D xsi:type="xsd:double"&gt;-1.5841663&lt;/D&gt;&lt;D xsi:type="xsd:double"&gt;1.15695&lt;/D&gt;&lt;D xsi:type="xsd:double"&gt;4.82347&lt;/D&gt;&lt;D xsi:type="xsd:double"&gt;-2.2533238&lt;/D&gt;&lt;D xsi:type="xsd:double"&gt;1.3301969&lt;/D&gt;&lt;D xsi:type="xsd:double"&gt;-2.7864516&lt;/D&gt;&lt;D xsi:type="xsd:double"&gt;2.7827978&lt;/D&gt;&lt;D xsi:type="xsd:double"&gt;-0.31397343&lt;/D&gt;&lt;D xsi:type="xsd:double"&gt;-3.0241907&lt;/D&gt;&lt;D xsi:type="xsd:double"&gt;1.6870737&lt;/D&gt;&lt;D xsi:type="xsd:double"&gt;1.2369752&lt;/D&gt;&lt;D xsi:type="xsd:double"&gt;3.7734985&lt;/D&gt;&lt;D xsi:type="xsd:double"&gt;10.809779&lt;/D&gt;&lt;D xsi:type="xsd:double"&gt;0.6134987&lt;/D&gt;&lt;D xsi:type="xsd:double"&gt;11.167908&lt;/D&gt;&lt;D xsi:type="xsd:double"&gt;10.718668&lt;/D&gt;&lt;D xsi:type="xsd:double"&gt;9.545839&lt;/D&gt;&lt;D xsi:type="xsd:double"&gt;7.689786&lt;/D&gt;&lt;D xsi:type="xsd:double"&gt;-2.2228956&lt;/D&gt;&lt;D xsi:type="xsd:double"&gt;1.915288&lt;/D&gt;&lt;D xsi:type="xsd:double"&gt;-2.7807415&lt;/D&gt;&lt;D xsi:type="xsd:double"&gt;6.349206&lt;/D&gt;&lt;/FQL&gt;&lt;FQL&gt;&lt;Q&gt;EZA^FG_TOTAL_RETURNC(-5AY,0,AM)&lt;/Q&gt;&lt;R&gt;61&lt;/R&gt;&lt;C&gt;1&lt;/C&gt;&lt;D xsi:type="xsd:double"&gt;2.6186585&lt;/D&gt;&lt;D xsi:type="xsd:double"&gt;2.0541668&lt;/D&gt;&lt;D xsi:type="xsd:double"&gt;13.162792&lt;/D&gt;&lt;D xsi:type="xsd:double"&gt;3.6580324&lt;/D&gt;&lt;D xsi:type="xsd:double"&gt;-1.4076114&lt;/D&gt;&lt;D xsi:type="xsd:double"&gt;3.9010644&lt;/D&gt;&lt;D xsi:type="xsd:double"&gt;2.1316886&lt;/D&gt;&lt;D xsi:type="xsd:double"&gt;-6.5404534&lt;/D&gt;&lt;D xsi:type="xsd:double"&gt;-0.3683269&lt;/D&gt;&lt;D xsi:type="xsd:double"&gt;-2.8137147&lt;/D&gt;&lt;D xsi:type="xsd:double"&gt;0.9932399&lt;/D&gt;&lt;D xsi:type="xsd:double"&gt;0.81607103&lt;/D&gt;&lt;D xsi:type="xsd:double"&gt;-5.66625&lt;/D&gt;&lt;D xsi:type="xsd:double"&gt;8.812904&lt;/D&gt;&lt;D xsi:type="xsd:double"&gt;4.5556664&lt;/D&gt;&lt;D xsi:type="xsd:double"&gt;2.3642063&lt;/D&gt;&lt;D xsi:type="xsd:double"&gt;4.714644&lt;/D&gt;&lt;D xsi:type="xsd:double"&gt;-19.795847&lt;/D&gt;&lt;D xsi:type="xsd:double"&gt;1.5188575&lt;/D&gt;&lt;D xsi:type="xsd:double"&gt;-5.4016886&lt;/D&gt;&lt;D xsi:type="xsd:double"&gt;9.073317&lt;/D&gt;&lt;D xsi:type="</t>
        </r>
      </text>
    </comment>
    <comment ref="A10" authorId="0" shapeId="0" xr:uid="{04F3E060-5730-4BCA-A4A1-A67C87A82D9E}">
      <text>
        <r>
          <rPr>
            <b/>
            <sz val="9"/>
            <color indexed="81"/>
            <rFont val="Tahoma"/>
            <charset val="1"/>
          </rPr>
          <t>xsd:double"&gt;-9.050578&lt;/D&gt;&lt;D xsi:type="xsd:double"&gt;-9.68293&lt;/D&gt;&lt;D xsi:type="xsd:double"&gt;18.417501&lt;/D&gt;&lt;D xsi:type="xsd:double"&gt;-1.6647637&lt;/D&gt;&lt;D xsi:type="xsd:double"&gt;9.085965&lt;/D&gt;&lt;D xsi:type="xsd:double"&gt;-6.842226&lt;/D&gt;&lt;D xsi:type="xsd:double"&gt;-6.047267&lt;/D&gt;&lt;D xsi:type="xsd:double"&gt;4.1430354&lt;/D&gt;&lt;D xsi:type="xsd:double"&gt;-7.3644342&lt;/D&gt;&lt;D xsi:type="xsd:double"&gt;5.4281116&lt;/D&gt;&lt;D xsi:type="xsd:double"&gt;-1.5786886&lt;/D&gt;&lt;D xsi:type="xsd:double"&gt;1.9799471&lt;/D&gt;&lt;D xsi:type="xsd:double"&gt;-3.5881042&lt;/D&gt;&lt;D xsi:type="xsd:double"&gt;0.050985813&lt;/D&gt;&lt;D xsi:type="xsd:double"&gt;-1.4267564&lt;/D&gt;&lt;D xsi:type="xsd:double"&gt;1.6800284&lt;/D&gt;&lt;D xsi:type="xsd:double"&gt;1.1966228&lt;/D&gt;&lt;D xsi:type="xsd:double"&gt;-2.4669409&lt;/D&gt;&lt;D xsi:type="xsd:double"&gt;2.1381974&lt;/D&gt;&lt;D xsi:type="xsd:double"&gt;3.9060593&lt;/D&gt;&lt;D xsi:type="xsd:double"&gt;4.496312&lt;/D&gt;&lt;D xsi:type="xsd:double"&gt;-4.6871424&lt;/D&gt;&lt;D xsi:type="xsd:double"&gt;12.102234&lt;/D&gt;&lt;D xsi:type="xsd:double"&gt;-1.3187289&lt;/D&gt;&lt;D xsi:type="xsd:double"&gt;3.6919475&lt;/D&gt;&lt;D xsi:type="xsd:double"&gt;9.3490715&lt;/D&gt;&lt;D xsi:type="xsd:double"&gt;-4.754299&lt;/D&gt;&lt;D xsi:type="xsd:double"&gt;3.9429545&lt;/D&gt;&lt;D xsi:type="xsd:double"&gt;-12.582702&lt;/D&gt;&lt;D xsi:type="xsd:double"&gt;11.013853&lt;/D&gt;&lt;D xsi:type="xsd:double"&gt;1.4235735&lt;/D&gt;&lt;D xsi:type="xsd:double"&gt;-1.4899671&lt;/D&gt;&lt;D xsi:type="xsd:double"&gt;11.003947&lt;/D&gt;&lt;D xsi:type="xsd:double"&gt;6.793058&lt;/D&gt;&lt;D xsi:type="xsd:double"&gt;-0.87831616&lt;/D&gt;&lt;D xsi:type="xsd:double"&gt;6.379771&lt;/D&gt;&lt;D xsi:type="xsd:double"&gt;7.4520946&lt;/D&gt;&lt;D xsi:type="xsd:double"&gt;4.5574665&lt;/D&gt;&lt;D xsi:type="xsd:double"&gt;5.0694823&lt;/D&gt;&lt;D xsi:type="xsd:double"&gt;4.4641495&lt;/D&gt;&lt;/FQL&gt;&lt;FQL&gt;&lt;Q&gt;EWZ^FG_TOTAL_RETURNC(-5AY,0,AM)&lt;/Q&gt;&lt;R&gt;61&lt;/R&gt;&lt;C&gt;1&lt;/C&gt;&lt;D xsi:type="xsd:double"&gt;16.902733&lt;/D&gt;&lt;D xsi:type="xsd:double"&gt;-1.2179911&lt;/D&gt;&lt;D xsi:type="xsd:double"&gt;-1.2359262&lt;/D&gt;&lt;D xsi:type="xsd:double"&gt;-6.36819&lt;/D&gt;&lt;D xsi:type="xsd:double"&gt;-0.32669306&lt;/D&gt;&lt;D xsi:type="xsd:double"&gt;14.153755&lt;/D&gt;&lt;D xsi:type="xsd:double"&gt;6.805086&lt;/D&gt;&lt;D xsi:type="xsd:double"&gt;-4.168737&lt;/D&gt;&lt;D xsi:type="xsd:double"&gt;-2.8482616&lt;/D&gt;&lt;D xsi:type="xsd:double"&gt;-7.782519&lt;/D&gt;&lt;D xsi:type="xsd:double"&gt;-7.1387234&lt;/D&gt;&lt;D xsi:type="xsd:double"&gt;-2.0852864&lt;/D&gt;&lt;D xsi:type="xsd:double"&gt;-2.4793327&lt;/D&gt;&lt;D xsi:type="xsd:double"&gt;-1.8338442&lt;/D&gt;&lt;D xsi:type="xsd:double"&gt;16.184353&lt;/D&gt;&lt;D xsi:type="xsd:double"&gt;2.613771&lt;/D&gt;&lt;D xsi:type="xsd:double"&gt;12.67606&lt;/D&gt;&lt;D xsi:type="xsd:double"&gt;-18.430847&lt;/D&gt;&lt;D xsi:type="xsd:double"&gt;4.283929&lt;/D&gt;&lt;D xsi:type="xsd:double"&gt;-13.363904&lt;/D&gt;&lt;D xsi:type="xsd:double"&gt;16.635155&lt;/D&gt;&lt;D xsi:type="xsd:double"&gt;2.0745516&lt;/D&gt;&lt;D xsi:type="xsd:double"&gt;0.5398512&lt;/D&gt;&lt;D xsi:type="xsd:double"&gt;-3.2217324&lt;/D&gt;&lt;D xsi:type="xsd:double"&gt;-2.2845924&lt;/D&gt;&lt;D xsi:type="xsd:double"&gt;5.9755087&lt;/D&gt;&lt;D xsi:type="xsd:double"&gt;-4.681134&lt;/D&gt;&lt;D xsi:type="xsd:double"&gt;-3.8434148&lt;/D&gt;&lt;D xsi:type="xsd:double"&gt;6.587708&lt;/D&gt;&lt;D xsi:type="xsd:double"&gt;2.6388884&lt;/D&gt;&lt;D xsi:type="xsd:double"&gt;9.525072&lt;/D&gt;&lt;D xsi:type="xsd:double"&gt;0.31645298&lt;/D&gt;&lt;D xsi:type="xsd:double"&gt;-0.41009784&lt;/D&gt;&lt;D xsi:type="xsd:double"&gt;-0.7602155&lt;/D&gt;&lt;D xsi:type="xsd:double"&gt;-1.883179&lt;/D&gt;&lt;D xsi:type="xsd:double"&gt;5.400133&lt;/D&gt;&lt;D xsi:type="xsd:double"&gt;4.197526&lt;/D&gt;&lt;D xsi:type="xsd:double"&gt;4.84215&lt;/D&gt;&lt;D xsi:type="xsd:double"&gt;-3.6006987&lt;/D&gt;&lt;D xsi:type="xsd:double"&gt;-2.4597645&lt;/D&gt;&lt;D xsi:type="xsd:double"&gt;-0.93399286&lt;/D&gt;&lt;D xsi:type="xsd:double"&gt;-0.6599605&lt;/D&gt;&lt;D xsi:type="xsd:double"&gt;-9.00234&lt;/D&gt;&lt;D xsi:type="xsd:double"&gt;3.9497375&lt;/D&gt;&lt;D xsi:type="xsd:double"&gt;0.7944703&lt;/D&gt;&lt;D xsi:type="xsd:double"&gt;0.06854534&lt;/D&gt;&lt;D xsi:type="xsd:double"&gt;-3.0137002&lt;/D&gt;&lt;D xsi:type="xsd:double"&gt;-2.153957&lt;/D&gt;&lt;D xsi:type="xsd:double"&gt;-4.3305635&lt;/D&gt;&lt;D xsi:type="xsd:double"&gt;-10.515404&lt;/D&gt;&lt;D xsi:type="xsd:double"&gt;13.66241&lt;/D&gt;&lt;D xsi:type="xsd:double"&gt;-5.4672422&lt;/D&gt;&lt;D xsi:type="xsd:double"&gt;1.271534&lt;/D&gt;&lt;D xsi:type="xsd:double"&gt;11.624134&lt;/D&gt;&lt;D xsi:type="xsd:double"&gt;2.3947716&lt;/D&gt;&lt;D xsi:type="xsd:double"&gt;-0.6697595&lt;/D&gt;&lt;D xsi:type="xsd:double"&gt;0.39955378&lt;/D&gt;&lt;D xsi:type="xsd:double"&gt;8.719242&lt;/D&gt;&lt;D xsi:type="xsd:double"&gt;-4.193008&lt;/D&gt;&lt;D xsi:type="xsd:double"&gt;16.325115&lt;/D&gt;&lt;D xsi:type="xsd:double"&gt;-0.98537207&lt;/D&gt;&lt;/FQL&gt;&lt;FQL&gt;&lt;Q&gt;EWY^FG_TOTAL_RETURNC(-5AY,0,AM)&lt;/Q&gt;&lt;R&gt;61&lt;/R&gt;&lt;C&gt;1&lt;/C&gt;&lt;D xsi:type="xsd:double"&gt;13.680863&lt;/D&gt;&lt;D xsi:type="xsd:double"&gt;16.631233&lt;/D&gt;&lt;D xsi:type="xsd:double"&gt;-1.4884651&lt;/D&gt;&lt;D xsi:type="xsd:double"&gt;-5.5650177&lt;/D&gt;&lt;D xsi:type="xsd:double"&gt;2.8845072&lt;/D&gt;&lt;D xsi:type="xsd:double"&gt;0.9089947&lt;/D&gt;&lt;D xsi:type="xsd:double"&gt;0.5426526&lt;/D&gt;&lt;D xsi:type="xsd:double"&gt;-2.6230574&lt;/D&gt;&lt;D xsi:type="xsd:double"&gt;-2.017516&lt;/D&gt;&lt;D xsi:type="xsd:double"&gt;-5.407852&lt;/D&gt;&lt;D xsi:type="xsd:double"&gt;-6.960887&lt;/D&gt;&lt;D xsi:type="xsd:double"&gt;1.105547&lt;/D&gt;&lt;D xsi:type="xsd:double"&gt;2.657342&lt;/D&gt;&lt;D xsi:type="xsd:double"&gt;-1.0371447&lt;/D&gt;&lt;D xsi:type="xsd:double"&gt;-6.801331&lt;/D&gt;&lt;D xsi:type="xsd:double"&gt;-7.9423904&lt;/D&gt;&lt;D xsi:type="xsd:double"&gt;1.8924117&lt;/D&gt;&lt;D xsi:type="xsd:double"&gt;-6.9903493&lt;/D&gt;&lt;D xsi:type="xsd:double"&gt;-0.7389903&lt;/D&gt;&lt;D xsi:type="xsd:double"&gt;-10.296213&lt;/D&gt;&lt;D xsi:type="xsd:double"&gt;8.281827&lt;/D&gt;&lt;D xsi:type="xsd:double"&gt;-8.92042&lt;/D&gt;&lt;D xsi:type="xsd:double"&gt;-12.94539&lt;/D&gt;&lt;D xsi:type="xsd:double"&gt;24.907446&lt;/D&gt;&lt;D xsi:type="xsd:double"&gt;-4.4294415&lt;/D&gt;&lt;D xsi:type="xsd:double"&gt;7.2474837&lt;/D&gt;&lt;D xsi:type="xsd:double"&gt;1.5769839&lt;/D&gt;&lt;D xsi:type="xsd:double"&gt;-7.5384083&lt;/D&gt;&lt;D xsi:type="xsd:double"&gt;7.356763&lt;/D&gt;&lt;D xsi:type="xsd:double"&gt;-3.160268&lt;/D&gt;&lt;D xsi:type="xsd:double"&gt;11.0223055&lt;/D&gt;&lt;D xsi:type="xsd:double"&gt;-3.4943044&lt;/D&gt;&lt;D xsi:type="xsd:double"&gt;-1.9114196&lt;/D&gt;&lt;D xsi:type="xsd:double"&gt;-0.5386591&lt;/D&gt;&lt;D xsi:type="xsd:double"&gt;-5.1290154&lt;/D&gt;&lt;D xsi:type="xsd:double"&gt;1.2424469&lt;/D&gt;&lt;D xsi:type="xsd:double"&gt;3.9966822&lt;/D&gt;&lt;D xsi:type="xsd:double"&gt;0.68478584&lt;/D&gt;&lt;D xsi:type="xsd:double"&gt;3.4779787&lt;/D&gt;&lt;D xsi:type="xsd:double"&gt;4.0207386&lt;/D&gt;&lt;D xsi:type="xsd:double"&gt;-1.9779623&lt;/D&gt;&lt;D xsi:type="xsd:double"&gt;-0.06161332&lt;/D&gt;&lt;D xsi:type="xsd:double"&gt;-1.6954362&lt;/D&gt;&lt;D xsi:type="xsd:double"&gt;7.9491973&lt;/D&gt;&lt;D xsi:type="xsd:double"&gt;-9.629625&lt;/D&gt;&lt;D xsi:type="xsd:double"&gt;-0.9000361&lt;/D&gt;&lt;D xsi:type="xsd:double"&gt;2.8057098&lt;/D&gt;&lt;D xsi:type="xsd:double"&gt;-7.919228&lt;/D&gt;&lt;D xsi:type="xsd:double"&gt;-4.9169064&lt;/D&gt;&lt;D xsi:type="xsd:double"&gt;-1.2307644&lt;/D&gt;&lt;D xsi:type="xsd:double"&gt;2.8961062&lt;/D&gt;&lt;D xsi:type="xsd:double"&gt;-0.69003105&lt;/D&gt;&lt;D xsi:type="xsd:double"&gt;-0.69482327&lt;/D&gt;&lt;D xsi:type="xsd:double"&gt;6.2235236&lt;/D&gt;&lt;D xsi:type="xsd:double"&gt;16.120647&lt;/D&gt;&lt;D xsi:type="xsd:double"&gt;8.314669&lt;/D&gt;&lt;D xsi:type="xsd:double"&gt;0.6477356&lt;/D&gt;&lt;D xsi:type="xsd:double"&gt;6.6137195&lt;/D&gt;&lt;D xsi:type="xsd:double"&gt;3.6732554&lt;/D&gt;&lt;D xsi:type="xsd:double"&gt;18.05005&lt;/D&gt;&lt;D xsi:type="xsd:double"&gt;-0.3463149&lt;/D&gt;&lt;/FQL&gt;&lt;FQL&gt;&lt;Q&gt;EWW^FG_TOTAL_RETURNC(-5AY,0,AM)&lt;/Q&gt;&lt;R&gt;61&lt;/R&gt;&lt;C&gt;1&lt;/C&gt;&lt;D xsi:type="xsd:double"&gt;8.239496&lt;/D&gt;&lt;D xsi:type="xsd:double"&gt;6.4959645&lt;/D&gt;&lt;D xsi:type="xsd:double"&gt;-5.165058&lt;/D&gt;&lt;D xsi:type="xsd:double"&gt;4.262376&lt;/D&gt;&lt;D xsi:type="xsd:double"&gt;2.4983048&lt;/D&gt;&lt;D xsi:type="xsd:double"&gt;4.254377&lt;/D&gt;&lt;D xsi:type="xsd:double"&gt;5.68887&lt;/D&gt;&lt;D xsi:type="xsd:double"&gt;-3.0198634&lt;/D&gt;&lt;D xsi:type="xsd:double"&gt;3.0512094&lt;/D&gt;&lt;D xsi:type="xsd:double"&gt;1.41958&lt;/D&gt;&lt;D xsi:type="xsd:double"&gt;-4.199159&lt;/D&gt;&lt;D xsi:type="xsd:double"&gt;1.5863061&lt;/D&gt;&lt;D xsi:type="xsd:double"&gt;-1.2122393&lt;/D&gt;&lt;D xsi:type="xsd:double"&gt;6.56327&lt;/D&gt;&lt;D xsi:type="xsd:double"&gt;-0.39588213&lt;/D&gt;&lt;D xsi:type="xsd:double"&gt;-2.3251176&lt;/D&gt;&lt;D xsi:type="xsd:double"&gt;8.321465&lt;/D&gt;&lt;D xsi:type="xsd:double"&gt;-9.936142&lt;/D&gt;&lt;D xsi:type="xsd:double"&gt;0.3904581&lt;/D&gt;&lt;D xsi:type="xsd:double"&gt;-4.682559&lt;/D&gt;&lt;D xsi:type="xsd:double"&gt;5.7756186&lt;/D&gt;&lt;D xsi:type="xsd:double"&gt;-2.3849368&lt;/D&gt;&lt;D xsi:type="xsd:double"&gt;-2.4432063&lt;/D&gt;&lt;D xsi:type="xsd:double"&gt;17.772411&lt;/D&gt;&lt;D xsi:type="xsd:double"&gt;-3.8985252&lt;/D&gt;&lt;D xsi:type="xsd:double"&gt;10.307825&lt;/D&gt;&lt;D xsi:type="xsd:double"&gt;1.1133075&lt;/D&gt;&lt;D xsi:type="xsd:double"&gt;1.1898398&lt;/D&gt;&lt;D xsi:type="xsd:double"&gt;4.369962&lt;/D&gt;&lt;D xsi:type="xsd:double"&gt;4.6073556&lt;/D&gt;&lt;D xsi:type="xsd:double"&gt;1.8899441&lt;/D&gt;&lt;D xsi:type="xsd:double"&gt;0.44500828&lt;/D&gt;&lt;D xsi:type="xsd:double"&gt;-1.8196225&lt;/D&gt;&lt;D xsi:type="xsd:double"&gt;-2.9492319&lt;/D&gt;&lt;D xsi:type="xsd:double"&gt;-6.2437773&lt;/D&gt;&lt;D xsi:type="xsd:double"&gt;4.5164704&lt;/D&gt;&lt;D xsi:type="xsd:double"&gt;8.354521&lt;/D&gt;&lt;D xsi:type="xsd:double"&gt;4.8624873&lt;/D&gt;&lt;D xsi:type="xsd:double"&gt;2.105105&lt;/D&gt;&lt;D xsi:type="xsd:double"&gt;-2.3435235&lt;/D&gt;&lt;D xsi:type="xsd:double"&gt;4.2983055&lt;/D&gt;&lt;D xsi:type="xsd:double"&gt;-0.29124618&lt;/D&gt;&lt;D xsi:type="xsd:double"&gt;-16.597557&lt;/D&gt;&lt;D xsi:type="xsd:double"&gt;6.869149&lt;/D&gt;&lt;D xsi:type="xsd:double"&gt;-8.046925&lt;/D&gt;&lt;D xsi:type="xsd:double"&gt;-6.325245&lt;/D&gt;&lt;D xsi:type="xsd:double"&gt;5.639744&lt;/D&gt;&lt;D xsi:type="xsd:double"&gt;-6.464505&lt;/D&gt;&lt;D xsi:type="xsd:double"&gt;1.0289311&lt;/D&gt;&lt;D xsi:type="xsd:double"&gt;-6.530857&lt;/D&gt;&lt;D xsi:type="xsd:double"&gt;8.782351&lt;/D&gt;&lt;D xsi:type="xsd:double"&gt;-2.0085752&lt;/D&gt;&lt;D xsi:type="xsd:double"&gt;0.85572004&lt;/D&gt;&lt;D xsi:type="xsd:double"&gt;14.680349&lt;/D&gt;&lt;D xsi:type="xsd:double"&gt;5.918789&lt;/D&gt;&lt;D xsi:type="xsd:double"&gt;-0.5540967&lt;/D&gt;&lt;D xsi:type="xsd:double"&gt;2.3449183&lt;/D&gt;&lt;D xsi:type="xsd:double"&gt;6.7760825&lt;/D&gt;&lt;D xsi:type="xsd:double"&gt;-2.0088255&lt;/D&gt;&lt;D xsi:type="xsd:double"&gt;7.687521&lt;/D&gt;&lt;D xsi:type="xsd:double"&gt;2.4805307&lt;/D&gt;&lt;/FQL&gt;&lt;FQL&gt;&lt;Q&gt;EWT^FG_TOTAL_RETURNC(-5AY,0,AM)&lt;/Q&gt;&lt;R&gt;61&lt;/R&gt;&lt;C&gt;1&lt;/C&gt;&lt;D xsi:type="xsd:double"&gt;8.654046&lt;/D&gt;&lt;D xsi:type="xsd:double"&gt;10.266388&lt;/D&gt;&lt;D xsi:type="xsd:double"&gt;5.077851&lt;/D&gt;&lt;D xsi:type="xsd:double"&gt;-0.5556464&lt;/D&gt;&lt;D xsi:type="xsd:double"&gt;3.1154752&lt;/D&gt;&lt;D xsi:type="xsd:double"&gt;-0.55829287&lt;/D&gt;&lt;D xsi:type="xsd:double"&gt;4.887712&lt;/D&gt;&lt;D xsi:type="xsd:double"&gt;1.4798522&lt;/D&gt;&lt;D xsi:type="xsd:double"&gt;-1.0394037&lt;/D&gt;&lt;D xsi:type="xsd:double"&gt;2.1476746&lt;/D&gt;&lt;D xsi:type="xsd:double"&gt;-6.2001286&lt;/D&gt;&lt;D xsi:type="xsd:double"&gt;6.1027527&lt;/D&gt;&lt;D xsi:type="xsd:double"&gt;3.114891&lt;/D&gt;&lt;D xsi:type="xsd:double"&gt;3.0756712&lt;/D&gt;&lt;D xsi:type="xsd:double"&gt;-2.7131796&lt;/D&gt;&lt;D xsi:type="xsd:double"&gt;-7.4471354&lt;/D&gt;&lt;D xsi:type="xsd:double"&gt;-2.8642416&lt;/D&gt;&lt;D xsi:type="xsd:double"&gt;-9.442639&lt;/D&gt;&lt;D xsi:type="xsd:double"&gt;3.2749772&lt;/D&gt;&lt;D xsi:type="xsd:double"&gt;-11.773282&lt;/D&gt;&lt;D xsi:type="xsd:double"&gt;8.118153&lt;/D&gt;&lt;D xsi:type="xsd:double"&gt;-5.426061&lt;/D&gt;&lt;D xsi:type="xsd:double"&gt;-14.929295&lt;/D&gt;&lt;D xsi:type="xsd:double"&gt;14.200902&lt;/D&gt;&lt;D xsi:type="xsd:double"&gt;2.91121&lt;/D&gt;&lt;D xsi:type="xsd:double"&gt;2.4955273&lt;/D&gt;&lt;D xsi:type="xsd:double"&gt;4.467201&lt;/D&gt;&lt;D xsi:type="xsd:double"&gt;-3.1403124&lt;/D&gt;&lt;D xsi:type="xsd:double"&gt;3.9549232&lt;/D&gt;&lt;D xsi:type="xsd:double"&gt;-3.7602305&lt;/D&gt;&lt;D xsi:type="xsd:double"&gt;9.400141&lt;/D&gt;&lt;D xsi:type="xsd:double"&gt;-1.449579&lt;/D&gt;&lt;D xsi:type="xsd:double"&gt;-2.3875475&lt;/D&gt;&lt;D xsi:type="xsd:double"&gt;-1.0482609&lt;/D&gt;&lt;D xsi:type="xsd:double"&gt;1.2580037&lt;/D&gt;&lt;D xsi:type="xsd:double"&gt;0.7846594&lt;/D&gt;&lt;D xsi:type="xsd:double"&gt;5.6444526&lt;/D&gt;&lt;D xsi:type="xsd:double"&gt;1.5343189&lt;/D&gt;&lt;D xsi:type="xsd:double"&gt;6.1136365&lt;/D&gt;&lt;D xsi:type="xsd:double"&gt;3.5339475&lt;/D&gt;&lt;D xsi:type="xsd:double"&gt;2.027309&lt;/D&gt;&lt;D xsi:type="xsd:double"&gt;0.28386116&lt;/D&gt;&lt;D xsi:type="xsd:double"&gt;4.164982&lt;/D&gt;&lt;D xsi:type="xsd:double"&gt;10.326088&lt;/D&gt;&lt;D xsi:type="xsd:double"&gt;-9.429979&lt;/D&gt;&lt;D xsi:type="xsd:double"&gt;1.0100961&lt;/D&gt;&lt;D xsi:type="xsd:double"&gt;5.942309&lt;/D&gt;&lt;D xsi:type="xsd:double"&gt;-0.5990207&lt;/D&gt;&lt;D xsi:type="xsd:double"&gt;-0.5843699&lt;/D&gt;&lt;D xsi:type="xsd:double"&gt;-2.9915333&lt;/D&gt;&lt;D xsi:type="xsd:double"&gt;2.698481&lt;/D&gt;&lt;D xsi:type="xsd:double"&gt;-4.836255&lt;/D&gt;&lt;D xsi:type="xsd:double"&gt;-8.723492&lt;/D&gt;&lt;D xsi:type="xsd:double"&gt;13.437092&lt;/D&gt;&lt;D xsi:type="xsd:double"&gt;7.8840613&lt;/D&gt;&lt;D xsi:type="xsd:double"&gt;4.424143&lt;/D&gt;&lt;D xsi:type="xsd:double"&gt;3.396225&lt;/D&gt;&lt;D xsi:type="xsd:double"&gt;4.080963&lt;/D&gt;&lt;D xsi:type="xsd:double"&gt;-1.7851472&lt;/D&gt;&lt;D xsi:type="xsd:double"&gt;6.1181426&lt;/D&gt;&lt;D xsi:type="xsd:double"&gt;0.8105159&lt;/D&gt;&lt;/FQL&gt;&lt;FQL&gt;&lt;Q&gt;EWM^FG_TOTAL_RETURNC(-5AY,0,AM)&lt;/Q&gt;&lt;R&gt;61&lt;/R&gt;&lt;C&gt;1&lt;/C&gt;&lt;D xsi:type="xsd:double"&gt;8.443475&lt;/D&gt;&lt;D xsi:type="xsd:double"&gt;-4.5362234&lt;/D&gt;&lt;D xsi:type="xsd:double"&gt;-0.6383002&lt;/D&gt;&lt;D xsi:type="xsd:double"&gt;0.24981499&lt;/D&gt;&lt;D xsi:type="xsd:double"&gt;-1.6731918&lt;/D&gt;&lt;D xsi:type="xsd:double"&gt;-1.2672007&lt;/D&gt;&lt;D xsi:type="xsd:double"&gt;0.19937754&lt;/D&gt;&lt;D xsi:type="xsd:double"&gt;-5.3227606&lt;/D&gt;&lt;D xsi:type="xsd:double"&gt;-1.4752805&lt;/D&gt;&lt;D xsi:type="xsd:double"&gt;6.191826&lt;/D&gt;&lt;D xsi:type="xsd:double"&gt;0.03811121&lt;/D&gt;&lt;D xsi:type="xsd:double"&gt;-3.1619072&lt;/D&gt;&lt;D xsi:type="xsd:double"&gt;-3.068453&lt;/D&gt;&lt;D xsi:type="xsd:double"&gt;6.179309&lt;/D&gt;&lt;D xsi:type="xsd:double"&gt;-0.7895827&lt;/D&gt;&lt;D xsi:type="xsd:double"&gt;-0.31834245&lt;/D&gt;&lt;D xsi:type="xsd:double"&gt;2.9940128&lt;/D&gt;&lt;D xsi:type="xsd:double"&gt;-7.984495&lt;/D&gt;&lt;D xsi:type="xsd:double"&gt;-3.328377&lt;/D&gt;&lt;D xsi:type="xsd:double"&gt;-4.401958&lt;/D&gt;&lt;D xsi:type="xsd:double"&gt;5.488372&lt;/D&gt;&lt;D xsi:type="xsd:double"&gt;-1.7195761&lt;/D&gt;&lt;D xsi:type="xsd:double"&gt;-10.049355&lt;/D&gt;&lt;D xsi:type="xsd:double"&gt;8.179558&lt;/D&gt;&lt;D xsi:type="xsd:double"&gt;4.7026157&lt;/D&gt;&lt;D xsi:type="xsd:double"&gt;2.701962&lt;/D&gt;&lt;D xsi:type="xsd:double"&gt;-0.47619343&lt;/D&gt;&lt;D xsi:type="xsd:double"&gt;-7.0465384&lt;/D&gt;&lt;D xsi:type="xsd:double"&gt;4.726243&lt;/D&gt;&lt;D xsi:type="xsd:double"&gt;-2.368182&lt;/D&gt;&lt;D xsi:type="xsd:double"&gt;-6.0655&lt;/D&gt;&lt;D xsi:type="xsd:double"&gt;0.2976179&lt;/D&gt;&lt;D xsi:type="xsd:double"&gt;5.5885315&lt;/D&gt;&lt;D xsi:type="xsd:double"&gt;-1.030451&lt;/D&gt;&lt;D xsi:type="xsd:double"&gt;-1.2777984&lt;/D&gt;&lt;D xsi:type="xsd:double"&gt;0.8149624&lt;/D&gt;&lt;D xsi:type="xsd:double"&gt;0.2853036&lt;/D&gt;&lt;D xsi:type="xsd:double"&gt;3.0221105&lt;/D&gt;&lt;D xsi:type="xsd:double"&gt;-1.311481&lt;/D&gt;&lt;D xsi:type="xsd:double"&gt;4.0341735&lt;/D&gt;&lt;D xsi:type="xsd:double"&gt;-0.5474508&lt;/D&gt;&lt;D xsi:type="xsd:double"&gt;4.2201877&lt;/D&gt;&lt;D xsi:type="xsd:double"&gt;1.2439728&lt;/D&gt;&lt;D xsi:type="xsd:double"&gt;2.3409963&lt;/D&gt;&lt;D xsi:type="xsd:double"&gt;3.0642986&lt;/D&gt;&lt;D xsi:type="xsd:double"&gt;6.867683&lt;/D&gt;&lt;D xsi:type="xsd:double"&gt;1.4890194&lt;/D&gt;&lt;D xsi:type="xsd:double"&gt;-4.9034777&lt;/D&gt;&lt;D xsi:type="xsd:double"&gt;0.8526206&lt;/D&gt;&lt;D xsi:type="xsd:double"&gt;-3.0038953&lt;/D&gt;&lt;D xsi:type="xsd:double"&gt;1.3953447&lt;/D&gt;&lt;D xsi:type="xsd:double"&gt;-3.669721&lt;/D&gt;&lt;D xsi:type="xsd:double"&gt;-2.770567&lt;/D&gt;&lt;D xsi:type="xsd:double"&gt;8.860207&lt;/D&gt;&lt;D xsi:type="xsd:double"&gt;0&lt;/D&gt;&lt;D xsi:type="xsd:double"&gt;0.5772233&lt;/D&gt;&lt;D xsi:type="xsd:double"&gt;2.1594763&lt;/D&gt;&lt;D xsi:type="xsd:double"&gt;2.9674768&lt;/D&gt;&lt;D xsi:type="xsd:double"&gt;0&lt;/D&gt;&lt;D xsi:type="xsd:double"&gt;5.724442&lt;/D&gt;&lt;D xsi:type="xsd:double"&gt;0.33607483&lt;/D&gt;&lt;/FQL&gt;&lt;FQL&gt;&lt;Q&gt;EPU^FG_TOTAL_RETURNC(-5AY,0,AM)&lt;/Q&gt;&lt;R&gt;61&lt;/R&gt;&lt;C&gt;1&lt;/C&gt;&lt;D xsi:type="xsd:double"&gt;11.510563&lt;/D&gt;&lt;D xsi:type="xsd:double"&gt;6.91185&lt;/D&gt;&lt;D xsi:type="xsd:double"&gt;3.5326838&lt;/D&gt;&lt;D xsi:type="xsd:double"&gt;-0.9940982&lt;/D&gt;&lt;D xsi:type="xsd:double"&gt;-1.6485691&lt;/D&gt;&lt;D xsi:type="xsd:double"&gt;-3.704214&lt;/D&gt;&lt;D xsi:type="xsd:double"&gt;-10.71403&lt;/D&gt;&lt;D xsi:type="xsd:double"&gt;-5.825239&lt;/D&gt;&lt;D xsi:type="xsd:double"&gt;-9.518904&lt;/D&gt;&lt;D xsi:type="xsd:double"&gt;3.9878488&lt;/D&gt;&lt;D xsi:type="xsd:double"&gt;2.1913767&lt;/D&gt;&lt;D xsi:type="xsd:double"&gt;7.8984976&lt;/D&gt;&lt;D xsi:type="xsd:double"&gt;-4.9685297&lt;/D&gt;&lt;D xsi:type="xsd:double"&gt;15.897751&lt;/D&gt;&lt;D xsi:type="xsd:double"&gt;4.279554&lt;/D&gt;&lt;D xsi:type="xsd:double"&gt;8.709776&lt;/D&gt;&lt;D xsi:type="xsd:double"&gt;-2.3628414&lt;/D&gt;&lt;D xsi:type="xsd:double"&gt;-21.168291&lt;/D&gt;&lt;D xsi:type="xsd:double"&gt;7.0196033&lt;/D&gt;&lt;D xsi:type="xsd:double"&gt;-15.589744&lt;/D&gt;&lt;D xsi:type="xsd:double"&gt;9.842038&lt;/D&gt;&lt;D xsi:type="xsd:double"&gt;-3.7241876&lt;/D&gt;&lt;D xsi:type="xsd:double"&gt;-2.5660694&lt;/D&gt;&lt;D xsi:type="xsd:double"&gt;16.194963&lt;/D&gt;&lt;D xsi:type="xsd:double"&gt;0.27064085&lt;/D&gt;&lt;D xsi:type="xsd:double"&gt;7.114053&lt;/D&gt;&lt;D xsi:type="xsd:double"&gt;-4.583335&lt;/D&gt;&lt;D xsi:type="xsd:double"&gt;-2.082634&lt;/D&gt;&lt;D xsi:type="xsd:double"&gt;6.6209316&lt;/D&gt;&lt;D xsi:type="xsd:double"&gt;-1.2548268&lt;/D&gt;&lt;D xsi:type="xsd:double"&gt;1.4361382&lt;/D&gt;&lt;D xsi:type="xsd:double"&gt;3.086245&lt;/D&gt;&lt;D xsi:type="xsd:double"&gt;4.5804143&lt;/D&gt;&lt;D xsi:type="xsd:double"&gt;-4.1793766&lt;/D&gt;&lt;D xsi:type="xsd:double"&gt;-6.010503&lt;/D&gt;&lt;D xsi:type="xsd:double"&gt;-0.9216845&lt;/D&gt;&lt;D xsi:type="xsd:double"&gt;4.8232555&lt;/D&gt;&lt;D xsi:type="xsd:double"&gt;12.096251&lt;/D&gt;&lt;D xsi:type="xsd:double"&gt;-0.40191412&lt;/D&gt;&lt;D xsi:type="xsd:double"&gt;11.426926&lt;/D&gt;&lt;D xsi:type="xsd:double"&gt;9.008288&lt;/D&gt;&lt;D xsi:type="xsd:double"&gt;4.578221&lt;/D&gt;&lt;D xsi:type="xsd:double"&gt;-2.8093219&lt;/D&gt;&lt;D xsi:type="xsd:double"&gt;4.9244404&lt;/D&gt;&lt;D xsi:type="xsd:double"&gt;-7.147908&lt;/D&gt;&lt;D xsi:type="xsd:double"&gt;-0.7367909&lt;/D&gt;&lt;D xsi:type="xsd:double"&gt;12.234449&lt;/D&gt;&lt;D xsi:type="xsd:double"&gt;-2.3945272&lt;/D&gt;&lt;D xsi:type="xsd:double"&gt;3.328514&lt;/D&gt;&lt;D xsi:type="xsd:double"&gt;-6.5525236&lt;/D&gt;&lt;D xsi:type="xsd:double"&gt;3.0961037&lt;/D&gt;&lt;D xsi:type="xsd:double"&gt;-0.48208237&lt;/D&gt;&lt;D xsi:type="xsd:double"&gt;2.3936033&lt;/D&gt;&lt;D xsi:type="xsd:double"&gt;7.711303&lt;/D&gt;&lt;D xsi:type="xsd:double"&gt;6.8600893&lt;/D&gt;&lt;D xsi:type="xsd:double"&gt;2.698195&lt;/D&gt;&lt;D xsi:type="xsd:double"&gt;4.712057&lt;/D&gt;&lt;D xsi:type="xsd:double"&gt;12.548769&lt;/D&gt;&lt;D xsi:type="xsd:double"&gt;5.843556&lt;/D&gt;&lt;D xsi:type="xsd:double"&gt;3.4969687&lt;/D&gt;&lt;D xsi:type="xsd:double"&gt;10.532999&lt;/D&gt;&lt;/FQL&gt;&lt;FQL&gt;&lt;Q&gt;EPOL^FG_TOTAL_RETURNC(-5AY,0,AM)&lt;/Q&gt;&lt;R&gt;61&lt;/R&gt;&lt;C&gt;1&lt;/C&gt;&lt;D xsi:type="xsd:double"&gt;11.967314&lt;/D&gt;&lt;D xsi:type="xsd:double"&gt;5.42053&lt;/D&gt;&lt;D xsi:type="xsd:double"&gt;-4.3002725&lt;/D&gt;&lt;D xsi:type="xsd:double"&gt;-0.93506575&lt;/D&gt;&lt;D xsi:type="xsd:double"&gt;0.6292701&lt;/D&gt;&lt;D xsi:type="xsd:double"&gt;9.275663&lt;/D&gt;&lt;D xsi:type="xsd:double"&gt;5.5301547&lt;/D&gt;&lt;D xsi:type="xsd:double"&gt;-1.087451&lt;/D&gt;&lt;D xsi:type="xsd:double"&gt;0.32066107&lt;/D&gt;&lt;D xsi:type="xsd:double"&gt;5.0228357&lt;/D&gt;&lt;D xsi:type="xsd:double"&gt;1.7391324&lt;/D&gt;&lt;D xsi:type="xsd:double"&gt;-2.8632462&lt;/D&gt;&lt;D xsi:type="xsd:double"&gt;-8.183014&lt;/D&gt;&lt;D xsi:type="xsd:double"&gt;8.871627&lt;/D&gt;&lt;D xsi:type="xsd:double"&gt;-9.653026&lt;/D&gt;&lt;D xsi:type="xsd:double"&gt;-15.706545&lt;/D&gt;&lt;D xsi:type="xsd:double"&gt;8.060741&lt;/D&gt;&lt;D xsi:type="xsd:double"&gt;-21.135134&lt;/D&gt;&lt;D xsi:type="xsd:double"&gt;4.160714&lt;/D&gt;&lt;D xsi:type="xsd:double"&gt;-8.964146&lt;/D&gt;&lt;D xsi:type="xsd:double"&gt;6.783366&lt;/D&gt;&lt;D xsi:type="xsd:double"&gt;-12.5&lt;/D&gt;&lt;D xsi:type="xsd:double"&gt;-16.237318&lt;/D&gt;&lt;D xsi:type="xsd:double"&gt;36.62629&lt;/D&gt;&lt;D xsi:type="xsd:double"&gt;1.7053246&lt;/D&gt;&lt;D xsi:type="xsd:double"&gt;14.51639&lt;/D&gt;&lt;D xsi:type="xsd:double"&gt;-6.257457&lt;/D&gt;&lt;D xsi:type="xsd:double"&gt;-1.7164648&lt;/D&gt;&lt;D xsi:type="xsd:double"&gt;3.040111&lt;/D&gt;&lt;D xsi:type="xsd:double"&gt;10.671687&lt;/D&gt;&lt;D xsi:type="xsd:double"&gt;5.9557676&lt;/D&gt;&lt;D xsi:type="xsd:double"&gt;3.9614558&lt;/D&gt;&lt;D xsi:type="xsd:double"&gt;4.016483&lt;/D&gt;&lt;D xsi:type="xsd:double"&gt;-12.623769&lt;/D&gt;&lt;D xsi:type="xsd:double"&gt;2.7762055&lt;/D&gt;&lt;D xsi:type="xsd:double"&gt;11.466372&lt;/D&gt;&lt;D xsi:type="xsd:double"&gt;11.424339&lt;/D&gt;&lt;D xsi:type="xsd:double"&gt;-1.2796283&lt;/D&gt;&lt;D xsi:type="xsd:double"&gt;3.100419&lt;/D&gt;&lt;D xsi:type="xsd:double"&gt;4.488325&lt;/D&gt;&lt;D xsi:type="xsd:double"&gt;3.5223365&lt;/D&gt;&lt;D xsi:type="xsd:double"&gt;2.5103688&lt;/D&gt;&lt;D xsi:type="xsd:double"&gt;-4.782653&lt;/D&gt;&lt;D xsi:type="xsd:double"&gt;8.921612&lt;/D&gt;&lt;D xsi:type="xsd:double"&gt;-10.57654&lt;/D&gt;&lt;D xsi:type="xsd:double"&gt;3.8683891&lt;/D&gt;&lt;D xsi:type="xsd:double"&gt;2.1832228&lt;/D&gt;&lt;D xsi:type="xsd:double"&gt;-5.236697&lt;/D&gt;&lt;D xsi:type="xsd:double"&gt;0.8399606&lt;/D&gt;&lt;D xsi:type="xsd:double"&gt;-3.0724585&lt;/D&gt;&lt;D xsi:type="xsd:double"&gt;18.233072&lt;/D&gt;&lt;D xsi:type="xsd:double"&gt;6.8362474&lt;/D&gt;&lt;D xsi:type="xsd:double"&gt;1.3764858&lt;/D&gt;&lt;D xsi:type="xsd:double"&gt;13.321102&lt;/D&gt;&lt;D xsi:type="xsd:double"&gt;-0.8419633&lt;/D&gt;&lt;D xsi:type="xsd:double"&gt;6.164229&lt;/D&gt;&lt;D xsi:type="xsd:double"&gt;4.663527&lt;/D&gt;&lt;D xsi:type="xsd:double"&gt;-2.5119603&lt;/D&gt;&lt;D xsi:type="xsd:double"&gt;-2.515328&lt;/D&gt;&lt;D xsi:type="xsd:double"&gt;8.747637&lt;/D&gt;&lt;D xsi:type="xsd:double"&gt;2.0543933&lt;/D&gt;&lt;/FQL&gt;&lt;FQL&gt;&lt;Q&gt;EPHE^FG_TOTAL_RETURNC(-5AY,0,AM)&lt;/Q&gt;&lt;R&gt;61&lt;/R&gt;&lt;C&gt;1&lt;/C&gt;&lt;D xsi:type="xsd:double"&gt;3.5871506&lt;/D&gt;&lt;D xsi:type="xsd:double"&gt;1.7101884&lt;/D&gt;&lt;D xsi:type="xsd:double"&gt;-5.2678823&lt;/D&gt;&lt;D xsi:type="xsd:double"&gt;-4.4865727&lt;/D&gt;&lt;D xsi:type="xsd:double"&gt;-2.2494197&lt;/D&gt;&lt;D xsi:type="xsd:double"&gt;-1.5228391&lt;/D&gt;&lt;D xsi:type="xsd:double"&gt;9.571684&lt;/D&gt;&lt;D xsi:type="xsd:double"&gt;-5.3836465&lt;/D&gt;&lt;D xsi:type="xsd:double"&gt;-3.420657&lt;/D&gt;&lt;D xsi:type="xsd:double"&gt;6.2543154&lt;/D&gt;&lt;D xsi:type="xsd:double"&gt;2.308941&lt;/D&gt;&lt;D xsi:type="xsd:double"&gt;5.2447557&lt;/D&gt;&lt;D xsi:type="xsd:double"&gt;-1.9329488&lt;/D&gt;&lt;D xsi:type="xsd:double"&gt;-3.264296&lt;/D&gt;&lt;D xsi:type="xsd:double"&gt;2.1249413&lt;/D&gt;&lt;D xsi:type="xsd:double"&gt;-5.788481&lt;/D&gt;&lt;D xsi:type="xsd:double"&gt;0.33210516&lt;/D&gt;&lt;D xsi:type="xsd:double"&gt;-6.2231007&lt;/D&gt;&lt;D xsi:type="xsd:double"&gt;-2.643615&lt;/D&gt;&lt;D xsi:type="xsd:double"&gt;-6.4563456&lt;/D&gt;&lt;D xsi:type="xsd:double"&gt;6.9019675&lt;/D&gt;&lt;D xsi:type="xsd:double"&gt;-4.1452703&lt;/D&gt;&lt;D xsi:type="xsd:double"&gt;-14.657479&lt;/D&gt;&lt;D xsi:type="xsd:double"&gt;12.511217&lt;/D&gt;&lt;D xsi:type="xsd:double"&gt;5.101633&lt;/D&gt;&lt;D xsi:type="xsd:double"&gt;5.5701613&lt;/D&gt;&lt;D xsi:type="xsd:double"&gt;2.7787805&lt;/D&gt;&lt;D xsi:type="xsd:double"&gt;-7.514042&lt;/D&gt;&lt;D xsi:type="xsd:double"&gt;0.7213354&lt;/D&gt;&lt;D xsi:type="xsd:double"&gt;0.98001957&lt;/D&gt;&lt;D xsi:type="xsd:double"&gt;-3.1732976&lt;/D&gt;&lt;D xsi:type="xsd:double"&gt;0.4682064&lt;/D&gt;&lt;D xsi:type="xsd:double"&gt;-2.174753&lt;/D&gt;&lt;D xsi:type="xsd:double"&gt;-1.4489889&lt;/D&gt;&lt;D xsi:type="xsd:double"&gt;-0.6243706&lt;/D&gt;&lt;D xsi:type="xsd:double"&gt;0&lt;/D&gt;&lt;D xsi:type="xsd:double"&gt;1.824081&lt;/D&gt;&lt;D xsi:type="xsd:double"&gt;5.3565145&lt;/D&gt;&lt;D xsi:type="xsd:double"&gt;4.609525&lt;/D&gt;&lt;D xsi:type="xsd:double"&gt;1.2381673&lt;/D&gt;&lt;D xsi:type="xsd:double"&gt;-5.0359726&lt;/D&gt;&lt;D xsi:type="xsd:double"&gt;-3.7878811&lt;/D&gt;&lt;D xsi:type="xsd:double"&gt;-3.844297&lt;/D&gt;&lt;D xsi:type="xsd:double"&gt;4.364097&lt;/D&gt;&lt;D xsi:type="xsd:double"&gt;2.4691343&lt;/D&gt;&lt;D xsi:type="xsd:double"&gt;9.016716&lt;/D&gt;&lt;D xsi:type="xsd:double"&gt;2.1746874&lt;/D&gt;&lt;D xsi:type="xsd:double"&gt;-7.501745&lt;/D&gt;&lt;D xsi:type="xsd:double"&gt;-2.753675&lt;/D&gt;&lt;D xsi:type="xsd:double"&gt;-3.042549&lt;/D&gt;&lt;D xsi:type="xsd:double"&gt;-3.95481&lt;/D&gt;&lt;D xsi:type="xsd:double"&gt;5.3361416&lt;/D&gt;&lt;D xsi:type="xsd:double"&gt;-0.43877363&lt;/D&gt;&lt;D xsi:type="xsd:double"&gt;10.657061&lt;/D&gt;&lt;D xsi:type="xsd:double"&gt;1.1223674&lt;/D&gt;&lt;D xsi:type="xsd:double"&gt;-1.7066181&lt;/D&gt;&lt;D xsi:type="xsd:double"&gt;-3.4647942&lt;/D&gt;&lt;D xsi:type="xsd:double"&gt;-0.725472&lt;/D&gt;&lt;D xsi:type="xsd:double"&gt;-4.3461504&lt;/D&gt;&lt;D xsi:type="xsd:double"&gt;-5.870533&lt;/D&gt;&lt;D xsi:type="xsd:double"&gt;6.8774104&lt;/D&gt;&lt;/FQL&gt;&lt;FQL&gt;&lt;Q&gt;EIDO^FG_TOTAL_RETURNC(-5AY,0,AM)&lt;/Q&gt;&lt;R&gt;61&lt;/R&gt;&lt;C&gt;1&lt;/C&gt;&lt;D xsi:type="xsd:double"&gt;7.030523&lt;/D&gt;&lt;D xsi:type="xsd:double"&gt;6.141901&lt;/D&gt;&lt;D xsi:type="xsd:double"&gt;-2.0508587&lt;/D&gt;&lt;D xsi:type="xsd:double"&gt;-2.8475642&lt;/D&gt;&lt;D xsi:type="xsd:double"&gt;-6.5948305&lt;/D&gt;&lt;D xsi:type="xsd:double"&gt;0.7844925&lt;/D&gt;&lt;D xsi:type="xsd:double"&gt;2.5240302&lt;/D&gt;&lt;D xsi:type="xsd:double"&gt;-8.629215&lt;/D&gt;&lt;D xsi:type="xsd:double"&gt;0.24594069&lt;/D&gt;&lt;D xsi:type="xsd:double"&gt;4.857707&lt;/D&gt;&lt;D xsi:type="xsd:double"&gt;10.060835&lt;/D&gt;&lt;D xsi:type="xsd:double"&gt;2.0833373&lt;/D&gt;&lt;D xsi:type="xsd:double"&gt;-2.1657646&lt;/D&gt;&lt;D xsi:type="xsd:double"&gt;0.5351305&lt;/D&gt;&lt;D xsi:type="xsd:double"&gt;1.3219595&lt;/D&gt;&lt;D xsi:type="xsd:double"&gt;2.525258&lt;/D&gt;&lt;D xsi:type="xsd:double"&gt;0.32840967&lt;/D&gt;&lt;D xsi:type="xsd:double"&gt;-2.782327&lt;/D&gt;&lt;D xsi:type="xsd:double"&gt;-0.7236004&lt;/D&gt;&lt;D xsi:type="xsd:double"&gt;-6.8357706&lt;/D&gt;&lt;D xsi:type="xsd:double"&gt;11.21366&lt;/D&gt;&lt;D xsi:type="xsd:double"&gt;1.1203289&lt;/D&gt;&lt;D xsi:type="xsd:double"&gt;-5.580634&lt;/D&gt;&lt;D xsi:type="xsd:double"&gt;3.2159925&lt;/D&gt;&lt;D xsi:type="xsd:double"&gt;-5.347371&lt;/D&gt;&lt;D xsi:type="xsd:double"&gt;-2.4053037&lt;/D&gt;&lt;D xsi:type="xsd:double"&gt;7.7348113&lt;/D&gt;&lt;D xsi:type="xsd:double"&gt;-5.5128155&lt;/D&gt;&lt;D xsi:type="xsd:double"&gt;7.1913123&lt;/D&gt;&lt;D xsi:type="xsd:double"&gt;0.42192936&lt;/D&gt;&lt;D xsi:type="xsd:double"&gt;0.6151676&lt;/D&gt;&lt;D xsi:type="xsd:double"&gt;-1.7902732&lt;/D&gt;&lt;D xsi:type="xsd:double"&gt;-0.5208373&lt;/D&gt;&lt;D xsi:type="xsd:double"&gt;0.1308918&lt;/D&gt;&lt;D xsi:type="xsd:double"&gt;-4.5315924&lt;/D&gt;&lt;D xsi:type="xsd:double"&gt;-4.2902827&lt;/D&gt;&lt;D xsi:type="xsd:double"&gt;1.7644286&lt;/D&gt;&lt;D xsi:type="xsd:double"&gt;5.7685375&lt;/D&gt;&lt;D xsi:type="xsd:double"&gt;0.08932352&lt;/D&gt;&lt;D xsi:type="xsd:double"&gt;2.275765&lt;/D&gt;&lt;D xsi:type="xsd:double"&gt;-5.0174475&lt;/D&gt;&lt;D xsi:type="xsd:double"&gt;-5.9255896&lt;/D&gt;&lt;D xsi:type="xsd:double"&gt;-4.4700623&lt;/D&gt;&lt;D xsi:type="xsd:double"&gt;7.35451&lt;/D&gt;&lt;D xsi:type="xsd:double"&gt;0.9364128&lt;/D&gt;&lt;D xsi:type="xsd:double"&gt;8.105469&lt;/D&gt;&lt;D xsi:type="xsd:double"&gt;-1.0840118&lt;/D&gt;&lt;D xsi:type="xsd:double"&gt;-6.986296&lt;/D&gt;&lt;D xsi:type="xsd:double"&gt;0.88363886&lt;/D&gt;&lt;D xsi:type="xsd:double"&gt;-9.799433&lt;/D&gt;&lt;D xsi:type="xsd:double"&gt;-5.2054825&lt;/D&gt;&lt;D xsi:type="xsd:double"&gt;-4.8554897&lt;/D&gt;&lt;D xsi:type="xsd:double"&gt;-3.5844445&lt;/D&gt;&lt;D xsi:type="xsd:double"&gt;9.703838&lt;/D&gt;&lt;D xsi:type="xsd:double"&gt;8.615744&lt;/D&gt;&lt;D xsi:type="xsd:double"&gt;-2.9565215&lt;/D&gt;&lt;D xsi:type="xsd:double"&gt;0.6155491&lt;/D&gt;&lt;D xsi:type="xsd:double"&gt;-1.8909931&lt;/D&gt;&lt;D xsi:type="xsd:double"&gt;-1.8707454&lt;/D&gt;&lt;D xsi:type="xsd:double"&gt;6.5858006&lt;/D&gt;&lt;D xsi:type="xsd:double"&gt;1.2466073&lt;/D&gt;&lt;/FQL&gt;&lt;FQL&gt;&lt;Q&gt;ECH^FG_TOTAL_RETURNC(-5AY,0,AM)&lt;/Q&gt;&lt;R&gt;61&lt;/R&gt;&lt;C&gt;1&lt;/C&gt;&lt;D xsi:type="xsd:double"&gt;4.52224&lt;/D&gt;&lt;D xsi:type="xsd:double"&gt;12.303925&lt;/D&gt;&lt;D xsi:type="xsd:double"&gt;0.062465668&lt;/D&gt;&lt;D xsi:type="xsd:double"&gt;7.646692&lt;/D&gt;&lt;D xsi:type="xsd:double"&gt;1.565659&lt;/D&gt;&lt;D xsi:type="xsd:double"&gt;-8.307165&lt;/D&gt;&lt;D xsi:type="xsd:double"&gt;-6.722796&lt;/D&gt;&lt;D xsi:type="xsd:double"&gt;-5.5329204&lt;/D&gt;&lt;D xsi:type="xsd:double"&gt;-0.5749166&lt;/D&gt;&lt;D xsi:type="xsd:double"&gt;0.18069744&lt;/D&gt;&lt;D xsi:type="xsd:double"&gt;-11.291486&lt;/D&gt;&lt;D xsi:type="xsd:double"&gt;11.956083&lt;/D&gt;&lt;D xsi:type="xsd:double"&gt;-8.10026&lt;/D&gt;&lt;D xsi:type="xsd:double"&gt;-0.50922036&lt;/D&gt;&lt;D xsi:type="xsd:double"&gt;8.740246&lt;/D&gt;&lt;D xsi:type="xsd:double"&gt;-0.7924497&lt;/D&gt;&lt;D xsi:type="xsd:double"&gt;5.1730633&lt;/D&gt;&lt;D xsi:type="xsd:double"&gt;-9.330922&lt;/D&gt;&lt;D xsi:type="xsd:double"&gt;14.923143&lt;/D&gt;&lt;D xsi:type="xsd:double"&gt;-16.353792&lt;/D&gt;&lt;D xsi:type="xsd:double"&gt;18.040573&lt;/D&gt;&lt;D xsi:type="xsd:double"&gt;3.8391232&lt;/D&gt;&lt;D xsi:type="xsd:double"&gt;-14.929575&lt;/D&gt;&lt;D xsi:type="xsd:double"&gt;13.824499&lt;/D&gt;&lt;D xsi:type="xsd:double"&gt;-1.1272728&lt;/D&gt;&lt;D xsi:type="xsd:double"&gt;5.591345&lt;/D&gt;&lt;D xsi:type="xsd:double"&gt;4.608798&lt;/D&gt;&lt;D xsi:type="xsd:double"&gt;-1.5027344&lt;/D&gt;&lt;D xsi:type="xsd:double"&gt;-2.6699066&lt;/D&gt;&lt;D xsi:type="xsd:double"&gt;7.374418&lt;/D&gt;&lt;D xsi:type="xsd:double"&gt;1.0885239&lt;/D&gt;&lt;D xsi:type="xsd:double"&gt;2.5256038&lt;/D&gt;&lt;D xsi:type="xsd:double"&gt;-1.8475354&lt;/D&gt;&lt;D xsi:type="xsd:double"&gt;-9.8524685&lt;/D&gt;&lt;D xsi:type="xsd:double"&gt;-4.7027826&lt;/D&gt;&lt;D xsi:type="xsd:double"&gt;-2.566123&lt;/D&gt;&lt;D xsi:type="xsd:double"&gt;8.225274&lt;/D&gt;&lt;D xsi:type="xsd:double"&gt;-1.2783289&lt;/D&gt;&lt;D xsi:type="xsd:double"&gt;-5.687028&lt;/D&gt;&lt;D xsi:type="xsd:double"&gt;5.8680773&lt;/D&gt;&lt;D xsi:type="xsd:double"&gt;5.8486223&lt;/D&gt;&lt;D xsi:type="xsd:double"&gt;1.5529037&lt;/D&gt;&lt;D xsi:type="xsd:double"&gt;-1.8217623&lt;/D&gt;&lt;D xsi:type="xsd:double"&gt;0.5574107&lt;/D&gt;&lt;D xsi:type="xsd:double"&gt;-5.3954124&lt;/D&gt;&lt;D xsi:type="xsd:double"&gt;-1.1328161&lt;/D&gt;&lt;D xsi:type="xsd:double"&gt;5.689454&lt;/D&gt;&lt;D xsi:type="xsd:double"&gt;-6.2803745&lt;/D&gt;&lt;D xsi:type="xsd:double"&gt;3.589952&lt;/D&gt;&lt;D xsi:type="xsd:double"&gt;-3.1449735&lt;/D&gt;&lt;D xsi:type="xsd:double"&gt;12.923813&lt;/D&gt;&lt;D xsi:type="xsd:double"&gt;3.8149118&lt;/D&gt;&lt;D xsi:type="xsd:double"&gt;-3.4025192&lt;/D&gt;&lt;D xsi:type="xsd:double"&gt;13.420224&lt;/D&gt;&lt;D xsi:type="xsd:double"&gt;1.0558963&lt;/D&gt;&lt;D xsi:type="xsd:double"&gt;-4.2120876&lt;/D&gt;&lt;D xsi:type="xsd:double"&gt;3.1465054&lt;/D&gt;&lt;D xsi:type="xsd:double"&gt;8.102953&lt;/D&gt;&lt;D xsi:type="xsd:double"&gt;-7.4074087&lt;/D&gt;&lt;D xsi:type="xsd:double"&gt;15.873014&lt;/D&gt;&lt;D xsi:type="xsd:double"&gt;7.6164365&lt;/D&gt;&lt;/FQL&gt;&lt;FQL&gt;&lt;Q&gt;CNYA^FG_TOTAL_RETURNC(-5AY,0,AM)&lt;/Q&gt;&lt;R&gt;61&lt;/R&gt;&lt;C&gt;1&lt;/C&gt;&lt;D xsi:type="xsd:double"&gt;1.1335015&lt;/D&gt;&lt;D xsi:type="xsd:double"&gt;12.536371&lt;/D&gt;&lt;D xsi:type="xsd:double"&gt;8.662642&lt;/D&gt;&lt;D xsi:type="xsd:double"&gt;-13.396335&lt;/D&gt;&lt;D xsi:type="xsd:double"&gt;-2.5148332&lt;/D&gt;&lt;D xsi:type="xsd:double"&gt;1.5332222&lt;/D&gt;&lt;D xsi:type="xsd:double"&gt;6.0697317&lt;/D&gt;&lt;D xsi:type="xsd:double"&gt;-1.3580799&lt;/D&gt;&lt;D xsi:type="xsd:double"&gt;-0.3212571&lt;/D&gt;&lt;D xsi:type="xsd:double"&gt;0.7596731&lt;/D&gt;&lt;D xsi:type="xsd:double"&gt;-2.3989022&lt;/D&gt;&lt;D xsi:type="xsd:double"&gt;1.9896984&lt;/D&gt;&lt;D xsi:type="xsd:double"&gt;3.1673193&lt;/D&gt;&lt;D xsi:type="xsd:double"&gt;-5.545068&lt;/D&gt;&lt;D xsi:type="xsd:double"&gt;-5.7047844&lt;/D&gt;&lt;D xsi:type="xsd:double"&gt;-5.2684546&lt;/D&gt;&lt;D xsi:type="xsd:double"&gt;-5.0292788&lt;/D&gt;&lt;D xsi:type="xsd:double"&gt;-8.65789&lt;/D&gt;&lt;D xsi:type="xsd:double"&gt;8.331394&lt;/D&gt;&lt;D xsi:type="xsd:double"&gt;3.5744667&lt;/D&gt;&lt;D xsi:type="xsd:double"&gt;-2.19118&lt;/D&gt;&lt;D xsi:type="xsd:double"&gt;-4.9845934&lt;/D&gt;&lt;D xsi:type="xsd:double"&gt;-11.759501&lt;/D&gt;&lt;D xsi:type="xsd:double"&gt;4.308617&lt;/D&gt;&lt;D xsi:type="xsd:double"&gt;4.2907476&lt;/D&gt;&lt;D xsi:type="xsd:double"&gt;4.7980547&lt;/D&gt;&lt;D xsi:type="xsd:double"&gt;0.6002426&lt;/D&gt;&lt;D xsi:type="xsd:double"&gt;-4.6539426&lt;/D&gt;&lt;D xsi:type="xsd:double"&gt;3.0976295&lt;/D&gt;&lt;D xsi:type="xsd:double"&gt;-3.702581&lt;/D&gt;&lt;D xsi:type="xsd:double"&gt;-6.7723694&lt;/D&gt;&lt;D xsi:type="xsd:double"&gt;0.3726244&lt;/D&gt;&lt;D xsi:type="xsd:double"&gt;-0.6375313&lt;/D&gt;&lt;D xsi:type="xsd:double"&gt;-2.7549922&lt;/D&gt;&lt;D xsi:type="xsd:double"&gt;-1.9214034&lt;/D&gt;&lt;D xsi:type="xsd:double"&gt;-2.9198825&lt;/D&gt;&lt;D xsi:type="xsd:double"&gt;-1.5957415&lt;/D&gt;&lt;D xsi:type="xsd:double"&gt;-4.6669903&lt;/D&gt;&lt;D xsi:type="xsd:double"&gt;0.89205503&lt;/D&gt;&lt;D xsi:type="xsd:double"&gt;8.361268&lt;/D&gt;&lt;D xsi:type="xsd:double"&gt;-3.464979&lt;/D&gt;&lt;D xsi:type="xsd:double"&gt;4.862988&lt;/D&gt;&lt;D xsi:type="xsd:double"&gt;-4.2432127&lt;/D&gt;&lt;D xsi:type="xsd:double"&gt;-0.8481145&lt;/D&gt;&lt;D xsi:type="xsd:double"&gt;-3.2659411&lt;/D&gt;&lt;D xsi:type="xsd:double"&gt;-3.3360124&lt;/D&gt;&lt;D xsi:type="xsd:double"&gt;25.363827&lt;/D&gt;&lt;D xsi:type="xsd:double"&gt;1.028192&lt;/D&gt;&lt;D xsi:type="xsd:double"&gt;-3.545636&lt;/D&gt;&lt;D xsi:type="xsd:double"&gt;-8.584732&lt;/D&gt;&lt;D xsi:type="xsd:double"&gt;5.783856&lt;/D&gt;&lt;D xsi:type="xsd:double"&gt;2.5539637&lt;/D&gt;&lt;D xsi:type="xsd:double"&gt;-4.980707&lt;/D&gt;&lt;D xsi:type="xsd:double"&gt;2.5470614&lt;/D&gt;&lt;D xsi:type="xsd:double"&gt;1.8358588&lt;/D&gt;&lt;D xsi:type="xsd:double"&gt;3.628087&lt;/D&gt;&lt;D xsi:type="xsd:double"&gt;3.7500024&lt;/D&gt;&lt;D xsi:type="xsd:double"&gt;12.031687&lt;/D&gt;&lt;D xsi:type="xsd:double"&gt;-3.005308&lt;/D&gt;&lt;D xsi:type="xsd:double"&gt;4.7083974&lt;/D&gt;&lt;D xsi:type="xsd:double"&gt;-1.1024117&lt;/D&gt;&lt;/FQL&gt;&lt;FQL&gt;&lt;Q&gt;ECH^JULIAN(FG_TOTAL_RETURNC(-5AY,0,AM).DATES)&lt;/Q&gt;&lt;R&gt;61&lt;/R&gt;&lt;C&gt;1&lt;/C&gt;&lt;D xsi:type="xsd:long"&gt;44176&lt;/D&gt;&lt;D xsi:type="xsd:long"&gt;44207&lt;/D&gt;&lt;D xsi:type="xsd:long"&gt;44238&lt;/D&gt;&lt;D xsi:type="xsd:long"&gt;44266&lt;/D&gt;&lt;D xsi:type="xsd:long"&gt;44295&lt;/D&gt;&lt;D xsi:type="xsd:long"&gt;44327&lt;/D&gt;&lt;D xsi:type="xsd:long"&gt;44358&lt;/D&gt;&lt;D xsi:type="xsd:long"&gt;44386&lt;/D&gt;&lt;D xsi:type="xsd:long"&gt;44419&lt;/D&gt;&lt;D xsi:type="xsd:long"&gt;44449&lt;/D&gt;&lt;D xsi:type="xsd:long"&gt;44480&lt;/D&gt;&lt;D xsi:type="xsd:long"&gt;44511&lt;/D&gt;&lt;D xsi:type="xsd:long"&gt;44540&lt;/D&gt;&lt;D xsi:type="xsd:long"&gt;44572&lt;/D&gt;&lt;D xsi:type="xsd:long"&gt;44603&lt;/D&gt;&lt;D xsi:type="xsd:long"&gt;44631&lt;/D&gt;&lt;D xsi:type="xsd:long"&gt;44662&lt;/D&gt;&lt;D xsi:type="xsd:long"&gt;44692&lt;/D&gt;&lt;D xsi:type="xsd:long"&gt;44722&lt;/D&gt;&lt;D xsi:type="xsd:long"&gt;44753&lt;/D&gt;&lt;D xsi:type="xsd:long"&gt;44784&lt;/D&gt;&lt;D xsi:type="xsd:long"&gt;44813&lt;/D&gt;&lt;D xsi:type="xsd:long"&gt;44845&lt;/D&gt;&lt;D xsi:type="xsd:long"&gt;44876&lt;/D&gt;&lt;D xsi:type="xsd:long"&gt;44904&lt;/D&gt;&lt;D xsi:type="xsd:long"&gt;44937&lt;/D&gt;&lt;D xsi:type="xsd:long"&gt;44967&lt;/D&gt;&lt;D xsi:type="xsd:long"&gt;44995&lt;/D&gt;&lt;D xsi:type="xsd:long"&gt;45027&lt;/D&gt;&lt;D xsi:type="xsd:long"&gt;45057&lt;/D&gt;&lt;D xsi:type="xsd:long"&gt;45086&lt;/D&gt;&lt;D xsi:type="xsd:long"&gt;45118&lt;/D&gt;&lt;D xsi:type="xsd:long"&gt;45149&lt;/D&gt;&lt;D xsi:type="xsd:long"&gt;45180&lt;/D&gt;&lt;D xsi:type="xsd:long"&gt;45210&lt;/D&gt;&lt;D xsi:type="xsd:long"&gt;45240&lt;/D&gt;&lt;D xsi:type="xsd:long"&gt;45271&lt;/D&gt;&lt;D xsi:type="xsd:long"&gt;45302&lt;/D&gt;&lt;D xsi:type="xsd:long"&gt;45331&lt;/D&gt;&lt;D xsi:type="xsd:long"&gt;45362&lt;/D&gt;&lt;D xsi:type="xsd:long"&gt;45393&lt;/D&gt;&lt;D xsi:type="xsd:long"&gt;45422&lt;/D&gt;&lt;D xsi:type="xsd:long"&gt;45454&lt;/D&gt;&lt;D xsi:type="xsd:long"&gt;45484&lt;/D&gt;&lt;D xsi:type="xsd:long"&gt;45513&lt;/D&gt;&lt;D xsi:type="xsd:long"&gt;45546&lt;/D&gt;&lt;D xsi:type="xsd:long"&gt;45576&lt;/D&gt;&lt;D xsi:type="xsd:long"&gt;45607&lt;/D&gt;&lt;D xsi:type="xsd:long"&gt;45637&lt;/D&gt;&lt;D xsi:type="xsd:long"&gt;45667&lt;/D&gt;&lt;D xsi:type="xsd:long"&gt;45699&lt;/D&gt;&lt;D xsi:type="xsd:long"&gt;45727&lt;/D&gt;&lt;D xsi:type="xsd:long"&gt;45758&lt;/D&gt;&lt;D xsi:type="xsd:long"&gt;45786&lt;/D&gt;&lt;D xsi:type="xsd:long"&gt;45819&lt;/D&gt;&lt;D xsi:type="xsd:long"&gt;45849&lt;/D&gt;&lt;D xsi:type="xsd:long"&gt;45880&lt;/D&gt;&lt;D xsi:type="xsd:long"&gt;45911&lt;/D&gt;&lt;D xsi:type="xsd:long"&gt;45940&lt;/D&gt;&lt;D xsi:type="xsd:long"&gt;45972&lt;/D&gt;&lt;D xsi:type="xsd:long"&gt;46002&lt;/D&gt;&lt;/FQL&gt;&lt;/Schema&gt;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<sst xmlns="http://schemas.openxmlformats.org/spreadsheetml/2006/main" count="167" uniqueCount="82">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</sst>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workbookViewId="0">
      <selection activeCell="D11" sqref="D11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MONTHLY_RETURNS!$B$73:$AI$73=1)),"")</f>
        <v/>
      </c>
      <c r="B2" s="4" t="str" cm="1">
        <f t="array" ref="B2">IFERROR(TRANSPOSE(_xlfn._xlws.FILTER(MONTHLY_RETURNS!B65:AI65, MONTHLY_RETURNS!$B$73:$AI$73=1)),"")</f>
        <v/>
      </c>
      <c r="C2" s="4" t="str" cm="1">
        <f t="array" ref="C2">IFERROR(TRANSPOSE(_xlfn._xlws.FILTER(MONTHLY_RETURNS!B66:AI66, MONTHLY_RETURNS!$B$73:$AI$73=1)),"")</f>
        <v/>
      </c>
      <c r="D2" s="4" t="str" cm="1">
        <f t="array" ref="D2">IFERROR(TRANSPOSE(_xlfn._xlws.FILTER(MONTHLY_RETURNS!B67:AI67, MONTHLY_RETURNS!$B$73:$AI$73=1)),"")</f>
        <v/>
      </c>
      <c r="E2" s="4" t="str" cm="1">
        <f t="array" ref="E2">IFERROR(TRANSPOSE(_xlfn._xlws.FILTER(MONTHLY_RETURNS!B68:AI68, MONTHLY_RETURNS!$B$73:$AI$73=1)),"")</f>
        <v/>
      </c>
      <c r="F2" s="4" t="str" cm="1">
        <f t="array" ref="F2">IFERROR(TRANSPOSE(_xlfn._xlws.FILTER(MONTHLY_RETURNS!B69:AI69, MONTHLY_RETURNS!$B$73:$AI$73=1)),"")</f>
        <v/>
      </c>
      <c r="G2" s="4" t="str" cm="1">
        <f t="array" ref="G2">IFERROR(TRANSPOSE(_xlfn._xlws.FILTER(MONTHLY_RETURNS!B70:AI70, MONTHLY_RETURNS!$B$73:$AI$73=1)),"")</f>
        <v/>
      </c>
      <c r="H2" s="1" t="str" cm="1">
        <f t="array" ref="H2">IFERROR(TRANSPOSE(_xlfn._xlws.FILTER(MONTHLY_RETURNS!B71:AI71, MONTHLY_RETURNS!$B$73:$AI$73=1)),"")</f>
        <v/>
      </c>
      <c r="I2" s="1" t="str" cm="1">
        <f t="array" ref="I2">IFERROR(TRANSPOSE(_xlfn._xlws.FILTER(MONTHLY_RETURNS!B72:AI72, MONTHLY_RETURNS!$B$73:$AI$73=1)),"")</f>
        <v/>
      </c>
    </row>
    <row r="3" spans="1:9" x14ac:dyDescent="0.45">
      <c r="A3" s="5"/>
      <c r="B3" s="4"/>
      <c r="C3" s="4"/>
      <c r="D3" s="4"/>
      <c r="E3" s="4"/>
      <c r="F3" s="4"/>
      <c r="G3" s="4"/>
      <c r="H3" s="1"/>
      <c r="I3" s="1"/>
    </row>
    <row r="4" spans="1:9" x14ac:dyDescent="0.45">
      <c r="A4" s="5"/>
      <c r="B4" s="4"/>
      <c r="C4" s="4"/>
      <c r="D4" s="4"/>
      <c r="E4" s="4"/>
      <c r="F4" s="4"/>
      <c r="G4" s="4"/>
      <c r="H4" s="1"/>
      <c r="I4" s="1"/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tabSelected="1" workbookViewId="0">
      <selection activeCell="G8" sqref="G8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50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44176</v>
      </c>
      <c r="B2" s="3" cm="1">
        <f t="array" ref="B2:B62">_xll.FDS(B1,"FG_TOTAL_RETURNC(-5AY,0,AM)")/100</f>
        <v>1.1335014999999999E-2</v>
      </c>
      <c r="C2" s="3" cm="1">
        <f t="array" ref="C2:C62">_xll.FDS(C1,"FG_TOTAL_RETURNC(-5AY,0,AM)")/100</f>
        <v>4.5222400000000003E-2</v>
      </c>
      <c r="D2" s="3" cm="1">
        <f t="array" ref="D2:D62">_xll.FDS(D1,"FG_TOTAL_RETURNC(-5AY,0,AM)")/100</f>
        <v>7.0305229999999996E-2</v>
      </c>
      <c r="E2" s="3" cm="1">
        <f t="array" ref="E2:E62">_xll.FDS(E1,"FG_TOTAL_RETURNC(-5AY,0,AM)")/100</f>
        <v>3.5871506000000004E-2</v>
      </c>
      <c r="F2" s="3" cm="1">
        <f t="array" ref="F2:F62">_xll.FDS(F1,"FG_TOTAL_RETURNC(-5AY,0,AM)")/100</f>
        <v>0.11967314</v>
      </c>
      <c r="G2" s="3" cm="1">
        <f t="array" ref="G2:G62">_xll.FDS(G1,"FG_TOTAL_RETURNC(-5AY,0,AM)")/100</f>
        <v>0.11510563</v>
      </c>
      <c r="H2" s="3" cm="1">
        <f t="array" ref="H2:H62">_xll.FDS(H1,"FG_TOTAL_RETURNC(-5AY,0,AM)")/100</f>
        <v>8.4434749999999989E-2</v>
      </c>
      <c r="I2" s="3" cm="1">
        <f t="array" ref="I2:I62">_xll.FDS(I1,"FG_TOTAL_RETURNC(-5AY,0,AM)")/100</f>
        <v>8.6540459999999986E-2</v>
      </c>
      <c r="J2" s="3" cm="1">
        <f t="array" ref="J2:J62">_xll.FDS(J1,"FG_TOTAL_RETURNC(-5AY,0,AM)")/100</f>
        <v>8.2394960000000003E-2</v>
      </c>
      <c r="K2" s="3" cm="1">
        <f t="array" ref="K2:K62">_xll.FDS(K1,"FG_TOTAL_RETURNC(-5AY,0,AM)")/100</f>
        <v>0.13680863000000001</v>
      </c>
      <c r="L2" s="3" cm="1">
        <f t="array" ref="L2:L62">_xll.FDS(L1,"FG_TOTAL_RETURNC(-5AY,0,AM)")/100</f>
        <v>0.16902733</v>
      </c>
      <c r="M2" s="3" cm="1">
        <f t="array" ref="M2:M62">_xll.FDS(M1,"FG_TOTAL_RETURNC(-5AY,0,AM)")/100</f>
        <v>2.6186584999999998E-2</v>
      </c>
      <c r="N2" s="3" cm="1">
        <f t="array" ref="N2:N62">_xll.FDS(N1,"FG_TOTAL_RETURNC(-5AY,0,AM)")/100</f>
        <v>0.23196877000000002</v>
      </c>
      <c r="O2" s="3" cm="1">
        <f t="array" ref="O2:O62">_xll.FDS(O1,"FG_TOTAL_RETURNC(-5AY,0,AM)")/100</f>
        <v>6.4070699999999994E-2</v>
      </c>
      <c r="P2" s="3" cm="1">
        <f t="array" ref="P2:P62">_xll.FDS(P1,"FG_TOTAL_RETURNC(-5AY,0,AM)")/100</f>
        <v>-1.00404024E-3</v>
      </c>
      <c r="Q2" s="3" cm="1">
        <f t="array" ref="Q2:Q62">_xll.FDS(Q1,"FG_TOTAL_RETURNC(-5AY,0,AM)")/100</f>
        <v>3.0555843999999999E-2</v>
      </c>
      <c r="R2" s="3" cm="1">
        <f t="array" ref="R2:R62">_xll.FDS(R1,"FG_TOTAL_RETURNC(-5AY,0,AM)")/100</f>
        <v>0.10207832</v>
      </c>
      <c r="S2" s="3" cm="1">
        <f t="array" ref="S2:S62">_xll.FDS(S1,"FG_TOTAL_RETURNC(-5AY,0,AM)")/100</f>
        <v>7.4024199999999998E-2</v>
      </c>
      <c r="T2" s="3" cm="1">
        <f t="array" ref="T2:T62">_xll.FDS(T1,"FG_TOTAL_RETURNC(-5AY,0,AM)")/100</f>
        <v>0.11923861499999999</v>
      </c>
      <c r="U2" s="3" cm="1">
        <f t="array" ref="U2:U62">_xll.FDS(U1,"FG_TOTAL_RETURNC(-5AY,0,AM)")/100</f>
        <v>7.4311375999999998E-2</v>
      </c>
      <c r="V2" s="3" cm="1">
        <f t="array" ref="V2:V62">_xll.FDS(V1,"FG_TOTAL_RETURNC(-5AY,0,AM)")/100</f>
        <v>1.9268394000000001E-2</v>
      </c>
      <c r="W2" s="3" cm="1">
        <f t="array" ref="W2:W62">_xll.FDS(W1,"FG_TOTAL_RETURNC(-5AY,0,AM)")/100</f>
        <v>3.9086460000000003E-2</v>
      </c>
      <c r="X2" s="3" cm="1">
        <f t="array" ref="X2:X62">_xll.FDS(X1,"FG_TOTAL_RETURNC(-5AY,0,AM)")/100</f>
        <v>6.3591599999999998E-2</v>
      </c>
      <c r="Y2" s="3" cm="1">
        <f t="array" ref="Y2:Y62">_xll.FDS(Y1,"FG_TOTAL_RETURNC(-5AY,0,AM)")/100</f>
        <v>7.9326869999999994E-2</v>
      </c>
      <c r="Z2" s="3" cm="1">
        <f t="array" ref="Z2:Z62">_xll.FDS(Z1,"FG_TOTAL_RETURNC(-5AY,0,AM)")/100</f>
        <v>3.2064080000000002E-2</v>
      </c>
      <c r="AA2" s="3" cm="1">
        <f t="array" ref="AA2:AA62">_xll.FDS(AA1,"FG_TOTAL_RETURNC(-5AY,0,AM)")/100</f>
        <v>3.9073467000000001E-2</v>
      </c>
      <c r="AB2" s="3" cm="1">
        <f t="array" ref="AB2:AB62">_xll.FDS(AB1,"FG_TOTAL_RETURNC(-5AY,0,AM)")/100</f>
        <v>2.2791266000000001E-2</v>
      </c>
      <c r="AC2" s="3" cm="1">
        <f t="array" ref="AC2:AC62">_xll.FDS(AC1,"FG_TOTAL_RETURNC(-5AY,0,AM)")/100</f>
        <v>3.1974792000000002E-2</v>
      </c>
      <c r="AD2" s="3" cm="1">
        <f t="array" ref="AD2:AD62">_xll.FDS(AD1,"FG_TOTAL_RETURNC(-5AY,0,AM)")/100</f>
        <v>4.1724205E-2</v>
      </c>
      <c r="AE2" s="3" cm="1">
        <f t="array" ref="AE2:AE62">_xll.FDS(AE1,"FG_TOTAL_RETURNC(-5AY,0,AM)")/100</f>
        <v>2.6999711999999999E-2</v>
      </c>
      <c r="AF2" s="3" cm="1">
        <f t="array" ref="AF2:AF62">_xll.FDS(AF1,"FG_TOTAL_RETURNC(-5AY,0,AM)")/100</f>
        <v>4.2807700000000004E-2</v>
      </c>
      <c r="AG2" s="3" cm="1">
        <f t="array" ref="AG2:AG62">_xll.FDS(AG1,"FG_TOTAL_RETURNC(-5AY,0,AM)")/100</f>
        <v>5.3890586000000004E-2</v>
      </c>
      <c r="AH2" s="3" cm="1">
        <f t="array" ref="AH2:AH62">_xll.FDS(AH1,"FG_TOTAL_RETURNC(-5AY,0,AM)")/100</f>
        <v>2.9434800000000001E-2</v>
      </c>
      <c r="AI2" s="3" cm="1">
        <f t="array" ref="AI2:AI62">_xll.FDS(AI1,"FG_TOTAL_RETURNC(-5AY,0,AM)")/100</f>
        <v>7.4019193999999996E-2</v>
      </c>
      <c r="AJ2" s="3"/>
      <c r="AK2" s="3"/>
      <c r="AL2" s="3"/>
    </row>
    <row r="3" spans="1:38" x14ac:dyDescent="0.45">
      <c r="A3" s="2">
        <v>44207</v>
      </c>
      <c r="B3" s="3">
        <v>0.12536371000000002</v>
      </c>
      <c r="C3" s="3">
        <v>0.12303924999999999</v>
      </c>
      <c r="D3" s="3">
        <v>6.1419009999999996E-2</v>
      </c>
      <c r="E3" s="3">
        <v>1.7101884000000001E-2</v>
      </c>
      <c r="F3" s="3">
        <v>5.4205300000000005E-2</v>
      </c>
      <c r="G3" s="3">
        <v>6.9118499999999999E-2</v>
      </c>
      <c r="H3" s="3">
        <v>-4.5362234000000001E-2</v>
      </c>
      <c r="I3" s="3">
        <v>0.10266387999999999</v>
      </c>
      <c r="J3" s="3">
        <v>6.495964500000001E-2</v>
      </c>
      <c r="K3" s="3">
        <v>0.16631233000000001</v>
      </c>
      <c r="L3" s="3">
        <v>-1.2179911000000002E-2</v>
      </c>
      <c r="M3" s="3">
        <v>2.0541667999999999E-2</v>
      </c>
      <c r="N3" s="3">
        <v>2.458012E-2</v>
      </c>
      <c r="O3" s="3">
        <v>7.6669454999999997E-2</v>
      </c>
      <c r="P3" s="3">
        <v>5.8705210000000001E-2</v>
      </c>
      <c r="Q3" s="3">
        <v>3.0761123000000001E-2</v>
      </c>
      <c r="R3" s="3">
        <v>3.6299348000000002E-2</v>
      </c>
      <c r="S3" s="3">
        <v>0.1553998</v>
      </c>
      <c r="T3" s="3">
        <v>4.4118879999999999E-2</v>
      </c>
      <c r="U3" s="3">
        <v>0.10834753</v>
      </c>
      <c r="V3" s="3">
        <v>2.2657156000000001E-2</v>
      </c>
      <c r="W3" s="3">
        <v>2.0949243999999999E-2</v>
      </c>
      <c r="X3" s="3">
        <v>3.6936045000000001E-2</v>
      </c>
      <c r="Y3" s="3">
        <v>2.3790598E-2</v>
      </c>
      <c r="Z3" s="3">
        <v>6.0770869999999998E-2</v>
      </c>
      <c r="AA3" s="3">
        <v>4.4866919999999998E-2</v>
      </c>
      <c r="AB3" s="3">
        <v>3.9366722E-2</v>
      </c>
      <c r="AC3" s="3">
        <v>5.7260749999999999E-2</v>
      </c>
      <c r="AD3" s="3">
        <v>4.3535950000000004E-2</v>
      </c>
      <c r="AE3" s="3">
        <v>3.8249373000000003E-2</v>
      </c>
      <c r="AF3" s="3">
        <v>2.8306722999999999E-2</v>
      </c>
      <c r="AG3" s="3">
        <v>6.2329410000000002E-2</v>
      </c>
      <c r="AH3" s="3">
        <v>5.0057289999999997E-2</v>
      </c>
      <c r="AI3" s="3">
        <v>4.3350577000000001E-2</v>
      </c>
      <c r="AJ3" s="3"/>
      <c r="AK3" s="3"/>
      <c r="AL3" s="3"/>
    </row>
    <row r="4" spans="1:38" x14ac:dyDescent="0.45">
      <c r="A4" s="2">
        <v>44238</v>
      </c>
      <c r="B4" s="3">
        <v>8.6626419999999996E-2</v>
      </c>
      <c r="C4" s="3">
        <v>6.2465668000000001E-4</v>
      </c>
      <c r="D4" s="3">
        <v>-2.0508587000000002E-2</v>
      </c>
      <c r="E4" s="3">
        <v>-5.2678823E-2</v>
      </c>
      <c r="F4" s="3">
        <v>-4.3002724999999999E-2</v>
      </c>
      <c r="G4" s="3">
        <v>3.5326837999999999E-2</v>
      </c>
      <c r="H4" s="3">
        <v>-6.3830019999999996E-3</v>
      </c>
      <c r="I4" s="3">
        <v>5.0778509999999999E-2</v>
      </c>
      <c r="J4" s="3">
        <v>-5.1650580000000001E-2</v>
      </c>
      <c r="K4" s="3">
        <v>-1.4884651E-2</v>
      </c>
      <c r="L4" s="3">
        <v>-1.2359261999999999E-2</v>
      </c>
      <c r="M4" s="3">
        <v>0.13162792000000001</v>
      </c>
      <c r="N4" s="3">
        <v>-5.1034509999999998E-2</v>
      </c>
      <c r="O4" s="3">
        <v>3.7394403999999999E-2</v>
      </c>
      <c r="P4" s="3">
        <v>0.15401173000000001</v>
      </c>
      <c r="Q4" s="3">
        <v>-2.6687622000000001E-2</v>
      </c>
      <c r="R4" s="3">
        <v>-1.8314481000000001E-2</v>
      </c>
      <c r="S4" s="3">
        <v>6.7101955000000005E-2</v>
      </c>
      <c r="T4" s="3">
        <v>3.3778547999999999E-2</v>
      </c>
      <c r="U4" s="3">
        <v>-3.1334399999999998E-2</v>
      </c>
      <c r="V4" s="3">
        <v>7.2281359999999996E-3</v>
      </c>
      <c r="W4" s="3">
        <v>-3.0327320000000001E-2</v>
      </c>
      <c r="X4" s="3">
        <v>2.7846098E-2</v>
      </c>
      <c r="Y4" s="3">
        <v>3.1780957999999998E-2</v>
      </c>
      <c r="Z4" s="3">
        <v>1.6064286000000001E-2</v>
      </c>
      <c r="AA4" s="3">
        <v>3.5984874E-2</v>
      </c>
      <c r="AB4" s="3">
        <v>3.5382510000000001E-3</v>
      </c>
      <c r="AC4" s="3">
        <v>-1.9218265999999998E-2</v>
      </c>
      <c r="AD4" s="3">
        <v>6.4118029999999993E-2</v>
      </c>
      <c r="AE4" s="3">
        <v>3.1741023E-2</v>
      </c>
      <c r="AF4" s="3">
        <v>2.6549099999999999E-3</v>
      </c>
      <c r="AG4" s="3">
        <v>7.0435761999999999E-2</v>
      </c>
      <c r="AH4" s="3">
        <v>3.3988833000000003E-2</v>
      </c>
      <c r="AI4" s="3">
        <v>2.3309945999999998E-2</v>
      </c>
      <c r="AJ4" s="3"/>
      <c r="AK4" s="3"/>
      <c r="AL4" s="3"/>
    </row>
    <row r="5" spans="1:38" x14ac:dyDescent="0.45">
      <c r="A5" s="2">
        <v>44266</v>
      </c>
      <c r="B5" s="3">
        <v>-0.13396335000000001</v>
      </c>
      <c r="C5" s="3">
        <v>7.6466919999999994E-2</v>
      </c>
      <c r="D5" s="3">
        <v>-2.8475641999999999E-2</v>
      </c>
      <c r="E5" s="3">
        <v>-4.4865727000000001E-2</v>
      </c>
      <c r="F5" s="3">
        <v>-9.3506574999999998E-3</v>
      </c>
      <c r="G5" s="3">
        <v>-9.940982000000001E-3</v>
      </c>
      <c r="H5" s="3">
        <v>2.4981498999999997E-3</v>
      </c>
      <c r="I5" s="3">
        <v>-5.5564639999999997E-3</v>
      </c>
      <c r="J5" s="3">
        <v>4.2623759999999997E-2</v>
      </c>
      <c r="K5" s="3">
        <v>-5.5650177000000002E-2</v>
      </c>
      <c r="L5" s="3">
        <v>-6.36819E-2</v>
      </c>
      <c r="M5" s="3">
        <v>3.6580324000000004E-2</v>
      </c>
      <c r="N5" s="3">
        <v>0.10382056000000001</v>
      </c>
      <c r="O5" s="3">
        <v>1.8372059E-2</v>
      </c>
      <c r="P5" s="3">
        <v>-9.9160730000000002E-2</v>
      </c>
      <c r="Q5" s="3">
        <v>-3.49468E-3</v>
      </c>
      <c r="R5" s="3">
        <v>4.4273615000000002E-2</v>
      </c>
      <c r="S5" s="3">
        <v>-5.0645829999999996E-2</v>
      </c>
      <c r="T5" s="3">
        <v>3.0394793E-3</v>
      </c>
      <c r="U5" s="3">
        <v>3.3463239999999999E-3</v>
      </c>
      <c r="V5" s="3">
        <v>7.3634980000000003E-2</v>
      </c>
      <c r="W5" s="3">
        <v>-4.2731230000000002E-2</v>
      </c>
      <c r="X5" s="3">
        <v>3.5856961999999998E-3</v>
      </c>
      <c r="Y5" s="3">
        <v>4.5745609999999999E-2</v>
      </c>
      <c r="Z5" s="3">
        <v>1.1857748E-2</v>
      </c>
      <c r="AA5" s="3">
        <v>-4.3172540000000002E-2</v>
      </c>
      <c r="AB5" s="3">
        <v>-2.6002645000000001E-2</v>
      </c>
      <c r="AC5" s="3">
        <v>5.1145789999999997E-2</v>
      </c>
      <c r="AD5" s="3">
        <v>-4.9435019999999996E-2</v>
      </c>
      <c r="AE5" s="3">
        <v>7.2176456000000002E-3</v>
      </c>
      <c r="AF5" s="3">
        <v>4.1776896000000001E-2</v>
      </c>
      <c r="AG5" s="3">
        <v>-2.860844E-3</v>
      </c>
      <c r="AH5" s="3">
        <v>5.9168815999999999E-2</v>
      </c>
      <c r="AI5" s="3">
        <v>2.6358603999999997E-2</v>
      </c>
      <c r="AJ5" s="3"/>
      <c r="AK5" s="3"/>
      <c r="AL5" s="3"/>
    </row>
    <row r="6" spans="1:38" x14ac:dyDescent="0.45">
      <c r="A6" s="2">
        <v>44295</v>
      </c>
      <c r="B6" s="3">
        <v>-2.5148331999999999E-2</v>
      </c>
      <c r="C6" s="3">
        <v>1.5656589999999998E-2</v>
      </c>
      <c r="D6" s="3">
        <v>-6.5948304999999999E-2</v>
      </c>
      <c r="E6" s="3">
        <v>-2.2494196999999997E-2</v>
      </c>
      <c r="F6" s="3">
        <v>6.2927010000000004E-3</v>
      </c>
      <c r="G6" s="3">
        <v>-1.6485691E-2</v>
      </c>
      <c r="H6" s="3">
        <v>-1.6731917999999998E-2</v>
      </c>
      <c r="I6" s="3">
        <v>3.1154752000000001E-2</v>
      </c>
      <c r="J6" s="3">
        <v>2.4983048000000001E-2</v>
      </c>
      <c r="K6" s="3">
        <v>2.8845071999999999E-2</v>
      </c>
      <c r="L6" s="3">
        <v>-3.2669305999999997E-3</v>
      </c>
      <c r="M6" s="3">
        <v>-1.4076113999999999E-2</v>
      </c>
      <c r="N6" s="3">
        <v>5.1918745000000002E-2</v>
      </c>
      <c r="O6" s="3">
        <v>-4.7956230000000002E-2</v>
      </c>
      <c r="P6" s="3">
        <v>-6.3952207999999997E-2</v>
      </c>
      <c r="Q6" s="3">
        <v>2.3469090000000001E-2</v>
      </c>
      <c r="R6" s="3">
        <v>-5.5805444999999995E-3</v>
      </c>
      <c r="S6" s="3">
        <v>-0.16577159999999999</v>
      </c>
      <c r="T6" s="3">
        <v>3.7878752000000001E-3</v>
      </c>
      <c r="U6" s="3">
        <v>3.3907769999999997E-2</v>
      </c>
      <c r="V6" s="3">
        <v>5.6669593000000004E-2</v>
      </c>
      <c r="W6" s="3">
        <v>-6.6130759999999999E-3</v>
      </c>
      <c r="X6" s="3">
        <v>1.3100385999999999E-2</v>
      </c>
      <c r="Y6" s="3">
        <v>2.2747160000000002E-2</v>
      </c>
      <c r="Z6" s="3">
        <v>3.9663433999999997E-2</v>
      </c>
      <c r="AA6" s="3">
        <v>2.3956418E-2</v>
      </c>
      <c r="AB6" s="3">
        <v>4.5701384999999997E-2</v>
      </c>
      <c r="AC6" s="3">
        <v>1.4533997E-2</v>
      </c>
      <c r="AD6" s="3">
        <v>6.1273932000000003E-2</v>
      </c>
      <c r="AE6" s="3">
        <v>4.9068569999999999E-2</v>
      </c>
      <c r="AF6" s="3">
        <v>2.0050764000000002E-2</v>
      </c>
      <c r="AG6" s="3">
        <v>5.8927297999999996E-2</v>
      </c>
      <c r="AH6" s="3">
        <v>4.3892740000000006E-2</v>
      </c>
      <c r="AI6" s="3">
        <v>4.7558546000000005E-3</v>
      </c>
      <c r="AJ6" s="3"/>
      <c r="AK6" s="3"/>
      <c r="AL6" s="3"/>
    </row>
    <row r="7" spans="1:38" x14ac:dyDescent="0.45">
      <c r="A7" s="2">
        <v>44327</v>
      </c>
      <c r="B7" s="3">
        <v>1.5332222E-2</v>
      </c>
      <c r="C7" s="3">
        <v>-8.3071649999999997E-2</v>
      </c>
      <c r="D7" s="3">
        <v>7.8449250000000009E-3</v>
      </c>
      <c r="E7" s="3">
        <v>-1.5228390999999999E-2</v>
      </c>
      <c r="F7" s="3">
        <v>9.2756629999999993E-2</v>
      </c>
      <c r="G7" s="3">
        <v>-3.7042140000000001E-2</v>
      </c>
      <c r="H7" s="3">
        <v>-1.2672007000000001E-2</v>
      </c>
      <c r="I7" s="3">
        <v>-5.5829287000000007E-3</v>
      </c>
      <c r="J7" s="3">
        <v>4.2543770000000002E-2</v>
      </c>
      <c r="K7" s="3">
        <v>9.089947000000001E-3</v>
      </c>
      <c r="L7" s="3">
        <v>0.14153755000000001</v>
      </c>
      <c r="M7" s="3">
        <v>3.9010644000000004E-2</v>
      </c>
      <c r="N7" s="3">
        <v>2.6108742000000001E-2</v>
      </c>
      <c r="O7" s="3">
        <v>1.7270327000000002E-2</v>
      </c>
      <c r="P7" s="3">
        <v>-2.9859900000000002E-2</v>
      </c>
      <c r="Q7" s="3">
        <v>3.4001112E-2</v>
      </c>
      <c r="R7" s="3">
        <v>8.0379249999999996E-3</v>
      </c>
      <c r="S7" s="3">
        <v>2.6609419999999998E-2</v>
      </c>
      <c r="T7" s="3">
        <v>3.4716963999999996E-2</v>
      </c>
      <c r="U7" s="3">
        <v>2.2580624000000001E-2</v>
      </c>
      <c r="V7" s="3">
        <v>2.7227640000000001E-2</v>
      </c>
      <c r="W7" s="3">
        <v>1.8227935000000001E-2</v>
      </c>
      <c r="X7" s="3">
        <v>4.2319775000000004E-2</v>
      </c>
      <c r="Y7" s="3">
        <v>4.3341874999999995E-2</v>
      </c>
      <c r="Z7" s="3">
        <v>2.3121833999999999E-3</v>
      </c>
      <c r="AA7" s="3">
        <v>-2.7558446E-2</v>
      </c>
      <c r="AB7" s="3">
        <v>8.0051419999999998E-3</v>
      </c>
      <c r="AC7" s="3">
        <v>4.0485860000000005E-2</v>
      </c>
      <c r="AD7" s="3">
        <v>-3.5003364000000002E-2</v>
      </c>
      <c r="AE7" s="3">
        <v>6.6101549999999995E-3</v>
      </c>
      <c r="AF7" s="3">
        <v>3.7929177000000001E-2</v>
      </c>
      <c r="AG7" s="3">
        <v>-6.4610840000000006E-3</v>
      </c>
      <c r="AH7" s="3">
        <v>8.494854E-4</v>
      </c>
      <c r="AI7" s="3">
        <v>2.0195723000000002E-2</v>
      </c>
      <c r="AJ7" s="3"/>
      <c r="AK7" s="3"/>
      <c r="AL7" s="3"/>
    </row>
    <row r="8" spans="1:38" x14ac:dyDescent="0.45">
      <c r="A8" s="2">
        <v>44358</v>
      </c>
      <c r="B8" s="3">
        <v>6.0697317000000001E-2</v>
      </c>
      <c r="C8" s="3">
        <v>-6.7227960000000003E-2</v>
      </c>
      <c r="D8" s="3">
        <v>2.5240301999999999E-2</v>
      </c>
      <c r="E8" s="3">
        <v>9.5716839999999997E-2</v>
      </c>
      <c r="F8" s="3">
        <v>5.5301547E-2</v>
      </c>
      <c r="G8" s="3">
        <v>-0.10714029999999999</v>
      </c>
      <c r="H8" s="3">
        <v>1.9937753999999999E-3</v>
      </c>
      <c r="I8" s="3">
        <v>4.8877119999999996E-2</v>
      </c>
      <c r="J8" s="3">
        <v>5.6888699999999993E-2</v>
      </c>
      <c r="K8" s="3">
        <v>5.4265260000000001E-3</v>
      </c>
      <c r="L8" s="3">
        <v>6.8050860000000005E-2</v>
      </c>
      <c r="M8" s="3">
        <v>2.1316886E-2</v>
      </c>
      <c r="N8" s="3">
        <v>4.5660496000000002E-2</v>
      </c>
      <c r="O8" s="3">
        <v>6.7006110000000008E-2</v>
      </c>
      <c r="P8" s="3">
        <v>3.4284950000000002E-2</v>
      </c>
      <c r="Q8" s="3">
        <v>-7.8633430000000001E-3</v>
      </c>
      <c r="R8" s="3">
        <v>3.6499379999999998E-2</v>
      </c>
      <c r="S8" s="3">
        <v>1.1660218E-2</v>
      </c>
      <c r="T8" s="3">
        <v>9.6259479999999994E-2</v>
      </c>
      <c r="U8" s="3">
        <v>5.1524640000000003E-2</v>
      </c>
      <c r="V8" s="3">
        <v>4.7265649999999999E-2</v>
      </c>
      <c r="W8" s="3">
        <v>-2.5192260000000001E-2</v>
      </c>
      <c r="X8" s="3">
        <v>2.8803945000000001E-2</v>
      </c>
      <c r="Y8" s="3">
        <v>3.9977907999999999E-2</v>
      </c>
      <c r="Z8" s="3">
        <v>4.4556620000000005E-2</v>
      </c>
      <c r="AA8" s="3">
        <v>2.4141430000000002E-2</v>
      </c>
      <c r="AB8" s="3">
        <v>8.5116859999999989E-2</v>
      </c>
      <c r="AC8" s="3">
        <v>2.6941060000000003E-2</v>
      </c>
      <c r="AD8" s="3">
        <v>4.8968673000000004E-2</v>
      </c>
      <c r="AE8" s="3">
        <v>2.4383783000000003E-2</v>
      </c>
      <c r="AF8" s="3">
        <v>5.5134176999999999E-2</v>
      </c>
      <c r="AG8" s="3">
        <v>5.0333620000000003E-2</v>
      </c>
      <c r="AH8" s="3">
        <v>4.6084759999999995E-2</v>
      </c>
      <c r="AI8" s="3">
        <v>5.5397749999999996E-2</v>
      </c>
      <c r="AJ8" s="3"/>
      <c r="AK8" s="3"/>
      <c r="AL8" s="3"/>
    </row>
    <row r="9" spans="1:38" x14ac:dyDescent="0.45">
      <c r="A9" s="2">
        <v>44386</v>
      </c>
      <c r="B9" s="3">
        <v>-1.3580798999999999E-2</v>
      </c>
      <c r="C9" s="3">
        <v>-5.5329204E-2</v>
      </c>
      <c r="D9" s="3">
        <v>-8.6292149999999998E-2</v>
      </c>
      <c r="E9" s="3">
        <v>-5.3836465E-2</v>
      </c>
      <c r="F9" s="3">
        <v>-1.0874509999999999E-2</v>
      </c>
      <c r="G9" s="3">
        <v>-5.8252390000000001E-2</v>
      </c>
      <c r="H9" s="3">
        <v>-5.3227605999999997E-2</v>
      </c>
      <c r="I9" s="3">
        <v>1.4798522000000001E-2</v>
      </c>
      <c r="J9" s="3">
        <v>-3.0198634000000002E-2</v>
      </c>
      <c r="K9" s="3">
        <v>-2.6230574E-2</v>
      </c>
      <c r="L9" s="3">
        <v>-4.1687370000000001E-2</v>
      </c>
      <c r="M9" s="3">
        <v>-6.5404534E-2</v>
      </c>
      <c r="N9" s="3">
        <v>-7.9000053000000001E-2</v>
      </c>
      <c r="O9" s="3">
        <v>-1.9464672000000002E-2</v>
      </c>
      <c r="P9" s="3">
        <v>-4.6023550000000003E-2</v>
      </c>
      <c r="Q9" s="3">
        <v>1.1209964999999999E-2</v>
      </c>
      <c r="R9" s="3">
        <v>-5.1614404000000003E-2</v>
      </c>
      <c r="S9" s="3">
        <v>-8.4680850000000002E-2</v>
      </c>
      <c r="T9" s="3">
        <v>-3.030306E-2</v>
      </c>
      <c r="U9" s="3">
        <v>-3.4999847000000001E-3</v>
      </c>
      <c r="V9" s="3">
        <v>8.5161924000000007E-3</v>
      </c>
      <c r="W9" s="3">
        <v>-1.2891293000000001E-3</v>
      </c>
      <c r="X9" s="3">
        <v>-3.2234131999999999E-2</v>
      </c>
      <c r="Y9" s="3">
        <v>-1.4807045000000001E-2</v>
      </c>
      <c r="Z9" s="3">
        <v>-1.9651890000000002E-2</v>
      </c>
      <c r="AA9" s="3">
        <v>-6.5330862999999992E-3</v>
      </c>
      <c r="AB9" s="3">
        <v>-7.2522162999999994E-3</v>
      </c>
      <c r="AC9" s="3">
        <v>-1.6893982999999998E-2</v>
      </c>
      <c r="AD9" s="3">
        <v>5.9154869999999998E-2</v>
      </c>
      <c r="AE9" s="3">
        <v>2.9822945999999999E-2</v>
      </c>
      <c r="AF9" s="3">
        <v>-3.0930460000000003E-2</v>
      </c>
      <c r="AG9" s="3">
        <v>-3.1162082999999997E-2</v>
      </c>
      <c r="AH9" s="3">
        <v>-1.8887520000000001E-2</v>
      </c>
      <c r="AI9" s="3">
        <v>-4.4497194000000004E-2</v>
      </c>
      <c r="AJ9" s="3"/>
      <c r="AK9" s="3"/>
      <c r="AL9" s="3"/>
    </row>
    <row r="10" spans="1:38" x14ac:dyDescent="0.45">
      <c r="A10" s="2">
        <v>44419</v>
      </c>
      <c r="B10" s="3">
        <v>-3.212571E-3</v>
      </c>
      <c r="C10" s="3">
        <v>-5.749166E-3</v>
      </c>
      <c r="D10" s="3">
        <v>2.4594068999999998E-3</v>
      </c>
      <c r="E10" s="3">
        <v>-3.4206569999999999E-2</v>
      </c>
      <c r="F10" s="3">
        <v>3.2066106999999997E-3</v>
      </c>
      <c r="G10" s="3">
        <v>-9.5189039999999989E-2</v>
      </c>
      <c r="H10" s="3">
        <v>-1.4752805000000001E-2</v>
      </c>
      <c r="I10" s="3">
        <v>-1.0394037E-2</v>
      </c>
      <c r="J10" s="3">
        <v>3.0512094E-2</v>
      </c>
      <c r="K10" s="3">
        <v>-2.0175160000000001E-2</v>
      </c>
      <c r="L10" s="3">
        <v>-2.8482615999999999E-2</v>
      </c>
      <c r="M10" s="3">
        <v>-3.6832690000000003E-3</v>
      </c>
      <c r="N10" s="3">
        <v>9.7720623000000003E-3</v>
      </c>
      <c r="O10" s="3">
        <v>3.2934785000000001E-2</v>
      </c>
      <c r="P10" s="3">
        <v>-6.4067959999999993E-2</v>
      </c>
      <c r="Q10" s="3">
        <v>8.3116290000000009E-3</v>
      </c>
      <c r="R10" s="3">
        <v>-1.2486398000000001E-2</v>
      </c>
      <c r="S10" s="3">
        <v>2.6499271000000001E-2</v>
      </c>
      <c r="T10" s="3">
        <v>2.5568127999999999E-2</v>
      </c>
      <c r="U10" s="3">
        <v>1.0035038E-3</v>
      </c>
      <c r="V10" s="3">
        <v>5.7574152999999996E-2</v>
      </c>
      <c r="W10" s="3">
        <v>-4.6789646000000001E-3</v>
      </c>
      <c r="X10" s="3">
        <v>1.4931083000000001E-2</v>
      </c>
      <c r="Y10" s="3">
        <v>1.476121E-2</v>
      </c>
      <c r="Z10" s="3">
        <v>-1.1453628500000001E-3</v>
      </c>
      <c r="AA10" s="3">
        <v>3.361106E-3</v>
      </c>
      <c r="AB10" s="3">
        <v>2.2524356999999998E-2</v>
      </c>
      <c r="AC10" s="3">
        <v>1.5676855999999999E-2</v>
      </c>
      <c r="AD10" s="3">
        <v>1.4403938999999999E-2</v>
      </c>
      <c r="AE10" s="3">
        <v>1.8965840000000001E-2</v>
      </c>
      <c r="AF10" s="3">
        <v>3.5083175000000001E-2</v>
      </c>
      <c r="AG10" s="3">
        <v>5.8933377000000002E-2</v>
      </c>
      <c r="AH10" s="3">
        <v>2.8982399999999998E-2</v>
      </c>
      <c r="AI10" s="3">
        <v>4.4085739999999998E-2</v>
      </c>
      <c r="AJ10" s="3"/>
      <c r="AK10" s="3"/>
      <c r="AL10" s="3"/>
    </row>
    <row r="11" spans="1:38" x14ac:dyDescent="0.45">
      <c r="A11" s="2">
        <v>44449</v>
      </c>
      <c r="B11" s="3">
        <v>7.5967309999999998E-3</v>
      </c>
      <c r="C11" s="3">
        <v>1.8069744E-3</v>
      </c>
      <c r="D11" s="3">
        <v>4.8577070000000007E-2</v>
      </c>
      <c r="E11" s="3">
        <v>6.2543154000000004E-2</v>
      </c>
      <c r="F11" s="3">
        <v>5.0228357000000001E-2</v>
      </c>
      <c r="G11" s="3">
        <v>3.9878488000000004E-2</v>
      </c>
      <c r="H11" s="3">
        <v>6.1918259999999996E-2</v>
      </c>
      <c r="I11" s="3">
        <v>2.1476746000000001E-2</v>
      </c>
      <c r="J11" s="3">
        <v>1.4195800000000001E-2</v>
      </c>
      <c r="K11" s="3">
        <v>-5.4078519999999998E-2</v>
      </c>
      <c r="L11" s="3">
        <v>-7.7825190000000002E-2</v>
      </c>
      <c r="M11" s="3">
        <v>-2.8137146999999998E-2</v>
      </c>
      <c r="N11" s="3">
        <v>2.0788549999999999E-2</v>
      </c>
      <c r="O11" s="3">
        <v>7.6435924000000002E-2</v>
      </c>
      <c r="P11" s="3">
        <v>-1.1821330000000001E-2</v>
      </c>
      <c r="Q11" s="3">
        <v>1.4940858E-2</v>
      </c>
      <c r="R11" s="3">
        <v>6.6966414000000002E-2</v>
      </c>
      <c r="S11" s="3">
        <v>3.3514499999999996E-2</v>
      </c>
      <c r="T11" s="3">
        <v>5.2631617000000006E-2</v>
      </c>
      <c r="U11" s="3">
        <v>4.0099620000000006E-3</v>
      </c>
      <c r="V11" s="3">
        <v>7.9845190000000007E-3</v>
      </c>
      <c r="W11" s="3">
        <v>2.7232884999999998E-2</v>
      </c>
      <c r="X11" s="3">
        <v>-2.6782393000000002E-2</v>
      </c>
      <c r="Y11" s="3">
        <v>-1.5075386E-2</v>
      </c>
      <c r="Z11" s="3">
        <v>-1.1467933999999999E-2</v>
      </c>
      <c r="AA11" s="3">
        <v>6.0442685999999995E-2</v>
      </c>
      <c r="AB11" s="3">
        <v>-1.9845188E-2</v>
      </c>
      <c r="AC11" s="3">
        <v>-2.8198183000000002E-2</v>
      </c>
      <c r="AD11" s="3">
        <v>2.8344393000000002E-2</v>
      </c>
      <c r="AE11" s="3">
        <v>3.7405490000000001E-3</v>
      </c>
      <c r="AF11" s="3">
        <v>-1.5545367999999999E-2</v>
      </c>
      <c r="AG11" s="3">
        <v>3.5077453000000001E-2</v>
      </c>
      <c r="AH11" s="3">
        <v>-2.0764767999999999E-2</v>
      </c>
      <c r="AI11" s="3">
        <v>-3.9548100000000003E-2</v>
      </c>
      <c r="AJ11" s="3"/>
      <c r="AK11" s="3"/>
      <c r="AL11" s="3"/>
    </row>
    <row r="12" spans="1:38" x14ac:dyDescent="0.45">
      <c r="A12" s="2">
        <v>44480</v>
      </c>
      <c r="B12" s="3">
        <v>-2.3989022000000002E-2</v>
      </c>
      <c r="C12" s="3">
        <v>-0.11291486000000001</v>
      </c>
      <c r="D12" s="3">
        <v>0.10060835000000001</v>
      </c>
      <c r="E12" s="3">
        <v>2.3089409999999998E-2</v>
      </c>
      <c r="F12" s="3">
        <v>1.7391324E-2</v>
      </c>
      <c r="G12" s="3">
        <v>2.1913767000000001E-2</v>
      </c>
      <c r="H12" s="3">
        <v>3.811121E-4</v>
      </c>
      <c r="I12" s="3">
        <v>-6.2001286000000003E-2</v>
      </c>
      <c r="J12" s="3">
        <v>-4.1991589999999995E-2</v>
      </c>
      <c r="K12" s="3">
        <v>-6.9608869999999989E-2</v>
      </c>
      <c r="L12" s="3">
        <v>-7.1387233999999994E-2</v>
      </c>
      <c r="M12" s="3">
        <v>9.9323989999999997E-3</v>
      </c>
      <c r="N12" s="3">
        <v>-3.1601129999999998E-2</v>
      </c>
      <c r="O12" s="3">
        <v>-3.4490228000000002E-3</v>
      </c>
      <c r="P12" s="3">
        <v>-3.9782999999999999E-2</v>
      </c>
      <c r="Q12" s="3">
        <v>5.0045609999999997E-2</v>
      </c>
      <c r="R12" s="3">
        <v>-1.167953E-3</v>
      </c>
      <c r="S12" s="3">
        <v>-7.0990323999999994E-2</v>
      </c>
      <c r="T12" s="3">
        <v>-4.2763113999999998E-2</v>
      </c>
      <c r="U12" s="3">
        <v>-1.9470870000000001E-2</v>
      </c>
      <c r="V12" s="3">
        <v>1.7042755999999999E-2</v>
      </c>
      <c r="W12" s="3">
        <v>-3.0298232999999997E-2</v>
      </c>
      <c r="X12" s="3">
        <v>-1.2015461999999999E-2</v>
      </c>
      <c r="Y12" s="3">
        <v>9.9354980000000009E-3</v>
      </c>
      <c r="Z12" s="3">
        <v>-5.7424603000000005E-2</v>
      </c>
      <c r="AA12" s="3">
        <v>-6.386476499999999E-2</v>
      </c>
      <c r="AB12" s="3">
        <v>-4.2113723999999998E-2</v>
      </c>
      <c r="AC12" s="3">
        <v>1.2216568000000001E-3</v>
      </c>
      <c r="AD12" s="3">
        <v>-4.725128E-2</v>
      </c>
      <c r="AE12" s="3">
        <v>-2.0976067000000001E-2</v>
      </c>
      <c r="AF12" s="3">
        <v>-3.3393739999999998E-2</v>
      </c>
      <c r="AG12" s="3">
        <v>-7.2510359999999996E-2</v>
      </c>
      <c r="AH12" s="3">
        <v>-6.7184567000000001E-2</v>
      </c>
      <c r="AI12" s="3">
        <v>-1.2074292E-2</v>
      </c>
      <c r="AJ12" s="3"/>
      <c r="AK12" s="3"/>
      <c r="AL12" s="3"/>
    </row>
    <row r="13" spans="1:38" x14ac:dyDescent="0.45">
      <c r="A13" s="2">
        <v>44511</v>
      </c>
      <c r="B13" s="3">
        <v>1.9896984E-2</v>
      </c>
      <c r="C13" s="3">
        <v>0.11956082999999999</v>
      </c>
      <c r="D13" s="3">
        <v>2.0833373000000002E-2</v>
      </c>
      <c r="E13" s="3">
        <v>5.2447556999999999E-2</v>
      </c>
      <c r="F13" s="3">
        <v>-2.8632461999999997E-2</v>
      </c>
      <c r="G13" s="3">
        <v>7.8984975999999998E-2</v>
      </c>
      <c r="H13" s="3">
        <v>-3.1619071999999998E-2</v>
      </c>
      <c r="I13" s="3">
        <v>6.1027526999999998E-2</v>
      </c>
      <c r="J13" s="3">
        <v>1.5863061000000001E-2</v>
      </c>
      <c r="K13" s="3">
        <v>1.1055470000000001E-2</v>
      </c>
      <c r="L13" s="3">
        <v>-2.0852864000000002E-2</v>
      </c>
      <c r="M13" s="3">
        <v>8.1607103000000004E-3</v>
      </c>
      <c r="N13" s="3">
        <v>2.3205159999999999E-2</v>
      </c>
      <c r="O13" s="3">
        <v>2.1376251999999998E-2</v>
      </c>
      <c r="P13" s="3">
        <v>2.3468136999999997E-2</v>
      </c>
      <c r="Q13" s="3">
        <v>2.5336026999999997E-2</v>
      </c>
      <c r="R13" s="3">
        <v>-6.1219930000000001E-4</v>
      </c>
      <c r="S13" s="3">
        <v>5.3773519999999998E-2</v>
      </c>
      <c r="T13" s="3">
        <v>0.10137451</v>
      </c>
      <c r="U13" s="3">
        <v>4.8879859999999997E-2</v>
      </c>
      <c r="V13" s="3">
        <v>3.7762641999999999E-2</v>
      </c>
      <c r="W13" s="3">
        <v>1.0740399000000001E-2</v>
      </c>
      <c r="X13" s="3">
        <v>1.3730884E-2</v>
      </c>
      <c r="Y13" s="3">
        <v>4.9188970000000005E-2</v>
      </c>
      <c r="Z13" s="3">
        <v>4.8615456000000001E-2</v>
      </c>
      <c r="AA13" s="3">
        <v>1.3497591E-2</v>
      </c>
      <c r="AB13" s="3">
        <v>7.2711825000000008E-2</v>
      </c>
      <c r="AC13" s="3">
        <v>2.3184896E-2</v>
      </c>
      <c r="AD13" s="3">
        <v>8.9846249999999989E-2</v>
      </c>
      <c r="AE13" s="3">
        <v>6.6898226999999991E-2</v>
      </c>
      <c r="AF13" s="3">
        <v>6.8291305999999996E-2</v>
      </c>
      <c r="AG13" s="3">
        <v>7.1851372999999996E-2</v>
      </c>
      <c r="AH13" s="3">
        <v>9.047936999999999E-2</v>
      </c>
      <c r="AI13" s="3">
        <v>6.1422706000000001E-2</v>
      </c>
      <c r="AJ13" s="3"/>
      <c r="AK13" s="3"/>
      <c r="AL13" s="3"/>
    </row>
    <row r="14" spans="1:38" x14ac:dyDescent="0.45">
      <c r="A14" s="2">
        <v>44540</v>
      </c>
      <c r="B14" s="3">
        <v>3.1673193000000002E-2</v>
      </c>
      <c r="C14" s="3">
        <v>-8.1002600000000008E-2</v>
      </c>
      <c r="D14" s="3">
        <v>-2.1657646000000003E-2</v>
      </c>
      <c r="E14" s="3">
        <v>-1.9329487999999999E-2</v>
      </c>
      <c r="F14" s="3">
        <v>-8.1830139999999996E-2</v>
      </c>
      <c r="G14" s="3">
        <v>-4.9685297000000003E-2</v>
      </c>
      <c r="H14" s="3">
        <v>-3.0684529999999998E-2</v>
      </c>
      <c r="I14" s="3">
        <v>3.1148910000000002E-2</v>
      </c>
      <c r="J14" s="3">
        <v>-1.2122393E-2</v>
      </c>
      <c r="K14" s="3">
        <v>2.657342E-2</v>
      </c>
      <c r="L14" s="3">
        <v>-2.4793327E-2</v>
      </c>
      <c r="M14" s="3">
        <v>-5.6662499999999998E-2</v>
      </c>
      <c r="N14" s="3">
        <v>-3.2600999999999998E-2</v>
      </c>
      <c r="O14" s="3">
        <v>-3.2888114000000003E-2</v>
      </c>
      <c r="P14" s="3">
        <v>-6.7232846999999998E-2</v>
      </c>
      <c r="Q14" s="3">
        <v>-3.5360693999999998E-2</v>
      </c>
      <c r="R14" s="3">
        <v>-8.7047219999999998E-3</v>
      </c>
      <c r="S14" s="3">
        <v>-0.10966879</v>
      </c>
      <c r="T14" s="3">
        <v>7.9563140000000004E-2</v>
      </c>
      <c r="U14" s="3">
        <v>3.8834809999999998E-3</v>
      </c>
      <c r="V14" s="3">
        <v>-9.5747175000000004E-2</v>
      </c>
      <c r="W14" s="3">
        <v>-5.0635995999999996E-2</v>
      </c>
      <c r="X14" s="3">
        <v>-2.3219824E-2</v>
      </c>
      <c r="Y14" s="3">
        <v>-3.6239265999999999E-2</v>
      </c>
      <c r="Z14" s="3">
        <v>-4.1079879999999999E-2</v>
      </c>
      <c r="AA14" s="3">
        <v>-9.4094275999999991E-3</v>
      </c>
      <c r="AB14" s="3">
        <v>9.6552370000000005E-3</v>
      </c>
      <c r="AC14" s="3">
        <v>-1.4311254000000001E-2</v>
      </c>
      <c r="AD14" s="3">
        <v>1.8996954E-2</v>
      </c>
      <c r="AE14" s="3">
        <v>1.5028954000000001E-2</v>
      </c>
      <c r="AF14" s="3">
        <v>-2.2060692E-2</v>
      </c>
      <c r="AG14" s="3">
        <v>-6.0940741999999999E-2</v>
      </c>
      <c r="AH14" s="3">
        <v>-4.4169245000000003E-2</v>
      </c>
      <c r="AI14" s="3">
        <v>-3.8086712000000002E-2</v>
      </c>
      <c r="AJ14" s="3"/>
      <c r="AK14" s="3"/>
      <c r="AL14" s="3"/>
    </row>
    <row r="15" spans="1:38" x14ac:dyDescent="0.45">
      <c r="A15" s="2">
        <v>44572</v>
      </c>
      <c r="B15" s="3">
        <v>-5.5450679999999995E-2</v>
      </c>
      <c r="C15" s="3">
        <v>-5.0922036000000002E-3</v>
      </c>
      <c r="D15" s="3">
        <v>5.3513049999999998E-3</v>
      </c>
      <c r="E15" s="3">
        <v>-3.2642959999999999E-2</v>
      </c>
      <c r="F15" s="3">
        <v>8.871627E-2</v>
      </c>
      <c r="G15" s="3">
        <v>0.15897750999999999</v>
      </c>
      <c r="H15" s="3">
        <v>6.1793090000000002E-2</v>
      </c>
      <c r="I15" s="3">
        <v>3.0756711999999999E-2</v>
      </c>
      <c r="J15" s="3">
        <v>6.5632700000000002E-2</v>
      </c>
      <c r="K15" s="3">
        <v>-1.0371447000000001E-2</v>
      </c>
      <c r="L15" s="3">
        <v>-1.8338442E-2</v>
      </c>
      <c r="M15" s="3">
        <v>8.8129039999999992E-2</v>
      </c>
      <c r="N15" s="3">
        <v>5.5166006000000004E-2</v>
      </c>
      <c r="O15" s="3">
        <v>5.7098627000000006E-2</v>
      </c>
      <c r="P15" s="3">
        <v>-2.468294E-2</v>
      </c>
      <c r="Q15" s="3">
        <v>2.7965187999999998E-2</v>
      </c>
      <c r="R15" s="3">
        <v>3.0212045E-2</v>
      </c>
      <c r="S15" s="3">
        <v>1.4565824999999999E-2</v>
      </c>
      <c r="T15" s="3">
        <v>-4.6367350000000002E-2</v>
      </c>
      <c r="U15" s="3">
        <v>2.3472070000000001E-2</v>
      </c>
      <c r="V15" s="3">
        <v>0.10234557999999999</v>
      </c>
      <c r="W15" s="3">
        <v>-5.4324865E-3</v>
      </c>
      <c r="X15" s="3">
        <v>1.5912889999999999E-2</v>
      </c>
      <c r="Y15" s="3">
        <v>3.5051464999999997E-2</v>
      </c>
      <c r="Z15" s="3">
        <v>2.6553154000000002E-2</v>
      </c>
      <c r="AA15" s="3">
        <v>-7.4530244000000001E-3</v>
      </c>
      <c r="AB15" s="3">
        <v>3.3177137000000002E-3</v>
      </c>
      <c r="AC15" s="3">
        <v>6.3271759999999996E-2</v>
      </c>
      <c r="AD15" s="3">
        <v>-2.9376090000000001E-2</v>
      </c>
      <c r="AE15" s="3">
        <v>1.4479159999999998E-3</v>
      </c>
      <c r="AF15" s="3">
        <v>3.7937760000000001E-2</v>
      </c>
      <c r="AG15" s="3">
        <v>-3.4826993999999999E-4</v>
      </c>
      <c r="AH15" s="3">
        <v>1.629591E-2</v>
      </c>
      <c r="AI15" s="3">
        <v>3.8832306999999996E-2</v>
      </c>
      <c r="AJ15" s="3"/>
      <c r="AK15" s="3"/>
      <c r="AL15" s="3"/>
    </row>
    <row r="16" spans="1:38" x14ac:dyDescent="0.45">
      <c r="A16" s="2">
        <v>44603</v>
      </c>
      <c r="B16" s="3">
        <v>-5.7047844E-2</v>
      </c>
      <c r="C16" s="3">
        <v>8.7402460000000015E-2</v>
      </c>
      <c r="D16" s="3">
        <v>1.3219594999999999E-2</v>
      </c>
      <c r="E16" s="3">
        <v>2.1249413000000002E-2</v>
      </c>
      <c r="F16" s="3">
        <v>-9.6530260000000007E-2</v>
      </c>
      <c r="G16" s="3">
        <v>4.279554E-2</v>
      </c>
      <c r="H16" s="3">
        <v>-7.8958269999999994E-3</v>
      </c>
      <c r="I16" s="3">
        <v>-2.7131796E-2</v>
      </c>
      <c r="J16" s="3">
        <v>-3.9588213000000001E-3</v>
      </c>
      <c r="K16" s="3">
        <v>-6.8013310000000007E-2</v>
      </c>
      <c r="L16" s="3">
        <v>0.16184353000000001</v>
      </c>
      <c r="M16" s="3">
        <v>4.5556663999999997E-2</v>
      </c>
      <c r="N16" s="3">
        <v>4.0439844000000003E-2</v>
      </c>
      <c r="O16" s="3">
        <v>-8.2848839999999993E-2</v>
      </c>
      <c r="P16" s="3">
        <v>-2.4764835999999998E-2</v>
      </c>
      <c r="Q16" s="3">
        <v>0.10912430000000001</v>
      </c>
      <c r="R16" s="3">
        <v>1.9242764000000002E-2</v>
      </c>
      <c r="S16" s="3">
        <v>4.4798850000000003E-3</v>
      </c>
      <c r="T16" s="3">
        <v>4.9907684000000001E-2</v>
      </c>
      <c r="U16" s="3">
        <v>-6.8376007000000003E-2</v>
      </c>
      <c r="V16" s="3">
        <v>3.1709552000000002E-2</v>
      </c>
      <c r="W16" s="3">
        <v>-7.3234079999999993E-2</v>
      </c>
      <c r="X16" s="3">
        <v>-4.3654019999999995E-2</v>
      </c>
      <c r="Y16" s="3">
        <v>-5.1468610000000002E-4</v>
      </c>
      <c r="Z16" s="3">
        <v>-5.0811768E-2</v>
      </c>
      <c r="AA16" s="3">
        <v>-4.5800390000000003E-2</v>
      </c>
      <c r="AB16" s="3">
        <v>-5.3686022999999999E-2</v>
      </c>
      <c r="AC16" s="3">
        <v>7.3077680000000001E-3</v>
      </c>
      <c r="AD16" s="3">
        <v>-0.10046136999999999</v>
      </c>
      <c r="AE16" s="3">
        <v>-6.2352360000000003E-2</v>
      </c>
      <c r="AF16" s="3">
        <v>-5.1776647999999995E-2</v>
      </c>
      <c r="AG16" s="3">
        <v>-8.3486080000000004E-2</v>
      </c>
      <c r="AH16" s="3">
        <v>-0.10365987</v>
      </c>
      <c r="AI16" s="3">
        <v>-3.7159085000000001E-2</v>
      </c>
      <c r="AJ16" s="3"/>
      <c r="AK16" s="3"/>
      <c r="AL16" s="3"/>
    </row>
    <row r="17" spans="1:38" x14ac:dyDescent="0.45">
      <c r="A17" s="2">
        <v>44631</v>
      </c>
      <c r="B17" s="3">
        <v>-5.2684545999999999E-2</v>
      </c>
      <c r="C17" s="3">
        <v>-7.9244970000000008E-3</v>
      </c>
      <c r="D17" s="3">
        <v>2.525258E-2</v>
      </c>
      <c r="E17" s="3">
        <v>-5.7884810000000002E-2</v>
      </c>
      <c r="F17" s="3">
        <v>-0.15706545</v>
      </c>
      <c r="G17" s="3">
        <v>8.7097759999999996E-2</v>
      </c>
      <c r="H17" s="3">
        <v>-3.1834245E-3</v>
      </c>
      <c r="I17" s="3">
        <v>-7.447135399999999E-2</v>
      </c>
      <c r="J17" s="3">
        <v>-2.3251175999999998E-2</v>
      </c>
      <c r="K17" s="3">
        <v>-7.9423904000000004E-2</v>
      </c>
      <c r="L17" s="3">
        <v>2.6137709999999998E-2</v>
      </c>
      <c r="M17" s="3">
        <v>2.3642063000000001E-2</v>
      </c>
      <c r="N17" s="3">
        <v>-0.16808731000000002</v>
      </c>
      <c r="O17" s="3">
        <v>-4.7090769999999997E-2</v>
      </c>
      <c r="P17" s="3">
        <v>-0.21086472000000001</v>
      </c>
      <c r="Q17" s="3">
        <v>2.1496176999999998E-2</v>
      </c>
      <c r="R17" s="3">
        <v>-2.4240792000000001E-2</v>
      </c>
      <c r="S17" s="3">
        <v>-9.018826499999999E-2</v>
      </c>
      <c r="T17" s="3">
        <v>6.4553856999999992E-2</v>
      </c>
      <c r="U17" s="3">
        <v>-5.5555580000000007E-2</v>
      </c>
      <c r="V17" s="3">
        <v>3.8307310000000004E-2</v>
      </c>
      <c r="W17" s="3">
        <v>6.5383910000000002E-3</v>
      </c>
      <c r="X17" s="3">
        <v>3.0431032E-2</v>
      </c>
      <c r="Y17" s="3">
        <v>-8.2389115999999991E-3</v>
      </c>
      <c r="Z17" s="3">
        <v>-0.15394365000000002</v>
      </c>
      <c r="AA17" s="3">
        <v>-8.474045999999999E-2</v>
      </c>
      <c r="AB17" s="3">
        <v>-7.1736930000000004E-2</v>
      </c>
      <c r="AC17" s="3">
        <v>-8.5896670000000008E-2</v>
      </c>
      <c r="AD17" s="3">
        <v>-6.5291286000000004E-2</v>
      </c>
      <c r="AE17" s="3">
        <v>-4.6292486000000001E-2</v>
      </c>
      <c r="AF17" s="3">
        <v>-0.12981802000000001</v>
      </c>
      <c r="AG17" s="3">
        <v>-0.14419013</v>
      </c>
      <c r="AH17" s="3">
        <v>-0.12004889000000001</v>
      </c>
      <c r="AI17" s="3">
        <v>-0.16433238999999999</v>
      </c>
      <c r="AJ17" s="3"/>
      <c r="AK17" s="3"/>
      <c r="AL17" s="3"/>
    </row>
    <row r="18" spans="1:38" x14ac:dyDescent="0.45">
      <c r="A18" s="2">
        <v>44662</v>
      </c>
      <c r="B18" s="3">
        <v>-5.0292788000000005E-2</v>
      </c>
      <c r="C18" s="3">
        <v>5.1730632999999998E-2</v>
      </c>
      <c r="D18" s="3">
        <v>3.2840967E-3</v>
      </c>
      <c r="E18" s="3">
        <v>3.3210516E-3</v>
      </c>
      <c r="F18" s="3">
        <v>8.0607410000000004E-2</v>
      </c>
      <c r="G18" s="3">
        <v>-2.3628414E-2</v>
      </c>
      <c r="H18" s="3">
        <v>2.9940128E-2</v>
      </c>
      <c r="I18" s="3">
        <v>-2.8642416E-2</v>
      </c>
      <c r="J18" s="3">
        <v>8.3214650000000001E-2</v>
      </c>
      <c r="K18" s="3">
        <v>1.8924117000000001E-2</v>
      </c>
      <c r="L18" s="3">
        <v>0.1267606</v>
      </c>
      <c r="M18" s="3">
        <v>4.7146439999999998E-2</v>
      </c>
      <c r="N18" s="3">
        <v>0.1147542</v>
      </c>
      <c r="O18" s="3">
        <v>8.1492059999999991E-2</v>
      </c>
      <c r="P18" s="3">
        <v>5.7841180000000006E-2</v>
      </c>
      <c r="Q18" s="3">
        <v>7.9545379999999999E-2</v>
      </c>
      <c r="R18" s="3">
        <v>1.2333989E-2</v>
      </c>
      <c r="S18" s="3">
        <v>0.23692799</v>
      </c>
      <c r="T18" s="3">
        <v>6.6703440000000003E-2</v>
      </c>
      <c r="U18" s="3">
        <v>8.6346864999999988E-3</v>
      </c>
      <c r="V18" s="3">
        <v>7.1428656999999993E-2</v>
      </c>
      <c r="W18" s="3">
        <v>-5.1968099999999996E-3</v>
      </c>
      <c r="X18" s="3">
        <v>7.7112436000000006E-2</v>
      </c>
      <c r="Y18" s="3">
        <v>2.7258515000000001E-2</v>
      </c>
      <c r="Z18" s="3">
        <v>2.358675E-2</v>
      </c>
      <c r="AA18" s="3">
        <v>-6.8330764999999997E-4</v>
      </c>
      <c r="AB18" s="3">
        <v>0.10540295000000001</v>
      </c>
      <c r="AC18" s="3">
        <v>7.4285746E-2</v>
      </c>
      <c r="AD18" s="3">
        <v>5.2134156000000001E-2</v>
      </c>
      <c r="AE18" s="3">
        <v>5.0472260000000005E-2</v>
      </c>
      <c r="AF18" s="3">
        <v>5.1676393000000001E-2</v>
      </c>
      <c r="AG18" s="3">
        <v>4.8805832999999993E-2</v>
      </c>
      <c r="AH18" s="3">
        <v>6.1128020000000005E-2</v>
      </c>
      <c r="AI18" s="3">
        <v>8.1564310000000001E-2</v>
      </c>
      <c r="AJ18" s="3"/>
      <c r="AK18" s="3"/>
      <c r="AL18" s="3"/>
    </row>
    <row r="19" spans="1:38" x14ac:dyDescent="0.45">
      <c r="A19" s="2">
        <v>44692</v>
      </c>
      <c r="B19" s="3">
        <v>-8.65789E-2</v>
      </c>
      <c r="C19" s="3">
        <v>-9.3309219999999998E-2</v>
      </c>
      <c r="D19" s="3">
        <v>-2.7823270000000001E-2</v>
      </c>
      <c r="E19" s="3">
        <v>-6.2231006999999998E-2</v>
      </c>
      <c r="F19" s="3">
        <v>-0.21135134</v>
      </c>
      <c r="G19" s="3">
        <v>-0.21168291</v>
      </c>
      <c r="H19" s="3">
        <v>-7.9844949999999998E-2</v>
      </c>
      <c r="I19" s="3">
        <v>-9.4426389999999999E-2</v>
      </c>
      <c r="J19" s="3">
        <v>-9.9361420000000006E-2</v>
      </c>
      <c r="K19" s="3">
        <v>-6.9903492999999997E-2</v>
      </c>
      <c r="L19" s="3">
        <v>-0.18430847</v>
      </c>
      <c r="M19" s="3">
        <v>-0.19795847</v>
      </c>
      <c r="N19" s="3">
        <v>-8.2720579999999988E-2</v>
      </c>
      <c r="O19" s="3">
        <v>-0.10786467999999999</v>
      </c>
      <c r="P19" s="3">
        <v>-0.10666150000000001</v>
      </c>
      <c r="Q19" s="3">
        <v>-7.9142274999999998E-2</v>
      </c>
      <c r="R19" s="3">
        <v>-3.8797437999999997E-2</v>
      </c>
      <c r="S19" s="3">
        <v>-4.6675443999999996E-2</v>
      </c>
      <c r="T19" s="3">
        <v>-9.2506520000000009E-2</v>
      </c>
      <c r="U19" s="3">
        <v>-0.13911181</v>
      </c>
      <c r="V19" s="3">
        <v>-2.982986E-2</v>
      </c>
      <c r="W19" s="3">
        <v>-0.13264918000000001</v>
      </c>
      <c r="X19" s="3">
        <v>-0.11500382000000001</v>
      </c>
      <c r="Y19" s="3">
        <v>-0.11068994</v>
      </c>
      <c r="Z19" s="3">
        <v>-7.6810539999999997E-2</v>
      </c>
      <c r="AA19" s="3">
        <v>-6.7179500000000003E-2</v>
      </c>
      <c r="AB19" s="3">
        <v>-0.13541662000000002</v>
      </c>
      <c r="AC19" s="3">
        <v>-9.2494130000000008E-2</v>
      </c>
      <c r="AD19" s="3">
        <v>-0.14388811000000001</v>
      </c>
      <c r="AE19" s="3">
        <v>-0.10722404499999999</v>
      </c>
      <c r="AF19" s="3">
        <v>-7.3413252999999998E-2</v>
      </c>
      <c r="AG19" s="3">
        <v>-0.11509907</v>
      </c>
      <c r="AH19" s="3">
        <v>-0.12463993000000001</v>
      </c>
      <c r="AI19" s="3">
        <v>-8.4022045000000004E-2</v>
      </c>
      <c r="AJ19" s="3"/>
      <c r="AK19" s="3"/>
      <c r="AL19" s="3"/>
    </row>
    <row r="20" spans="1:38" x14ac:dyDescent="0.45">
      <c r="A20" s="2">
        <v>44722</v>
      </c>
      <c r="B20" s="3">
        <v>8.3313939999999989E-2</v>
      </c>
      <c r="C20" s="3">
        <v>0.14923143</v>
      </c>
      <c r="D20" s="3">
        <v>-7.2360040000000007E-3</v>
      </c>
      <c r="E20" s="3">
        <v>-2.6436150000000002E-2</v>
      </c>
      <c r="F20" s="3">
        <v>4.1607139999999994E-2</v>
      </c>
      <c r="G20" s="3">
        <v>7.0196033000000005E-2</v>
      </c>
      <c r="H20" s="3">
        <v>-3.3283770000000004E-2</v>
      </c>
      <c r="I20" s="3">
        <v>3.2749771999999996E-2</v>
      </c>
      <c r="J20" s="3">
        <v>3.9045809999999999E-3</v>
      </c>
      <c r="K20" s="3">
        <v>-7.3899029999999997E-3</v>
      </c>
      <c r="L20" s="3">
        <v>4.2839289999999995E-2</v>
      </c>
      <c r="M20" s="3">
        <v>1.5188574999999999E-2</v>
      </c>
      <c r="N20" s="3">
        <v>7.214308E-3</v>
      </c>
      <c r="O20" s="3">
        <v>-8.8648200000000007E-3</v>
      </c>
      <c r="P20" s="3">
        <v>0.15867996000000001</v>
      </c>
      <c r="Q20" s="3">
        <v>-4.6902600000000003E-2</v>
      </c>
      <c r="R20" s="3">
        <v>1.1950374E-2</v>
      </c>
      <c r="S20" s="3">
        <v>-7.9920649999999996E-2</v>
      </c>
      <c r="T20" s="3">
        <v>-5.4202199999999999E-2</v>
      </c>
      <c r="U20" s="3">
        <v>-2.7346194000000001E-2</v>
      </c>
      <c r="V20" s="3">
        <v>-7.4943839999999998E-2</v>
      </c>
      <c r="W20" s="3">
        <v>-5.6984425000000003E-3</v>
      </c>
      <c r="X20" s="3">
        <v>-5.8938265000000002E-3</v>
      </c>
      <c r="Y20" s="3">
        <v>3.7228465000000002E-2</v>
      </c>
      <c r="Z20" s="3">
        <v>1.4173985E-2</v>
      </c>
      <c r="AA20" s="3">
        <v>1.3854146000000001E-2</v>
      </c>
      <c r="AB20" s="3">
        <v>-2.7591109999999999E-2</v>
      </c>
      <c r="AC20" s="3">
        <v>2.399683E-2</v>
      </c>
      <c r="AD20" s="3">
        <v>-1.0279596E-2</v>
      </c>
      <c r="AE20" s="3">
        <v>-7.5111984999999999E-3</v>
      </c>
      <c r="AF20" s="3">
        <v>1.7147659999999999E-2</v>
      </c>
      <c r="AG20" s="3">
        <v>3.4911869999999998E-2</v>
      </c>
      <c r="AH20" s="3">
        <v>2.6483059999999999E-2</v>
      </c>
      <c r="AI20" s="3">
        <v>-2.1227717E-2</v>
      </c>
      <c r="AJ20" s="3"/>
      <c r="AK20" s="3"/>
      <c r="AL20" s="3"/>
    </row>
    <row r="21" spans="1:38" x14ac:dyDescent="0.45">
      <c r="A21" s="2">
        <v>44753</v>
      </c>
      <c r="B21" s="3">
        <v>3.5744667000000001E-2</v>
      </c>
      <c r="C21" s="3">
        <v>-0.16353791999999998</v>
      </c>
      <c r="D21" s="3">
        <v>-6.8357706000000004E-2</v>
      </c>
      <c r="E21" s="3">
        <v>-6.4563455999999991E-2</v>
      </c>
      <c r="F21" s="3">
        <v>-8.9641459999999992E-2</v>
      </c>
      <c r="G21" s="3">
        <v>-0.15589744</v>
      </c>
      <c r="H21" s="3">
        <v>-4.4019579999999996E-2</v>
      </c>
      <c r="I21" s="3">
        <v>-0.11773282</v>
      </c>
      <c r="J21" s="3">
        <v>-4.682559E-2</v>
      </c>
      <c r="K21" s="3">
        <v>-0.10296213</v>
      </c>
      <c r="L21" s="3">
        <v>-0.13363903999999999</v>
      </c>
      <c r="M21" s="3">
        <v>-5.4016886E-2</v>
      </c>
      <c r="N21" s="3">
        <v>-0.13388728999999999</v>
      </c>
      <c r="O21" s="3">
        <v>-4.2235850000000002E-3</v>
      </c>
      <c r="P21" s="3">
        <v>-7.483661E-3</v>
      </c>
      <c r="Q21" s="3">
        <v>-5.2389680000000001E-2</v>
      </c>
      <c r="R21" s="3">
        <v>-4.6073139999999999E-2</v>
      </c>
      <c r="S21" s="3">
        <v>-6.2467756000000006E-2</v>
      </c>
      <c r="T21" s="3">
        <v>-6.2192144000000005E-2</v>
      </c>
      <c r="U21" s="3">
        <v>-9.3929650000000003E-2</v>
      </c>
      <c r="V21" s="3">
        <v>-7.5730324000000002E-2</v>
      </c>
      <c r="W21" s="3">
        <v>-2.4053931000000001E-2</v>
      </c>
      <c r="X21" s="3">
        <v>-7.2832822999999991E-2</v>
      </c>
      <c r="Y21" s="3">
        <v>-8.1700209999999995E-2</v>
      </c>
      <c r="Z21" s="3">
        <v>-0.1135723</v>
      </c>
      <c r="AA21" s="3">
        <v>-3.285271E-2</v>
      </c>
      <c r="AB21" s="3">
        <v>1.7019509999999999E-3</v>
      </c>
      <c r="AC21" s="3">
        <v>-5.6023300000000005E-2</v>
      </c>
      <c r="AD21" s="3">
        <v>2.5701522999999997E-3</v>
      </c>
      <c r="AE21" s="3">
        <v>-1.0040879000000001E-2</v>
      </c>
      <c r="AF21" s="3">
        <v>-7.1884989999999996E-2</v>
      </c>
      <c r="AG21" s="3">
        <v>-7.2562990000000008E-2</v>
      </c>
      <c r="AH21" s="3">
        <v>-9.355318E-2</v>
      </c>
      <c r="AI21" s="3">
        <v>-7.9572440000000008E-2</v>
      </c>
      <c r="AJ21" s="3"/>
      <c r="AK21" s="3"/>
      <c r="AL21" s="3"/>
    </row>
    <row r="22" spans="1:38" x14ac:dyDescent="0.45">
      <c r="A22" s="2">
        <v>44784</v>
      </c>
      <c r="B22" s="3">
        <v>-2.1911800000000002E-2</v>
      </c>
      <c r="C22" s="3">
        <v>0.18040572999999999</v>
      </c>
      <c r="D22" s="3">
        <v>0.1121366</v>
      </c>
      <c r="E22" s="3">
        <v>6.9019675000000003E-2</v>
      </c>
      <c r="F22" s="3">
        <v>6.7833660000000004E-2</v>
      </c>
      <c r="G22" s="3">
        <v>9.8420380000000002E-2</v>
      </c>
      <c r="H22" s="3">
        <v>5.4883719999999997E-2</v>
      </c>
      <c r="I22" s="3">
        <v>8.1181530000000002E-2</v>
      </c>
      <c r="J22" s="3">
        <v>5.7756185999999994E-2</v>
      </c>
      <c r="K22" s="3">
        <v>8.2818269999999999E-2</v>
      </c>
      <c r="L22" s="3">
        <v>0.16635155000000001</v>
      </c>
      <c r="M22" s="3">
        <v>9.0733169999999988E-2</v>
      </c>
      <c r="N22" s="3">
        <v>0.15318298</v>
      </c>
      <c r="O22" s="3">
        <v>7.9341173000000001E-2</v>
      </c>
      <c r="P22" s="3">
        <v>-6.0508965999999997E-2</v>
      </c>
      <c r="Q22" s="3">
        <v>0.12706099999999998</v>
      </c>
      <c r="R22" s="3">
        <v>4.164636E-2</v>
      </c>
      <c r="S22" s="3">
        <v>0.14647578999999999</v>
      </c>
      <c r="T22" s="3">
        <v>0.10702562</v>
      </c>
      <c r="U22" s="3">
        <v>8.8152290000000008E-2</v>
      </c>
      <c r="V22" s="3">
        <v>0.10162902000000001</v>
      </c>
      <c r="W22" s="3">
        <v>0.11594522</v>
      </c>
      <c r="X22" s="3">
        <v>0.11036146000000001</v>
      </c>
      <c r="Y22" s="3">
        <v>7.8749536999999994E-2</v>
      </c>
      <c r="Z22" s="3">
        <v>8.9959140000000007E-2</v>
      </c>
      <c r="AA22" s="3">
        <v>6.2275887000000002E-2</v>
      </c>
      <c r="AB22" s="3">
        <v>6.2864064999999997E-2</v>
      </c>
      <c r="AC22" s="3">
        <v>6.6895365999999998E-2</v>
      </c>
      <c r="AD22" s="3">
        <v>0.12122880999999999</v>
      </c>
      <c r="AE22" s="3">
        <v>9.306919000000001E-2</v>
      </c>
      <c r="AF22" s="3">
        <v>0.11600685000000001</v>
      </c>
      <c r="AG22" s="3">
        <v>0.12488925999999999</v>
      </c>
      <c r="AH22" s="3">
        <v>0.12173342999999999</v>
      </c>
      <c r="AI22" s="3">
        <v>8.3871000000000001E-2</v>
      </c>
      <c r="AJ22" s="3"/>
      <c r="AK22" s="3"/>
      <c r="AL22" s="3"/>
    </row>
    <row r="23" spans="1:38" x14ac:dyDescent="0.45">
      <c r="A23" s="2">
        <v>44813</v>
      </c>
      <c r="B23" s="3">
        <v>-4.9845933999999995E-2</v>
      </c>
      <c r="C23" s="3">
        <v>3.8391231999999997E-2</v>
      </c>
      <c r="D23" s="3">
        <v>1.1203289E-2</v>
      </c>
      <c r="E23" s="3">
        <v>-4.1452703E-2</v>
      </c>
      <c r="F23" s="3">
        <v>-0.125</v>
      </c>
      <c r="G23" s="3">
        <v>-3.7241876E-2</v>
      </c>
      <c r="H23" s="3">
        <v>-1.7195761E-2</v>
      </c>
      <c r="I23" s="3">
        <v>-5.4260610000000001E-2</v>
      </c>
      <c r="J23" s="3">
        <v>-2.3849368000000003E-2</v>
      </c>
      <c r="K23" s="3">
        <v>-8.9204199999999997E-2</v>
      </c>
      <c r="L23" s="3">
        <v>2.0745515999999999E-2</v>
      </c>
      <c r="M23" s="3">
        <v>-9.0505779999999994E-2</v>
      </c>
      <c r="N23" s="3">
        <v>-5.734235E-2</v>
      </c>
      <c r="O23" s="3">
        <v>1.1789203E-2</v>
      </c>
      <c r="P23" s="3">
        <v>-2.9695033999999999E-2</v>
      </c>
      <c r="Q23" s="3">
        <v>-5.5185020000000001E-2</v>
      </c>
      <c r="R23" s="3">
        <v>1.9947528999999999E-2</v>
      </c>
      <c r="S23" s="3">
        <v>0.20365036</v>
      </c>
      <c r="T23" s="3">
        <v>-8.3629969999999998E-2</v>
      </c>
      <c r="U23" s="3">
        <v>-2.4627328E-2</v>
      </c>
      <c r="V23" s="3">
        <v>-4.8112990000000001E-2</v>
      </c>
      <c r="W23" s="3">
        <v>-3.7781297999999998E-2</v>
      </c>
      <c r="X23" s="3">
        <v>-2.9947936999999997E-2</v>
      </c>
      <c r="Y23" s="3">
        <v>-2.7862906E-2</v>
      </c>
      <c r="Z23" s="3">
        <v>-6.5443934999999995E-2</v>
      </c>
      <c r="AA23" s="3">
        <v>-5.7203770000000001E-2</v>
      </c>
      <c r="AB23" s="3">
        <v>-4.8412919999999998E-2</v>
      </c>
      <c r="AC23" s="3">
        <v>-5.7234764E-2</v>
      </c>
      <c r="AD23" s="3">
        <v>-5.2425327000000001E-2</v>
      </c>
      <c r="AE23" s="3">
        <v>-3.1881689999999997E-2</v>
      </c>
      <c r="AF23" s="3">
        <v>-6.7242384000000002E-2</v>
      </c>
      <c r="AG23" s="3">
        <v>-8.2939624999999989E-2</v>
      </c>
      <c r="AH23" s="3">
        <v>-9.1713369999999989E-2</v>
      </c>
      <c r="AI23" s="3">
        <v>-5.4761944E-2</v>
      </c>
      <c r="AJ23" s="3"/>
      <c r="AK23" s="3"/>
      <c r="AL23" s="3"/>
    </row>
    <row r="24" spans="1:38" x14ac:dyDescent="0.45">
      <c r="A24" s="2">
        <v>44845</v>
      </c>
      <c r="B24" s="3">
        <v>-0.11759501</v>
      </c>
      <c r="C24" s="3">
        <v>-0.14929575</v>
      </c>
      <c r="D24" s="3">
        <v>-5.5806339999999996E-2</v>
      </c>
      <c r="E24" s="3">
        <v>-0.14657479000000001</v>
      </c>
      <c r="F24" s="3">
        <v>-0.16237317999999998</v>
      </c>
      <c r="G24" s="3">
        <v>-2.5660693999999998E-2</v>
      </c>
      <c r="H24" s="3">
        <v>-0.10049355</v>
      </c>
      <c r="I24" s="3">
        <v>-0.14929295000000001</v>
      </c>
      <c r="J24" s="3">
        <v>-2.4432063E-2</v>
      </c>
      <c r="K24" s="3">
        <v>-0.12945390000000001</v>
      </c>
      <c r="L24" s="3">
        <v>5.3985119999999994E-3</v>
      </c>
      <c r="M24" s="3">
        <v>-9.6829300000000007E-2</v>
      </c>
      <c r="N24" s="3">
        <v>-7.8813610000000006E-2</v>
      </c>
      <c r="O24" s="3">
        <v>-7.7450274999999999E-2</v>
      </c>
      <c r="P24" s="3">
        <v>-0.15963608000000001</v>
      </c>
      <c r="Q24" s="3">
        <v>-2.493453E-2</v>
      </c>
      <c r="R24" s="3">
        <v>-5.5565596000000002E-2</v>
      </c>
      <c r="S24" s="3">
        <v>-1.7557799999999998E-2</v>
      </c>
      <c r="T24" s="3">
        <v>-2.5242686E-2</v>
      </c>
      <c r="U24" s="3">
        <v>-0.20066445999999999</v>
      </c>
      <c r="V24" s="3">
        <v>-2.6431680000000003E-2</v>
      </c>
      <c r="W24" s="3">
        <v>-0.15350884000000001</v>
      </c>
      <c r="X24" s="3">
        <v>-0.12214762</v>
      </c>
      <c r="Y24" s="3">
        <v>-0.12754369000000002</v>
      </c>
      <c r="Z24" s="3">
        <v>-0.11864406000000001</v>
      </c>
      <c r="AA24" s="3">
        <v>-7.4806869999999998E-2</v>
      </c>
      <c r="AB24" s="3">
        <v>-0.11231094000000001</v>
      </c>
      <c r="AC24" s="3">
        <v>-0.11493855</v>
      </c>
      <c r="AD24" s="3">
        <v>-0.14286322000000001</v>
      </c>
      <c r="AE24" s="3">
        <v>-0.11652433000000001</v>
      </c>
      <c r="AF24" s="3">
        <v>-0.10515875</v>
      </c>
      <c r="AG24" s="3">
        <v>-0.14081276000000001</v>
      </c>
      <c r="AH24" s="3">
        <v>-0.13051945000000001</v>
      </c>
      <c r="AI24" s="3">
        <v>-9.7397150000000002E-2</v>
      </c>
      <c r="AJ24" s="3"/>
      <c r="AK24" s="3"/>
      <c r="AL24" s="3"/>
    </row>
    <row r="25" spans="1:38" x14ac:dyDescent="0.45">
      <c r="A25" s="2">
        <v>44876</v>
      </c>
      <c r="B25" s="3">
        <v>4.308617E-2</v>
      </c>
      <c r="C25" s="3">
        <v>0.13824498999999998</v>
      </c>
      <c r="D25" s="3">
        <v>3.2159924999999999E-2</v>
      </c>
      <c r="E25" s="3">
        <v>0.12511216999999999</v>
      </c>
      <c r="F25" s="3">
        <v>0.36626289999999995</v>
      </c>
      <c r="G25" s="3">
        <v>0.16194963000000001</v>
      </c>
      <c r="H25" s="3">
        <v>8.1795580000000007E-2</v>
      </c>
      <c r="I25" s="3">
        <v>0.14200901999999999</v>
      </c>
      <c r="J25" s="3">
        <v>0.17772411000000002</v>
      </c>
      <c r="K25" s="3">
        <v>0.24907446</v>
      </c>
      <c r="L25" s="3">
        <v>-3.2217323999999999E-2</v>
      </c>
      <c r="M25" s="3">
        <v>0.18417501000000003</v>
      </c>
      <c r="N25" s="3">
        <v>0.19457222000000002</v>
      </c>
      <c r="O25" s="3">
        <v>9.039127000000001E-2</v>
      </c>
      <c r="P25" s="3">
        <v>5.4872035999999999E-2</v>
      </c>
      <c r="Q25" s="3">
        <v>3.6730527999999998E-2</v>
      </c>
      <c r="R25" s="3">
        <v>4.7744869999999995E-2</v>
      </c>
      <c r="S25" s="3">
        <v>0.22014618</v>
      </c>
      <c r="T25" s="3">
        <v>6.7728996E-2</v>
      </c>
      <c r="U25" s="3">
        <v>-6.8162920000000002E-2</v>
      </c>
      <c r="V25" s="3">
        <v>-2.3815632000000002E-3</v>
      </c>
      <c r="W25" s="3">
        <v>0.13200103999999999</v>
      </c>
      <c r="X25" s="3">
        <v>0.16207944999999999</v>
      </c>
      <c r="Y25" s="3">
        <v>0.15111695999999999</v>
      </c>
      <c r="Z25" s="3">
        <v>0.25657891999999999</v>
      </c>
      <c r="AA25" s="3">
        <v>0.11894094000000001</v>
      </c>
      <c r="AB25" s="3">
        <v>0.17085695000000001</v>
      </c>
      <c r="AC25" s="3">
        <v>0.15105974</v>
      </c>
      <c r="AD25" s="3">
        <v>9.5946669999999998E-2</v>
      </c>
      <c r="AE25" s="3">
        <v>0.11396551000000001</v>
      </c>
      <c r="AF25" s="3">
        <v>0.2161863</v>
      </c>
      <c r="AG25" s="3">
        <v>0.25749493000000001</v>
      </c>
      <c r="AH25" s="3">
        <v>0.27408504</v>
      </c>
      <c r="AI25" s="3">
        <v>0.27255821000000002</v>
      </c>
      <c r="AJ25" s="3"/>
      <c r="AK25" s="3"/>
      <c r="AL25" s="3"/>
    </row>
    <row r="26" spans="1:38" x14ac:dyDescent="0.45">
      <c r="A26" s="2">
        <v>44904</v>
      </c>
      <c r="B26" s="3">
        <v>4.2907476000000007E-2</v>
      </c>
      <c r="C26" s="3">
        <v>-1.1272728000000001E-2</v>
      </c>
      <c r="D26" s="3">
        <v>-5.3473710000000001E-2</v>
      </c>
      <c r="E26" s="3">
        <v>5.1016329999999999E-2</v>
      </c>
      <c r="F26" s="3">
        <v>1.7053246000000001E-2</v>
      </c>
      <c r="G26" s="3">
        <v>2.7064084999999997E-3</v>
      </c>
      <c r="H26" s="3">
        <v>4.7026156999999999E-2</v>
      </c>
      <c r="I26" s="3">
        <v>2.9112100000000002E-2</v>
      </c>
      <c r="J26" s="3">
        <v>-3.8985251999999998E-2</v>
      </c>
      <c r="K26" s="3">
        <v>-4.4294415000000004E-2</v>
      </c>
      <c r="L26" s="3">
        <v>-2.2845924000000004E-2</v>
      </c>
      <c r="M26" s="3">
        <v>-1.6647637E-2</v>
      </c>
      <c r="N26" s="3">
        <v>2.1563409999999998E-2</v>
      </c>
      <c r="O26" s="3">
        <v>-2.8389752000000001E-2</v>
      </c>
      <c r="P26" s="3">
        <v>0.13692570000000001</v>
      </c>
      <c r="Q26" s="3">
        <v>-0.11156768</v>
      </c>
      <c r="R26" s="3">
        <v>-8.6484550000000011E-3</v>
      </c>
      <c r="S26" s="3">
        <v>0.12849532999999999</v>
      </c>
      <c r="T26" s="3">
        <v>-6.0945272000000002E-2</v>
      </c>
      <c r="U26" s="3">
        <v>0.14629792999999999</v>
      </c>
      <c r="V26" s="3">
        <v>-0.10408210999999999</v>
      </c>
      <c r="W26" s="3">
        <v>8.06452E-2</v>
      </c>
      <c r="X26" s="3">
        <v>1.6228079999999999E-2</v>
      </c>
      <c r="Y26" s="3">
        <v>-3.3961235999999999E-2</v>
      </c>
      <c r="Z26" s="3">
        <v>1.7317771999999999E-2</v>
      </c>
      <c r="AA26" s="3">
        <v>5.8245659999999998E-3</v>
      </c>
      <c r="AB26" s="3">
        <v>-1.2237430000000001E-2</v>
      </c>
      <c r="AC26" s="3">
        <v>5.4904580000000001E-2</v>
      </c>
      <c r="AD26" s="3">
        <v>-2.0558356999999999E-2</v>
      </c>
      <c r="AE26" s="3">
        <v>-1.3123929999999999E-2</v>
      </c>
      <c r="AF26" s="3">
        <v>2.218175E-2</v>
      </c>
      <c r="AG26" s="3">
        <v>3.0463575999999999E-2</v>
      </c>
      <c r="AH26" s="3">
        <v>-6.1547160000000002E-3</v>
      </c>
      <c r="AI26" s="3">
        <v>0</v>
      </c>
      <c r="AJ26" s="3"/>
      <c r="AK26" s="3"/>
      <c r="AL26" s="3"/>
    </row>
    <row r="27" spans="1:38" x14ac:dyDescent="0.45">
      <c r="A27" s="2">
        <v>44937</v>
      </c>
      <c r="B27" s="3">
        <v>4.7980546999999998E-2</v>
      </c>
      <c r="C27" s="3">
        <v>5.5913449999999996E-2</v>
      </c>
      <c r="D27" s="3">
        <v>-2.4053037000000003E-2</v>
      </c>
      <c r="E27" s="3">
        <v>5.5701612999999997E-2</v>
      </c>
      <c r="F27" s="3">
        <v>0.14516389999999998</v>
      </c>
      <c r="G27" s="3">
        <v>7.1140530000000007E-2</v>
      </c>
      <c r="H27" s="3">
        <v>2.7019620000000001E-2</v>
      </c>
      <c r="I27" s="3">
        <v>2.4955273E-2</v>
      </c>
      <c r="J27" s="3">
        <v>0.10307825</v>
      </c>
      <c r="K27" s="3">
        <v>7.2474837E-2</v>
      </c>
      <c r="L27" s="3">
        <v>5.9755086999999998E-2</v>
      </c>
      <c r="M27" s="3">
        <v>9.085965E-2</v>
      </c>
      <c r="N27" s="3">
        <v>8.7471010000000002E-2</v>
      </c>
      <c r="O27" s="3">
        <v>-1.3791502000000001E-2</v>
      </c>
      <c r="P27" s="3">
        <v>0.11205125000000001</v>
      </c>
      <c r="Q27" s="3">
        <v>-1.2514233999999999E-2</v>
      </c>
      <c r="R27" s="3">
        <v>3.8579822E-2</v>
      </c>
      <c r="S27" s="3">
        <v>-3.9183200000000001E-2</v>
      </c>
      <c r="T27" s="3">
        <v>-1.6401528999999998E-2</v>
      </c>
      <c r="U27" s="3">
        <v>-9.4600915999999997E-3</v>
      </c>
      <c r="V27" s="3">
        <v>3.4704803999999999E-2</v>
      </c>
      <c r="W27" s="3">
        <v>9.1047287000000001E-3</v>
      </c>
      <c r="X27" s="3">
        <v>2.6974439999999999E-2</v>
      </c>
      <c r="Y27" s="3">
        <v>2.6560307000000002E-2</v>
      </c>
      <c r="Z27" s="3">
        <v>8.1519239999999993E-2</v>
      </c>
      <c r="AA27" s="3">
        <v>1.1343956000000001E-3</v>
      </c>
      <c r="AB27" s="3">
        <v>3.5296916999999997E-2</v>
      </c>
      <c r="AC27" s="3">
        <v>3.0746102000000001E-2</v>
      </c>
      <c r="AD27" s="3">
        <v>-1.3528764E-2</v>
      </c>
      <c r="AE27" s="3">
        <v>1.0370015999999999E-2</v>
      </c>
      <c r="AF27" s="3">
        <v>6.5362690000000001E-2</v>
      </c>
      <c r="AG27" s="3">
        <v>6.5703154E-2</v>
      </c>
      <c r="AH27" s="3">
        <v>3.9824247E-2</v>
      </c>
      <c r="AI27" s="3">
        <v>8.1815719999999995E-2</v>
      </c>
      <c r="AJ27" s="3"/>
      <c r="AK27" s="3"/>
      <c r="AL27" s="3"/>
    </row>
    <row r="28" spans="1:38" x14ac:dyDescent="0.45">
      <c r="A28" s="2">
        <v>44967</v>
      </c>
      <c r="B28" s="3">
        <v>6.0024259999999999E-3</v>
      </c>
      <c r="C28" s="3">
        <v>4.6087980000000001E-2</v>
      </c>
      <c r="D28" s="3">
        <v>7.7348112999999996E-2</v>
      </c>
      <c r="E28" s="3">
        <v>2.7787804999999999E-2</v>
      </c>
      <c r="F28" s="3">
        <v>-6.2574569999999996E-2</v>
      </c>
      <c r="G28" s="3">
        <v>-4.5833350000000002E-2</v>
      </c>
      <c r="H28" s="3">
        <v>-4.7619342999999995E-3</v>
      </c>
      <c r="I28" s="3">
        <v>4.4672010000000005E-2</v>
      </c>
      <c r="J28" s="3">
        <v>1.1133074999999999E-2</v>
      </c>
      <c r="K28" s="3">
        <v>1.5769839000000001E-2</v>
      </c>
      <c r="L28" s="3">
        <v>-4.681134E-2</v>
      </c>
      <c r="M28" s="3">
        <v>-6.8422259999999999E-2</v>
      </c>
      <c r="N28" s="3">
        <v>0.11059737</v>
      </c>
      <c r="O28" s="3">
        <v>-4.3849229999999996E-2</v>
      </c>
      <c r="P28" s="3">
        <v>-3.9505720000000001E-2</v>
      </c>
      <c r="Q28" s="3">
        <v>-7.9116343999999991E-2</v>
      </c>
      <c r="R28" s="3">
        <v>-1.2564182E-2</v>
      </c>
      <c r="S28" s="3">
        <v>-9.4415300000000008E-2</v>
      </c>
      <c r="T28" s="3">
        <v>1.9399523999999998E-2</v>
      </c>
      <c r="U28" s="3">
        <v>-5.2339373000000002E-2</v>
      </c>
      <c r="V28" s="3">
        <v>-2.8630911999999998E-2</v>
      </c>
      <c r="W28" s="3">
        <v>3.5147667E-2</v>
      </c>
      <c r="X28" s="3">
        <v>3.4674643999999998E-2</v>
      </c>
      <c r="Y28" s="3">
        <v>3.6204456999999995E-2</v>
      </c>
      <c r="Z28" s="3">
        <v>1.6843676999999998E-2</v>
      </c>
      <c r="AA28" s="3">
        <v>5.2898525999999994E-2</v>
      </c>
      <c r="AB28" s="3">
        <v>9.0312960000000001E-4</v>
      </c>
      <c r="AC28" s="3">
        <v>1.1562467E-2</v>
      </c>
      <c r="AD28" s="3">
        <v>7.9805493000000005E-2</v>
      </c>
      <c r="AE28" s="3">
        <v>3.1654596E-2</v>
      </c>
      <c r="AF28" s="3">
        <v>1.9602418E-2</v>
      </c>
      <c r="AG28" s="3">
        <v>9.4660520000000008E-3</v>
      </c>
      <c r="AH28" s="3">
        <v>-3.4227966999999999E-3</v>
      </c>
      <c r="AI28" s="3">
        <v>3.8408756000000002E-2</v>
      </c>
      <c r="AJ28" s="3"/>
      <c r="AK28" s="3"/>
      <c r="AL28" s="3"/>
    </row>
    <row r="29" spans="1:38" x14ac:dyDescent="0.45">
      <c r="A29" s="2">
        <v>44995</v>
      </c>
      <c r="B29" s="3">
        <v>-4.6539425999999995E-2</v>
      </c>
      <c r="C29" s="3">
        <v>-1.5027344E-2</v>
      </c>
      <c r="D29" s="3">
        <v>-5.5128155000000005E-2</v>
      </c>
      <c r="E29" s="3">
        <v>-7.5140419999999999E-2</v>
      </c>
      <c r="F29" s="3">
        <v>-1.7164648000000001E-2</v>
      </c>
      <c r="G29" s="3">
        <v>-2.0826340000000002E-2</v>
      </c>
      <c r="H29" s="3">
        <v>-7.0465384000000006E-2</v>
      </c>
      <c r="I29" s="3">
        <v>-3.1403123999999998E-2</v>
      </c>
      <c r="J29" s="3">
        <v>1.1898397999999999E-2</v>
      </c>
      <c r="K29" s="3">
        <v>-7.5384083000000005E-2</v>
      </c>
      <c r="L29" s="3">
        <v>-3.8434148000000001E-2</v>
      </c>
      <c r="M29" s="3">
        <v>-6.0472669999999999E-2</v>
      </c>
      <c r="N29" s="3">
        <v>-3.7143767000000001E-2</v>
      </c>
      <c r="O29" s="3">
        <v>-2.4789274E-2</v>
      </c>
      <c r="P29" s="3">
        <v>-8.9083789999999996E-2</v>
      </c>
      <c r="Q29" s="3">
        <v>3.7650585E-2</v>
      </c>
      <c r="R29" s="3">
        <v>-3.9000988E-2</v>
      </c>
      <c r="S29" s="3">
        <v>0.24872229999999998</v>
      </c>
      <c r="T29" s="3">
        <v>-4.4183372999999998E-2</v>
      </c>
      <c r="U29" s="3">
        <v>-2.4267793000000003E-2</v>
      </c>
      <c r="V29" s="3">
        <v>2.1436214000000002E-3</v>
      </c>
      <c r="W29" s="3">
        <v>-7.2176989999999996E-2</v>
      </c>
      <c r="X29" s="3">
        <v>-7.9437312999999996E-2</v>
      </c>
      <c r="Y29" s="3">
        <v>-7.3823689999999997E-2</v>
      </c>
      <c r="Z29" s="3">
        <v>-1.6924798000000001E-2</v>
      </c>
      <c r="AA29" s="3">
        <v>-2.3055731999999999E-2</v>
      </c>
      <c r="AB29" s="3">
        <v>-3.3386051999999999E-2</v>
      </c>
      <c r="AC29" s="3">
        <v>-2.4714231E-2</v>
      </c>
      <c r="AD29" s="3">
        <v>-3.7203968000000004E-2</v>
      </c>
      <c r="AE29" s="3">
        <v>-5.4234859999999996E-2</v>
      </c>
      <c r="AF29" s="3">
        <v>-8.2394479999999999E-3</v>
      </c>
      <c r="AG29" s="3">
        <v>-4.3760540000000001E-2</v>
      </c>
      <c r="AH29" s="3">
        <v>-4.0927290000000005E-2</v>
      </c>
      <c r="AI29" s="3">
        <v>-2.1136105000000002E-2</v>
      </c>
      <c r="AJ29" s="3"/>
      <c r="AK29" s="3"/>
      <c r="AL29" s="3"/>
    </row>
    <row r="30" spans="1:38" x14ac:dyDescent="0.45">
      <c r="A30" s="2">
        <v>45027</v>
      </c>
      <c r="B30" s="3">
        <v>3.0976295000000001E-2</v>
      </c>
      <c r="C30" s="3">
        <v>-2.6699066E-2</v>
      </c>
      <c r="D30" s="3">
        <v>7.1913122999999995E-2</v>
      </c>
      <c r="E30" s="3">
        <v>7.2133539999999999E-3</v>
      </c>
      <c r="F30" s="3">
        <v>3.0401109999999999E-2</v>
      </c>
      <c r="G30" s="3">
        <v>6.620931599999999E-2</v>
      </c>
      <c r="H30" s="3">
        <v>4.7262430000000001E-2</v>
      </c>
      <c r="I30" s="3">
        <v>3.9549232000000004E-2</v>
      </c>
      <c r="J30" s="3">
        <v>4.3699620000000002E-2</v>
      </c>
      <c r="K30" s="3">
        <v>7.3567629999999995E-2</v>
      </c>
      <c r="L30" s="3">
        <v>6.5877080000000005E-2</v>
      </c>
      <c r="M30" s="3">
        <v>4.1430353999999996E-2</v>
      </c>
      <c r="N30" s="3">
        <v>4.5892954E-2</v>
      </c>
      <c r="O30" s="3">
        <v>1.8556118E-2</v>
      </c>
      <c r="P30" s="3">
        <v>6.0560703E-2</v>
      </c>
      <c r="Q30" s="3">
        <v>-1.2439131999999999E-2</v>
      </c>
      <c r="R30" s="3">
        <v>-1.5941262E-3</v>
      </c>
      <c r="S30" s="3">
        <v>-5.6753099999999994E-2</v>
      </c>
      <c r="T30" s="3">
        <v>-3.4625529999999997E-3</v>
      </c>
      <c r="U30" s="3">
        <v>5.4030895000000002E-2</v>
      </c>
      <c r="V30" s="3">
        <v>6.1497330000000003E-2</v>
      </c>
      <c r="W30" s="3">
        <v>3.7222862000000002E-2</v>
      </c>
      <c r="X30" s="3">
        <v>4.4943810000000001E-2</v>
      </c>
      <c r="Y30" s="3">
        <v>6.1454177000000006E-2</v>
      </c>
      <c r="Z30" s="3">
        <v>4.9450516999999999E-2</v>
      </c>
      <c r="AA30" s="3">
        <v>1.9373058999999998E-2</v>
      </c>
      <c r="AB30" s="3">
        <v>8.2380410000000015E-2</v>
      </c>
      <c r="AC30" s="3">
        <v>5.0047517E-2</v>
      </c>
      <c r="AD30" s="3">
        <v>9.62311E-2</v>
      </c>
      <c r="AE30" s="3">
        <v>6.5798880000000004E-2</v>
      </c>
      <c r="AF30" s="3">
        <v>6.2863470000000005E-2</v>
      </c>
      <c r="AG30" s="3">
        <v>6.1855673999999999E-2</v>
      </c>
      <c r="AH30" s="3">
        <v>5.849004E-2</v>
      </c>
      <c r="AI30" s="3">
        <v>5.0269839999999996E-2</v>
      </c>
      <c r="AJ30" s="3"/>
      <c r="AK30" s="3"/>
      <c r="AL30" s="3"/>
    </row>
    <row r="31" spans="1:38" x14ac:dyDescent="0.45">
      <c r="A31" s="2">
        <v>45057</v>
      </c>
      <c r="B31" s="3">
        <v>-3.7025809999999999E-2</v>
      </c>
      <c r="C31" s="3">
        <v>7.3744180000000006E-2</v>
      </c>
      <c r="D31" s="3">
        <v>4.2192936E-3</v>
      </c>
      <c r="E31" s="3">
        <v>9.8001957000000001E-3</v>
      </c>
      <c r="F31" s="3">
        <v>0.10671687000000001</v>
      </c>
      <c r="G31" s="3">
        <v>-1.2548268E-2</v>
      </c>
      <c r="H31" s="3">
        <v>-2.3681819999999999E-2</v>
      </c>
      <c r="I31" s="3">
        <v>-3.7602305000000003E-2</v>
      </c>
      <c r="J31" s="3">
        <v>4.6073556000000002E-2</v>
      </c>
      <c r="K31" s="3">
        <v>-3.1602680000000001E-2</v>
      </c>
      <c r="L31" s="3">
        <v>2.6388883999999998E-2</v>
      </c>
      <c r="M31" s="3">
        <v>-7.3644342000000002E-2</v>
      </c>
      <c r="N31" s="3">
        <v>2.5437235999999998E-2</v>
      </c>
      <c r="O31" s="3">
        <v>3.4689307000000003E-2</v>
      </c>
      <c r="P31" s="3">
        <v>-4.3180046E-2</v>
      </c>
      <c r="Q31" s="3">
        <v>5.9145690000000001E-2</v>
      </c>
      <c r="R31" s="3">
        <v>-1.8596172000000001E-2</v>
      </c>
      <c r="S31" s="3">
        <v>-3.2976567999999998E-2</v>
      </c>
      <c r="T31" s="3">
        <v>3.5441279999999999E-2</v>
      </c>
      <c r="U31" s="3">
        <v>6.9161653999999994E-3</v>
      </c>
      <c r="V31" s="3">
        <v>3.3249377999999996E-2</v>
      </c>
      <c r="W31" s="3">
        <v>1.8749952E-2</v>
      </c>
      <c r="X31" s="3">
        <v>-1.1612952000000001E-2</v>
      </c>
      <c r="Y31" s="3">
        <v>1.4330149000000001E-3</v>
      </c>
      <c r="Z31" s="3">
        <v>1.082027E-2</v>
      </c>
      <c r="AA31" s="3">
        <v>3.5072565E-2</v>
      </c>
      <c r="AB31" s="3">
        <v>4.3984413E-2</v>
      </c>
      <c r="AC31" s="3">
        <v>4.5248270000000004E-3</v>
      </c>
      <c r="AD31" s="3">
        <v>3.2834172000000002E-2</v>
      </c>
      <c r="AE31" s="3">
        <v>5.8820249999999999E-3</v>
      </c>
      <c r="AF31" s="3">
        <v>1.4330387E-2</v>
      </c>
      <c r="AG31" s="3">
        <v>-6.3935520000000003E-3</v>
      </c>
      <c r="AH31" s="3">
        <v>2.3118138E-2</v>
      </c>
      <c r="AI31" s="3">
        <v>5.4609775999999999E-3</v>
      </c>
      <c r="AJ31" s="3"/>
      <c r="AK31" s="3"/>
      <c r="AL31" s="3"/>
    </row>
    <row r="32" spans="1:38" x14ac:dyDescent="0.45">
      <c r="A32" s="2">
        <v>45086</v>
      </c>
      <c r="B32" s="3">
        <v>-6.7723694000000001E-2</v>
      </c>
      <c r="C32" s="3">
        <v>1.0885239E-2</v>
      </c>
      <c r="D32" s="3">
        <v>6.151676E-3</v>
      </c>
      <c r="E32" s="3">
        <v>-3.1732976000000003E-2</v>
      </c>
      <c r="F32" s="3">
        <v>5.9557675999999997E-2</v>
      </c>
      <c r="G32" s="3">
        <v>1.4361382000000001E-2</v>
      </c>
      <c r="H32" s="3">
        <v>-6.0655000000000001E-2</v>
      </c>
      <c r="I32" s="3">
        <v>9.4001409999999994E-2</v>
      </c>
      <c r="J32" s="3">
        <v>1.8899440999999999E-2</v>
      </c>
      <c r="K32" s="3">
        <v>0.110223055</v>
      </c>
      <c r="L32" s="3">
        <v>9.5250719999999997E-2</v>
      </c>
      <c r="M32" s="3">
        <v>5.4281116000000004E-2</v>
      </c>
      <c r="N32" s="3">
        <v>0.10759698999999999</v>
      </c>
      <c r="O32" s="3">
        <v>1.7599106E-2</v>
      </c>
      <c r="P32" s="3">
        <v>-3.1554700000000005E-2</v>
      </c>
      <c r="Q32" s="3">
        <v>-2.7903437999999999E-2</v>
      </c>
      <c r="R32" s="3">
        <v>-7.8410505999999998E-3</v>
      </c>
      <c r="S32" s="3">
        <v>-6.1024546999999998E-2</v>
      </c>
      <c r="T32" s="3">
        <v>-1.5527666000000001E-2</v>
      </c>
      <c r="U32" s="3">
        <v>6.2626242999999998E-2</v>
      </c>
      <c r="V32" s="3">
        <v>1.8781304000000002E-2</v>
      </c>
      <c r="W32" s="3">
        <v>-4.8401649999999997E-2</v>
      </c>
      <c r="X32" s="3">
        <v>-8.5881350000000002E-3</v>
      </c>
      <c r="Y32" s="3">
        <v>-1.4152883999999999E-2</v>
      </c>
      <c r="Z32" s="3">
        <v>-1.5115380000000001E-2</v>
      </c>
      <c r="AA32" s="3">
        <v>4.5889735000000001E-2</v>
      </c>
      <c r="AB32" s="3">
        <v>-3.5620212999999998E-2</v>
      </c>
      <c r="AC32" s="3">
        <v>-1.5473723E-2</v>
      </c>
      <c r="AD32" s="3">
        <v>8.6756589999999995E-2</v>
      </c>
      <c r="AE32" s="3">
        <v>4.3117403999999998E-2</v>
      </c>
      <c r="AF32" s="3">
        <v>-3.1742096000000004E-2</v>
      </c>
      <c r="AG32" s="3">
        <v>1.0601163E-2</v>
      </c>
      <c r="AH32" s="3">
        <v>-2.7555823E-2</v>
      </c>
      <c r="AI32" s="3">
        <v>-1.0159552000000001E-2</v>
      </c>
      <c r="AJ32" s="3"/>
      <c r="AK32" s="3"/>
      <c r="AL32" s="3"/>
    </row>
    <row r="33" spans="1:38" x14ac:dyDescent="0.45">
      <c r="A33" s="2">
        <v>45118</v>
      </c>
      <c r="B33" s="3">
        <v>3.7262440000000001E-3</v>
      </c>
      <c r="C33" s="3">
        <v>2.5256037999999998E-2</v>
      </c>
      <c r="D33" s="3">
        <v>-1.7902731999999998E-2</v>
      </c>
      <c r="E33" s="3">
        <v>4.6820640000000005E-3</v>
      </c>
      <c r="F33" s="3">
        <v>3.9614558000000001E-2</v>
      </c>
      <c r="G33" s="3">
        <v>3.086245E-2</v>
      </c>
      <c r="H33" s="3">
        <v>2.9761789999999998E-3</v>
      </c>
      <c r="I33" s="3">
        <v>-1.449579E-2</v>
      </c>
      <c r="J33" s="3">
        <v>4.4500827999999996E-3</v>
      </c>
      <c r="K33" s="3">
        <v>-3.4943043999999999E-2</v>
      </c>
      <c r="L33" s="3">
        <v>3.1645298E-3</v>
      </c>
      <c r="M33" s="3">
        <v>-1.5786886E-2</v>
      </c>
      <c r="N33" s="3">
        <v>8.5284119999999991E-2</v>
      </c>
      <c r="O33" s="3">
        <v>4.4170020000000004E-2</v>
      </c>
      <c r="P33" s="3">
        <v>-3.9569140000000006E-3</v>
      </c>
      <c r="Q33" s="3">
        <v>-2.1558820999999999E-2</v>
      </c>
      <c r="R33" s="3">
        <v>-3.7392854999999996E-2</v>
      </c>
      <c r="S33" s="3">
        <v>1.6501665000000002E-2</v>
      </c>
      <c r="T33" s="3">
        <v>3.9215684000000001E-2</v>
      </c>
      <c r="U33" s="3">
        <v>4.2585610000000003E-2</v>
      </c>
      <c r="V33" s="3">
        <v>1.8886209000000001E-2</v>
      </c>
      <c r="W33" s="3">
        <v>2.9875398000000001E-2</v>
      </c>
      <c r="X33" s="3">
        <v>-2.6834010000000002E-3</v>
      </c>
      <c r="Y33" s="3">
        <v>1.0264039000000001E-2</v>
      </c>
      <c r="Z33" s="3">
        <v>1.5489935999999999E-2</v>
      </c>
      <c r="AA33" s="3">
        <v>-6.4288380000000001E-3</v>
      </c>
      <c r="AB33" s="3">
        <v>2.6276112000000003E-3</v>
      </c>
      <c r="AC33" s="3">
        <v>-1.2437819999999999E-2</v>
      </c>
      <c r="AD33" s="3">
        <v>3.9987922000000002E-2</v>
      </c>
      <c r="AE33" s="3">
        <v>3.3053159999999998E-2</v>
      </c>
      <c r="AF33" s="3">
        <v>3.0919433E-2</v>
      </c>
      <c r="AG33" s="3">
        <v>2.6111722E-2</v>
      </c>
      <c r="AH33" s="3">
        <v>-6.8008304E-3</v>
      </c>
      <c r="AI33" s="3">
        <v>5.291009E-2</v>
      </c>
      <c r="AJ33" s="3"/>
      <c r="AK33" s="3"/>
      <c r="AL33" s="3"/>
    </row>
    <row r="34" spans="1:38" x14ac:dyDescent="0.45">
      <c r="A34" s="2">
        <v>45149</v>
      </c>
      <c r="B34" s="3">
        <v>-6.3753130000000005E-3</v>
      </c>
      <c r="C34" s="3">
        <v>-1.8475353999999999E-2</v>
      </c>
      <c r="D34" s="3">
        <v>-5.2083729999999996E-3</v>
      </c>
      <c r="E34" s="3">
        <v>-2.1747530000000001E-2</v>
      </c>
      <c r="F34" s="3">
        <v>4.0164829999999999E-2</v>
      </c>
      <c r="G34" s="3">
        <v>4.5804142999999999E-2</v>
      </c>
      <c r="H34" s="3">
        <v>5.5885315000000005E-2</v>
      </c>
      <c r="I34" s="3">
        <v>-2.3875475E-2</v>
      </c>
      <c r="J34" s="3">
        <v>-1.8196225E-2</v>
      </c>
      <c r="K34" s="3">
        <v>-1.9114196E-2</v>
      </c>
      <c r="L34" s="3">
        <v>-4.1009784000000001E-3</v>
      </c>
      <c r="M34" s="3">
        <v>1.9799470999999999E-2</v>
      </c>
      <c r="N34" s="3">
        <v>-2.4649740000000003E-2</v>
      </c>
      <c r="O34" s="3">
        <v>-7.9600214999999992E-3</v>
      </c>
      <c r="P34" s="3">
        <v>1.1697173E-2</v>
      </c>
      <c r="Q34" s="3">
        <v>4.2372823000000004E-2</v>
      </c>
      <c r="R34" s="3">
        <v>2.5518417000000002E-2</v>
      </c>
      <c r="S34" s="3">
        <v>0.16850662</v>
      </c>
      <c r="T34" s="3">
        <v>2.7628064000000001E-2</v>
      </c>
      <c r="U34" s="3">
        <v>0.10685634999999999</v>
      </c>
      <c r="V34" s="3">
        <v>-3.5408795E-2</v>
      </c>
      <c r="W34" s="3">
        <v>-3.9363681999999997E-2</v>
      </c>
      <c r="X34" s="3">
        <v>-2.2421478999999998E-3</v>
      </c>
      <c r="Y34" s="3">
        <v>1.4804006000000001E-2</v>
      </c>
      <c r="Z34" s="3">
        <v>-2.8378963E-3</v>
      </c>
      <c r="AA34" s="3">
        <v>-7.2792170000000002E-3</v>
      </c>
      <c r="AB34" s="3">
        <v>1.5505552000000001E-2</v>
      </c>
      <c r="AC34" s="3">
        <v>2.3299693999999999E-2</v>
      </c>
      <c r="AD34" s="3">
        <v>-5.2422285000000004E-3</v>
      </c>
      <c r="AE34" s="3">
        <v>7.2096585999999992E-3</v>
      </c>
      <c r="AF34" s="3">
        <v>5.7879685999999994E-3</v>
      </c>
      <c r="AG34" s="3">
        <v>-4.6478509999999997E-3</v>
      </c>
      <c r="AH34" s="3">
        <v>-2.8530657000000001E-2</v>
      </c>
      <c r="AI34" s="3">
        <v>3.140688E-3</v>
      </c>
      <c r="AJ34" s="3"/>
      <c r="AK34" s="3"/>
      <c r="AL34" s="3"/>
    </row>
    <row r="35" spans="1:38" x14ac:dyDescent="0.45">
      <c r="A35" s="2">
        <v>45180</v>
      </c>
      <c r="B35" s="3">
        <v>-2.7549921999999998E-2</v>
      </c>
      <c r="C35" s="3">
        <v>-9.8524685000000001E-2</v>
      </c>
      <c r="D35" s="3">
        <v>1.3089180000000001E-3</v>
      </c>
      <c r="E35" s="3">
        <v>-1.4489889000000001E-2</v>
      </c>
      <c r="F35" s="3">
        <v>-0.12623768999999999</v>
      </c>
      <c r="G35" s="3">
        <v>-4.1793766000000003E-2</v>
      </c>
      <c r="H35" s="3">
        <v>-1.0304509999999999E-2</v>
      </c>
      <c r="I35" s="3">
        <v>-1.0482609E-2</v>
      </c>
      <c r="J35" s="3">
        <v>-2.9492318999999999E-2</v>
      </c>
      <c r="K35" s="3">
        <v>-5.3865909999999996E-3</v>
      </c>
      <c r="L35" s="3">
        <v>-7.6021550000000002E-3</v>
      </c>
      <c r="M35" s="3">
        <v>-3.5881042000000002E-2</v>
      </c>
      <c r="N35" s="3">
        <v>-6.8635345E-2</v>
      </c>
      <c r="O35" s="3">
        <v>4.2182446000000005E-2</v>
      </c>
      <c r="P35" s="3">
        <v>-2.6832460999999998E-2</v>
      </c>
      <c r="Q35" s="3">
        <v>-2.0596266000000002E-2</v>
      </c>
      <c r="R35" s="3">
        <v>3.764987E-3</v>
      </c>
      <c r="S35" s="3">
        <v>6.751871000000001E-2</v>
      </c>
      <c r="T35" s="3">
        <v>-1.5081941999999999E-2</v>
      </c>
      <c r="U35" s="3">
        <v>5.6012869999999999E-3</v>
      </c>
      <c r="V35" s="3">
        <v>-7.8837275999999994E-3</v>
      </c>
      <c r="W35" s="3">
        <v>-5.5626334999999999E-2</v>
      </c>
      <c r="X35" s="3">
        <v>-8.9887977000000004E-3</v>
      </c>
      <c r="Y35" s="3">
        <v>-1.6876459E-2</v>
      </c>
      <c r="Z35" s="3">
        <v>-2.3834944E-2</v>
      </c>
      <c r="AA35" s="3">
        <v>1.5479922E-2</v>
      </c>
      <c r="AB35" s="3">
        <v>-2.5591373000000001E-2</v>
      </c>
      <c r="AC35" s="3">
        <v>-1.5384614000000001E-2</v>
      </c>
      <c r="AD35" s="3">
        <v>2.9297710000000001E-2</v>
      </c>
      <c r="AE35" s="3">
        <v>6.2830450000000001E-3</v>
      </c>
      <c r="AF35" s="3">
        <v>-2.7988493E-2</v>
      </c>
      <c r="AG35" s="3">
        <v>-6.5374794E-2</v>
      </c>
      <c r="AH35" s="3">
        <v>-2.5550603999999998E-2</v>
      </c>
      <c r="AI35" s="3">
        <v>-1.0644971999999999E-2</v>
      </c>
      <c r="AJ35" s="3"/>
      <c r="AK35" s="3"/>
      <c r="AL35" s="3"/>
    </row>
    <row r="36" spans="1:38" x14ac:dyDescent="0.45">
      <c r="A36" s="2">
        <v>45210</v>
      </c>
      <c r="B36" s="3">
        <v>-1.9214034000000001E-2</v>
      </c>
      <c r="C36" s="3">
        <v>-4.7027826000000002E-2</v>
      </c>
      <c r="D36" s="3">
        <v>-4.5315924E-2</v>
      </c>
      <c r="E36" s="3">
        <v>-6.2437059999999999E-3</v>
      </c>
      <c r="F36" s="3">
        <v>2.7762055000000001E-2</v>
      </c>
      <c r="G36" s="3">
        <v>-6.0105029999999997E-2</v>
      </c>
      <c r="H36" s="3">
        <v>-1.2777983999999999E-2</v>
      </c>
      <c r="I36" s="3">
        <v>1.2580036999999999E-2</v>
      </c>
      <c r="J36" s="3">
        <v>-6.2437772999999995E-2</v>
      </c>
      <c r="K36" s="3">
        <v>-5.1290154000000004E-2</v>
      </c>
      <c r="L36" s="3">
        <v>-1.8831790000000001E-2</v>
      </c>
      <c r="M36" s="3">
        <v>5.0985812999999999E-4</v>
      </c>
      <c r="N36" s="3">
        <v>-5.7412147999999996E-2</v>
      </c>
      <c r="O36" s="3">
        <v>-1.7157912000000001E-2</v>
      </c>
      <c r="P36" s="3">
        <v>-8.0699324999999999E-3</v>
      </c>
      <c r="Q36" s="3">
        <v>-4.7592759999999998E-2</v>
      </c>
      <c r="R36" s="3">
        <v>-5.5128630000000005E-2</v>
      </c>
      <c r="S36" s="3">
        <v>-1.0410547E-3</v>
      </c>
      <c r="T36" s="3">
        <v>-1.0652542000000001E-2</v>
      </c>
      <c r="U36" s="3">
        <v>-0.10550463</v>
      </c>
      <c r="V36" s="3">
        <v>-7.6732040000000001E-2</v>
      </c>
      <c r="W36" s="3">
        <v>1.2589931E-2</v>
      </c>
      <c r="X36" s="3">
        <v>-1.4512479E-2</v>
      </c>
      <c r="Y36" s="3">
        <v>-2.0657540000000002E-2</v>
      </c>
      <c r="Z36" s="3">
        <v>-3.6807596999999997E-2</v>
      </c>
      <c r="AA36" s="3">
        <v>-3.4338891999999996E-2</v>
      </c>
      <c r="AB36" s="3">
        <v>-1.5007734E-2</v>
      </c>
      <c r="AC36" s="3">
        <v>5.312443E-3</v>
      </c>
      <c r="AD36" s="3">
        <v>-1.3830304E-2</v>
      </c>
      <c r="AE36" s="3">
        <v>-2.357453E-2</v>
      </c>
      <c r="AF36" s="3">
        <v>-3.7944019999999995E-2</v>
      </c>
      <c r="AG36" s="3">
        <v>-3.4723937999999996E-2</v>
      </c>
      <c r="AH36" s="3">
        <v>1.7179012E-2</v>
      </c>
      <c r="AI36" s="3">
        <v>-2.8797448E-2</v>
      </c>
      <c r="AJ36" s="3"/>
      <c r="AK36" s="3"/>
      <c r="AL36" s="3"/>
    </row>
    <row r="37" spans="1:38" x14ac:dyDescent="0.45">
      <c r="A37" s="2">
        <v>45240</v>
      </c>
      <c r="B37" s="3">
        <v>-2.9198824999999998E-2</v>
      </c>
      <c r="C37" s="3">
        <v>-2.566123E-2</v>
      </c>
      <c r="D37" s="3">
        <v>-4.2902826999999998E-2</v>
      </c>
      <c r="E37" s="3">
        <v>0</v>
      </c>
      <c r="F37" s="3">
        <v>0.11466372</v>
      </c>
      <c r="G37" s="3">
        <v>-9.2168449999999996E-3</v>
      </c>
      <c r="H37" s="3">
        <v>8.1496239999999994E-3</v>
      </c>
      <c r="I37" s="3">
        <v>7.8465940000000001E-3</v>
      </c>
      <c r="J37" s="3">
        <v>4.5164704E-2</v>
      </c>
      <c r="K37" s="3">
        <v>1.2424469E-2</v>
      </c>
      <c r="L37" s="3">
        <v>5.400133E-2</v>
      </c>
      <c r="M37" s="3">
        <v>-1.4267564E-2</v>
      </c>
      <c r="N37" s="3">
        <v>5.9393883000000001E-2</v>
      </c>
      <c r="O37" s="3">
        <v>-4.2524338000000002E-3</v>
      </c>
      <c r="P37" s="3">
        <v>-3.954804E-2</v>
      </c>
      <c r="Q37" s="3">
        <v>-5.8096647E-4</v>
      </c>
      <c r="R37" s="3">
        <v>-4.5618477000000004E-2</v>
      </c>
      <c r="S37" s="3">
        <v>-9.7186029999999993E-2</v>
      </c>
      <c r="T37" s="3">
        <v>-6.0564876000000004E-3</v>
      </c>
      <c r="U37" s="3">
        <v>-3.4432173000000003E-2</v>
      </c>
      <c r="V37" s="3">
        <v>4.2495966000000003E-2</v>
      </c>
      <c r="W37" s="3">
        <v>-2.9751360000000001E-2</v>
      </c>
      <c r="X37" s="3">
        <v>-1.6106783999999999E-2</v>
      </c>
      <c r="Y37" s="3">
        <v>-1.0992228999999999E-2</v>
      </c>
      <c r="Z37" s="3">
        <v>-3.4052134E-3</v>
      </c>
      <c r="AA37" s="3">
        <v>4.8189163E-3</v>
      </c>
      <c r="AB37" s="3">
        <v>-3.4954070000000004E-2</v>
      </c>
      <c r="AC37" s="3">
        <v>-3.5125791999999996E-2</v>
      </c>
      <c r="AD37" s="3">
        <v>1.9314766000000001E-2</v>
      </c>
      <c r="AE37" s="3">
        <v>9.832144000000001E-3</v>
      </c>
      <c r="AF37" s="3">
        <v>0</v>
      </c>
      <c r="AG37" s="3">
        <v>3.8043500000000001E-2</v>
      </c>
      <c r="AH37" s="3">
        <v>-2.4000048999999999E-2</v>
      </c>
      <c r="AI37" s="3">
        <v>1.4988542000000001E-2</v>
      </c>
      <c r="AJ37" s="3"/>
      <c r="AK37" s="3"/>
      <c r="AL37" s="3"/>
    </row>
    <row r="38" spans="1:38" x14ac:dyDescent="0.45">
      <c r="A38" s="2">
        <v>45271</v>
      </c>
      <c r="B38" s="3">
        <v>-1.5957414999999999E-2</v>
      </c>
      <c r="C38" s="3">
        <v>8.2252740000000005E-2</v>
      </c>
      <c r="D38" s="3">
        <v>1.7644285999999999E-2</v>
      </c>
      <c r="E38" s="3">
        <v>1.824081E-2</v>
      </c>
      <c r="F38" s="3">
        <v>0.11424339</v>
      </c>
      <c r="G38" s="3">
        <v>4.8232555000000003E-2</v>
      </c>
      <c r="H38" s="3">
        <v>2.8530359999999998E-3</v>
      </c>
      <c r="I38" s="3">
        <v>5.6444526000000002E-2</v>
      </c>
      <c r="J38" s="3">
        <v>8.3545209999999995E-2</v>
      </c>
      <c r="K38" s="3">
        <v>3.9966821999999999E-2</v>
      </c>
      <c r="L38" s="3">
        <v>4.197526E-2</v>
      </c>
      <c r="M38" s="3">
        <v>1.6800284000000002E-2</v>
      </c>
      <c r="N38" s="3">
        <v>3.6899327999999995E-2</v>
      </c>
      <c r="O38" s="3">
        <v>6.9004297000000006E-2</v>
      </c>
      <c r="P38" s="3">
        <v>-4.0470600000000002E-2</v>
      </c>
      <c r="Q38" s="3">
        <v>-2.2093058000000002E-2</v>
      </c>
      <c r="R38" s="3">
        <v>-6.1745643999999997E-3</v>
      </c>
      <c r="S38" s="3">
        <v>-1.5007197999999999E-2</v>
      </c>
      <c r="T38" s="3">
        <v>-2.6404917E-2</v>
      </c>
      <c r="U38" s="3">
        <v>3.4142613000000002E-2</v>
      </c>
      <c r="V38" s="3">
        <v>5.1083683999999997E-2</v>
      </c>
      <c r="W38" s="3">
        <v>6.6132664999999993E-2</v>
      </c>
      <c r="X38" s="3">
        <v>6.6884995000000003E-2</v>
      </c>
      <c r="Y38" s="3">
        <v>5.5271863999999997E-2</v>
      </c>
      <c r="Z38" s="3">
        <v>0.10250567999999999</v>
      </c>
      <c r="AA38" s="3">
        <v>4.415405E-2</v>
      </c>
      <c r="AB38" s="3">
        <v>7.0582747000000001E-2</v>
      </c>
      <c r="AC38" s="3">
        <v>4.8969029999999997E-2</v>
      </c>
      <c r="AD38" s="3">
        <v>4.5270680000000001E-2</v>
      </c>
      <c r="AE38" s="3">
        <v>4.8523664000000001E-2</v>
      </c>
      <c r="AF38" s="3">
        <v>7.3286652999999993E-2</v>
      </c>
      <c r="AG38" s="3">
        <v>7.6788782999999999E-2</v>
      </c>
      <c r="AH38" s="3">
        <v>0.1451124</v>
      </c>
      <c r="AI38" s="3">
        <v>7.1910142999999996E-2</v>
      </c>
      <c r="AJ38" s="3"/>
      <c r="AK38" s="3"/>
      <c r="AL38" s="3"/>
    </row>
    <row r="39" spans="1:38" x14ac:dyDescent="0.45">
      <c r="A39" s="2">
        <v>45302</v>
      </c>
      <c r="B39" s="3">
        <v>-4.6669902999999999E-2</v>
      </c>
      <c r="C39" s="3">
        <v>-1.2783289E-2</v>
      </c>
      <c r="D39" s="3">
        <v>5.7685374999999997E-2</v>
      </c>
      <c r="E39" s="3">
        <v>5.3565145000000002E-2</v>
      </c>
      <c r="F39" s="3">
        <v>-1.2796282999999999E-2</v>
      </c>
      <c r="G39" s="3">
        <v>0.12096251000000001</v>
      </c>
      <c r="H39" s="3">
        <v>3.0221105000000002E-2</v>
      </c>
      <c r="I39" s="3">
        <v>1.5343189E-2</v>
      </c>
      <c r="J39" s="3">
        <v>4.8624872999999999E-2</v>
      </c>
      <c r="K39" s="3">
        <v>6.8478584000000002E-3</v>
      </c>
      <c r="L39" s="3">
        <v>4.8421499999999999E-2</v>
      </c>
      <c r="M39" s="3">
        <v>1.1966228000000001E-2</v>
      </c>
      <c r="N39" s="3">
        <v>9.1751340000000001E-2</v>
      </c>
      <c r="O39" s="3">
        <v>3.4272431999999999E-2</v>
      </c>
      <c r="P39" s="3">
        <v>-2.1958947000000003E-2</v>
      </c>
      <c r="Q39" s="3">
        <v>5.7075024000000002E-2</v>
      </c>
      <c r="R39" s="3">
        <v>1.9732237E-2</v>
      </c>
      <c r="S39" s="3">
        <v>-4.7976375000000002E-3</v>
      </c>
      <c r="T39" s="3">
        <v>6.6026806999999993E-2</v>
      </c>
      <c r="U39" s="3">
        <v>-1.2976526999999999E-3</v>
      </c>
      <c r="V39" s="3">
        <v>6.0779094999999998E-2</v>
      </c>
      <c r="W39" s="3">
        <v>4.8198223000000005E-2</v>
      </c>
      <c r="X39" s="3">
        <v>5.8635472999999994E-2</v>
      </c>
      <c r="Y39" s="3">
        <v>4.6229600000000003E-2</v>
      </c>
      <c r="Z39" s="3">
        <v>5.2179100000000001E-3</v>
      </c>
      <c r="AA39" s="3">
        <v>5.6817409999999999E-2</v>
      </c>
      <c r="AB39" s="3">
        <v>3.4265876000000001E-2</v>
      </c>
      <c r="AC39" s="3">
        <v>2.5849342000000001E-2</v>
      </c>
      <c r="AD39" s="3">
        <v>3.7565590000000003E-2</v>
      </c>
      <c r="AE39" s="3">
        <v>3.5270452000000001E-2</v>
      </c>
      <c r="AF39" s="3">
        <v>4.6768187999999995E-3</v>
      </c>
      <c r="AG39" s="3">
        <v>1.6875982000000001E-2</v>
      </c>
      <c r="AH39" s="3">
        <v>2.5237560000000003E-2</v>
      </c>
      <c r="AI39" s="3">
        <v>2.3230553000000001E-2</v>
      </c>
      <c r="AJ39" s="3"/>
      <c r="AK39" s="3"/>
      <c r="AL39" s="3"/>
    </row>
    <row r="40" spans="1:38" x14ac:dyDescent="0.45">
      <c r="A40" s="2">
        <v>45331</v>
      </c>
      <c r="B40" s="3">
        <v>8.9205502999999998E-3</v>
      </c>
      <c r="C40" s="3">
        <v>-5.6870279999999995E-2</v>
      </c>
      <c r="D40" s="3">
        <v>8.932352E-4</v>
      </c>
      <c r="E40" s="3">
        <v>4.6095249999999997E-2</v>
      </c>
      <c r="F40" s="3">
        <v>3.1004190000000001E-2</v>
      </c>
      <c r="G40" s="3">
        <v>-4.0191411999999996E-3</v>
      </c>
      <c r="H40" s="3">
        <v>-1.3114809999999999E-2</v>
      </c>
      <c r="I40" s="3">
        <v>6.1136364999999998E-2</v>
      </c>
      <c r="J40" s="3">
        <v>2.1051050000000002E-2</v>
      </c>
      <c r="K40" s="3">
        <v>3.4779787E-2</v>
      </c>
      <c r="L40" s="3">
        <v>-3.6006987000000004E-2</v>
      </c>
      <c r="M40" s="3">
        <v>-2.4669409E-2</v>
      </c>
      <c r="N40" s="3">
        <v>4.1505574999999996E-2</v>
      </c>
      <c r="O40" s="3">
        <v>3.1103968999999999E-2</v>
      </c>
      <c r="P40" s="3">
        <v>-3.2390772999999998E-2</v>
      </c>
      <c r="Q40" s="3">
        <v>-3.7120342000000001E-2</v>
      </c>
      <c r="R40" s="3">
        <v>-1.4109790000000001E-2</v>
      </c>
      <c r="S40" s="3">
        <v>0.12079727</v>
      </c>
      <c r="T40" s="3">
        <v>-4.4629040000000002E-2</v>
      </c>
      <c r="U40" s="3">
        <v>1.2006164E-2</v>
      </c>
      <c r="V40" s="3">
        <v>1.4302373E-2</v>
      </c>
      <c r="W40" s="3">
        <v>-2.6964902999999998E-2</v>
      </c>
      <c r="X40" s="3">
        <v>-4.2265654E-4</v>
      </c>
      <c r="Y40" s="3">
        <v>2.2063255E-3</v>
      </c>
      <c r="Z40" s="3">
        <v>2.7406216000000001E-3</v>
      </c>
      <c r="AA40" s="3">
        <v>1.2613893000000001E-2</v>
      </c>
      <c r="AB40" s="3">
        <v>-2.7469039999999997E-2</v>
      </c>
      <c r="AC40" s="3">
        <v>-1.2251198000000001E-2</v>
      </c>
      <c r="AD40" s="3">
        <v>6.7668199999999998E-2</v>
      </c>
      <c r="AE40" s="3">
        <v>5.2167535000000001E-2</v>
      </c>
      <c r="AF40" s="3">
        <v>1.4360309E-2</v>
      </c>
      <c r="AG40" s="3">
        <v>8.6487770000000005E-2</v>
      </c>
      <c r="AH40" s="3">
        <v>-2.6497840000000001E-3</v>
      </c>
      <c r="AI40" s="3">
        <v>5.9275630000000003E-3</v>
      </c>
      <c r="AJ40" s="3"/>
      <c r="AK40" s="3"/>
      <c r="AL40" s="3"/>
    </row>
    <row r="41" spans="1:38" x14ac:dyDescent="0.45">
      <c r="A41" s="2">
        <v>45362</v>
      </c>
      <c r="B41" s="3">
        <v>8.3612680000000009E-2</v>
      </c>
      <c r="C41" s="3">
        <v>5.8680773000000006E-2</v>
      </c>
      <c r="D41" s="3">
        <v>2.2757649999999997E-2</v>
      </c>
      <c r="E41" s="3">
        <v>1.2381672999999999E-2</v>
      </c>
      <c r="F41" s="3">
        <v>4.488325E-2</v>
      </c>
      <c r="G41" s="3">
        <v>0.11426926</v>
      </c>
      <c r="H41" s="3">
        <v>4.0341734999999997E-2</v>
      </c>
      <c r="I41" s="3">
        <v>3.5339475000000002E-2</v>
      </c>
      <c r="J41" s="3">
        <v>-2.3435234999999999E-2</v>
      </c>
      <c r="K41" s="3">
        <v>4.0207385999999998E-2</v>
      </c>
      <c r="L41" s="3">
        <v>-2.4597644999999998E-2</v>
      </c>
      <c r="M41" s="3">
        <v>2.1381974000000002E-2</v>
      </c>
      <c r="N41" s="3">
        <v>-1.5841662999999999E-2</v>
      </c>
      <c r="O41" s="3">
        <v>2.3265003999999999E-2</v>
      </c>
      <c r="P41" s="3">
        <v>5.7651519999999998E-2</v>
      </c>
      <c r="Q41" s="3">
        <v>4.6144842999999998E-2</v>
      </c>
      <c r="R41" s="3">
        <v>-5.8630110000000004E-3</v>
      </c>
      <c r="S41" s="3">
        <v>-3.7164807000000001E-2</v>
      </c>
      <c r="T41" s="3">
        <v>-6.8933370000000002E-3</v>
      </c>
      <c r="U41" s="3">
        <v>1.7987013E-2</v>
      </c>
      <c r="V41" s="3">
        <v>2.2884965E-2</v>
      </c>
      <c r="W41" s="3">
        <v>-1.1707783000000001E-2</v>
      </c>
      <c r="X41" s="3">
        <v>3.2135366999999998E-2</v>
      </c>
      <c r="Y41" s="3">
        <v>3.7974714999999999E-2</v>
      </c>
      <c r="Z41" s="3">
        <v>6.0129879999999997E-2</v>
      </c>
      <c r="AA41" s="3">
        <v>4.4574499999999996E-2</v>
      </c>
      <c r="AB41" s="3">
        <v>4.484689E-2</v>
      </c>
      <c r="AC41" s="3">
        <v>3.5348773E-2</v>
      </c>
      <c r="AD41" s="3">
        <v>7.779598E-4</v>
      </c>
      <c r="AE41" s="3">
        <v>2.011168E-2</v>
      </c>
      <c r="AF41" s="3">
        <v>5.5855870000000002E-2</v>
      </c>
      <c r="AG41" s="3">
        <v>2.34375E-2</v>
      </c>
      <c r="AH41" s="3">
        <v>7.8374147000000005E-2</v>
      </c>
      <c r="AI41" s="3">
        <v>7.8962919999999992E-2</v>
      </c>
      <c r="AJ41" s="3"/>
      <c r="AK41" s="3"/>
      <c r="AL41" s="3"/>
    </row>
    <row r="42" spans="1:38" x14ac:dyDescent="0.45">
      <c r="A42" s="2">
        <v>45393</v>
      </c>
      <c r="B42" s="3">
        <v>-3.464979E-2</v>
      </c>
      <c r="C42" s="3">
        <v>5.8486222999999997E-2</v>
      </c>
      <c r="D42" s="3">
        <v>-5.0174475000000003E-2</v>
      </c>
      <c r="E42" s="3">
        <v>-5.0359726E-2</v>
      </c>
      <c r="F42" s="3">
        <v>3.5223365E-2</v>
      </c>
      <c r="G42" s="3">
        <v>9.0082880000000004E-2</v>
      </c>
      <c r="H42" s="3">
        <v>-5.4745080000000003E-3</v>
      </c>
      <c r="I42" s="3">
        <v>2.0273089999999997E-2</v>
      </c>
      <c r="J42" s="3">
        <v>4.2983054999999999E-2</v>
      </c>
      <c r="K42" s="3">
        <v>-1.9779623E-2</v>
      </c>
      <c r="L42" s="3">
        <v>-9.3399286000000002E-3</v>
      </c>
      <c r="M42" s="3">
        <v>3.9060592999999998E-2</v>
      </c>
      <c r="N42" s="3">
        <v>1.15695E-2</v>
      </c>
      <c r="O42" s="3">
        <v>8.6704490000000002E-3</v>
      </c>
      <c r="P42" s="3">
        <v>1.833713E-2</v>
      </c>
      <c r="Q42" s="3">
        <v>-1.8425465000000002E-2</v>
      </c>
      <c r="R42" s="3">
        <v>1.1700988000000001E-2</v>
      </c>
      <c r="S42" s="3">
        <v>7.1408869999999999E-2</v>
      </c>
      <c r="T42" s="3">
        <v>3.3910035999999998E-2</v>
      </c>
      <c r="U42" s="3">
        <v>5.2630900000000006E-3</v>
      </c>
      <c r="V42" s="3">
        <v>1.6497135E-2</v>
      </c>
      <c r="W42" s="3">
        <v>-1.4237642E-2</v>
      </c>
      <c r="X42" s="3">
        <v>-2.4579762999999998E-3</v>
      </c>
      <c r="Y42" s="3">
        <v>1.0603666000000001E-3</v>
      </c>
      <c r="Z42" s="3">
        <v>-5.800843E-3</v>
      </c>
      <c r="AA42" s="3">
        <v>5.6034326999999991E-3</v>
      </c>
      <c r="AB42" s="3">
        <v>-4.4160130000000006E-2</v>
      </c>
      <c r="AC42" s="3">
        <v>2.0964383999999999E-2</v>
      </c>
      <c r="AD42" s="3">
        <v>1.9579291000000002E-2</v>
      </c>
      <c r="AE42" s="3">
        <v>1.6312956999999999E-2</v>
      </c>
      <c r="AF42" s="3">
        <v>-1.6333520000000001E-2</v>
      </c>
      <c r="AG42" s="3">
        <v>2.145648E-2</v>
      </c>
      <c r="AH42" s="3">
        <v>-2.5375664000000003E-2</v>
      </c>
      <c r="AI42" s="3">
        <v>-3.823042E-3</v>
      </c>
      <c r="AJ42" s="3"/>
      <c r="AK42" s="3"/>
      <c r="AL42" s="3"/>
    </row>
    <row r="43" spans="1:38" x14ac:dyDescent="0.45">
      <c r="A43" s="2">
        <v>45422</v>
      </c>
      <c r="B43" s="3">
        <v>4.8629879999999993E-2</v>
      </c>
      <c r="C43" s="3">
        <v>1.5529037000000001E-2</v>
      </c>
      <c r="D43" s="3">
        <v>-5.9255896000000002E-2</v>
      </c>
      <c r="E43" s="3">
        <v>-3.7878810999999998E-2</v>
      </c>
      <c r="F43" s="3">
        <v>2.5103688000000002E-2</v>
      </c>
      <c r="G43" s="3">
        <v>4.5782210000000004E-2</v>
      </c>
      <c r="H43" s="3">
        <v>4.2201877000000006E-2</v>
      </c>
      <c r="I43" s="3">
        <v>2.8386116000000002E-3</v>
      </c>
      <c r="J43" s="3">
        <v>-2.9124618000000001E-3</v>
      </c>
      <c r="K43" s="3">
        <v>-6.1613320000000001E-4</v>
      </c>
      <c r="L43" s="3">
        <v>-6.5996049999999997E-3</v>
      </c>
      <c r="M43" s="3">
        <v>4.4963119999999995E-2</v>
      </c>
      <c r="N43" s="3">
        <v>4.8234700000000005E-2</v>
      </c>
      <c r="O43" s="3">
        <v>-1.8720150000000001E-2</v>
      </c>
      <c r="P43" s="3">
        <v>0.11445486000000001</v>
      </c>
      <c r="Q43" s="3">
        <v>-2.1615446E-2</v>
      </c>
      <c r="R43" s="3">
        <v>-1.7531036999999999E-2</v>
      </c>
      <c r="S43" s="3">
        <v>6.3046813000000007E-2</v>
      </c>
      <c r="T43" s="3">
        <v>-2.7443110000000003E-2</v>
      </c>
      <c r="U43" s="3">
        <v>-6.0583353000000006E-2</v>
      </c>
      <c r="V43" s="3">
        <v>-4.6687364999999995E-2</v>
      </c>
      <c r="W43" s="3">
        <v>-1.5435219E-3</v>
      </c>
      <c r="X43" s="3">
        <v>5.3387879999999997E-3</v>
      </c>
      <c r="Y43" s="3">
        <v>1.1387705999999999E-2</v>
      </c>
      <c r="Z43" s="3">
        <v>4.3111800000000006E-2</v>
      </c>
      <c r="AA43" s="3">
        <v>-2.9147029999999997E-2</v>
      </c>
      <c r="AB43" s="3">
        <v>3.4974097999999995E-2</v>
      </c>
      <c r="AC43" s="3">
        <v>6.0428259999999998E-2</v>
      </c>
      <c r="AD43" s="3">
        <v>-7.4320436000000004E-3</v>
      </c>
      <c r="AE43" s="3">
        <v>5.4826735999999997E-3</v>
      </c>
      <c r="AF43" s="3">
        <v>4.0892242999999995E-2</v>
      </c>
      <c r="AG43" s="3">
        <v>2.3025750000000001E-2</v>
      </c>
      <c r="AH43" s="3">
        <v>3.2608628000000001E-2</v>
      </c>
      <c r="AI43" s="3">
        <v>4.6875E-2</v>
      </c>
      <c r="AJ43" s="3"/>
      <c r="AK43" s="3"/>
      <c r="AL43" s="3"/>
    </row>
    <row r="44" spans="1:38" x14ac:dyDescent="0.45">
      <c r="A44" s="2">
        <v>45454</v>
      </c>
      <c r="B44" s="3">
        <v>-4.2432127E-2</v>
      </c>
      <c r="C44" s="3">
        <v>-1.8217623000000002E-2</v>
      </c>
      <c r="D44" s="3">
        <v>-4.4700623000000002E-2</v>
      </c>
      <c r="E44" s="3">
        <v>-3.844297E-2</v>
      </c>
      <c r="F44" s="3">
        <v>-4.7826529999999999E-2</v>
      </c>
      <c r="G44" s="3">
        <v>-2.8093218999999999E-2</v>
      </c>
      <c r="H44" s="3">
        <v>1.2439728000000001E-2</v>
      </c>
      <c r="I44" s="3">
        <v>4.1649820000000004E-2</v>
      </c>
      <c r="J44" s="3">
        <v>-0.16597556999999999</v>
      </c>
      <c r="K44" s="3">
        <v>-1.6954362000000001E-2</v>
      </c>
      <c r="L44" s="3">
        <v>-9.0023400000000003E-2</v>
      </c>
      <c r="M44" s="3">
        <v>-4.6871424000000002E-2</v>
      </c>
      <c r="N44" s="3">
        <v>-2.2533238000000001E-2</v>
      </c>
      <c r="O44" s="3">
        <v>5.6258559999999999E-2</v>
      </c>
      <c r="P44" s="3">
        <v>-3.7393868000000004E-2</v>
      </c>
      <c r="Q44" s="3">
        <v>-2.312541E-3</v>
      </c>
      <c r="R44" s="3">
        <v>-4.0673550000000003E-2</v>
      </c>
      <c r="S44" s="3">
        <v>-2.0706891999999998E-2</v>
      </c>
      <c r="T44" s="3">
        <v>-4.1460695000000006E-2</v>
      </c>
      <c r="U44" s="3">
        <v>7.165551E-3</v>
      </c>
      <c r="V44" s="3">
        <v>-3.4007667999999998E-2</v>
      </c>
      <c r="W44" s="3">
        <v>1.2781024E-2</v>
      </c>
      <c r="X44" s="3">
        <v>1.5783310000000001E-3</v>
      </c>
      <c r="Y44" s="3">
        <v>-2.4894296999999999E-2</v>
      </c>
      <c r="Z44" s="3">
        <v>-2.0867705E-2</v>
      </c>
      <c r="AA44" s="3">
        <v>9.1044899999999998E-3</v>
      </c>
      <c r="AB44" s="3">
        <v>3.2690643999999998E-2</v>
      </c>
      <c r="AC44" s="3">
        <v>-1.6235948E-2</v>
      </c>
      <c r="AD44" s="3">
        <v>5.8724999999999999E-2</v>
      </c>
      <c r="AE44" s="3">
        <v>3.0930757999999999E-2</v>
      </c>
      <c r="AF44" s="3">
        <v>-4.084289E-2</v>
      </c>
      <c r="AG44" s="3">
        <v>1.7071247000000001E-2</v>
      </c>
      <c r="AH44" s="3">
        <v>1.7605901E-2</v>
      </c>
      <c r="AI44" s="3">
        <v>-1.7899752000000001E-2</v>
      </c>
      <c r="AJ44" s="3"/>
      <c r="AK44" s="3"/>
      <c r="AL44" s="3"/>
    </row>
    <row r="45" spans="1:38" x14ac:dyDescent="0.45">
      <c r="A45" s="2">
        <v>45484</v>
      </c>
      <c r="B45" s="3">
        <v>-8.4811450000000007E-3</v>
      </c>
      <c r="C45" s="3">
        <v>5.574107E-3</v>
      </c>
      <c r="D45" s="3">
        <v>7.3545100000000002E-2</v>
      </c>
      <c r="E45" s="3">
        <v>4.3640970000000001E-2</v>
      </c>
      <c r="F45" s="3">
        <v>8.9216119999999996E-2</v>
      </c>
      <c r="G45" s="3">
        <v>4.9244403999999999E-2</v>
      </c>
      <c r="H45" s="3">
        <v>2.3409962999999999E-2</v>
      </c>
      <c r="I45" s="3">
        <v>0.10326088</v>
      </c>
      <c r="J45" s="3">
        <v>6.8691490000000008E-2</v>
      </c>
      <c r="K45" s="3">
        <v>7.9491972999999994E-2</v>
      </c>
      <c r="L45" s="3">
        <v>3.9497375000000001E-2</v>
      </c>
      <c r="M45" s="3">
        <v>0.12102233999999999</v>
      </c>
      <c r="N45" s="3">
        <v>1.3301969E-2</v>
      </c>
      <c r="O45" s="3">
        <v>4.8470380000000007E-2</v>
      </c>
      <c r="P45" s="3">
        <v>6.2355994999999994E-3</v>
      </c>
      <c r="Q45" s="3">
        <v>5.6741952999999998E-2</v>
      </c>
      <c r="R45" s="3">
        <v>1.0082841E-2</v>
      </c>
      <c r="S45" s="3">
        <v>8.4084149999999996E-2</v>
      </c>
      <c r="T45" s="3">
        <v>3.8805961999999999E-2</v>
      </c>
      <c r="U45" s="3">
        <v>-1.6600787999999998E-2</v>
      </c>
      <c r="V45" s="3">
        <v>5.1457880000000001E-3</v>
      </c>
      <c r="W45" s="3">
        <v>1.5601039000000001E-2</v>
      </c>
      <c r="X45" s="3">
        <v>5.0311923000000001E-2</v>
      </c>
      <c r="Y45" s="3">
        <v>4.0390370000000002E-2</v>
      </c>
      <c r="Z45" s="3">
        <v>2.2113800000000003E-2</v>
      </c>
      <c r="AA45" s="3">
        <v>4.3344139999999996E-2</v>
      </c>
      <c r="AB45" s="3">
        <v>1.6704440000000001E-2</v>
      </c>
      <c r="AC45" s="3">
        <v>2.5802732000000002E-2</v>
      </c>
      <c r="AD45" s="3">
        <v>5.2776337E-2</v>
      </c>
      <c r="AE45" s="3">
        <v>3.9720057999999996E-2</v>
      </c>
      <c r="AF45" s="3">
        <v>-9.9059939999999996E-3</v>
      </c>
      <c r="AG45" s="3">
        <v>1.9827246999999999E-2</v>
      </c>
      <c r="AH45" s="3">
        <v>-1.7110705E-3</v>
      </c>
      <c r="AI45" s="3">
        <v>2.3224115E-2</v>
      </c>
      <c r="AJ45" s="3"/>
      <c r="AK45" s="3"/>
      <c r="AL45" s="3"/>
    </row>
    <row r="46" spans="1:38" x14ac:dyDescent="0.45">
      <c r="A46" s="2">
        <v>45513</v>
      </c>
      <c r="B46" s="3">
        <v>-3.2659410999999999E-2</v>
      </c>
      <c r="C46" s="3">
        <v>-5.3954123999999999E-2</v>
      </c>
      <c r="D46" s="3">
        <v>9.3641280000000011E-3</v>
      </c>
      <c r="E46" s="3">
        <v>2.4691342999999998E-2</v>
      </c>
      <c r="F46" s="3">
        <v>-0.1057654</v>
      </c>
      <c r="G46" s="3">
        <v>-7.147908E-2</v>
      </c>
      <c r="H46" s="3">
        <v>3.0642985999999997E-2</v>
      </c>
      <c r="I46" s="3">
        <v>-9.4299789999999994E-2</v>
      </c>
      <c r="J46" s="3">
        <v>-8.0469249999999992E-2</v>
      </c>
      <c r="K46" s="3">
        <v>-9.6296250000000014E-2</v>
      </c>
      <c r="L46" s="3">
        <v>7.9447029999999991E-3</v>
      </c>
      <c r="M46" s="3">
        <v>-1.3187289E-2</v>
      </c>
      <c r="N46" s="3">
        <v>-2.7864515999999999E-2</v>
      </c>
      <c r="O46" s="3">
        <v>-1.9335507999999998E-2</v>
      </c>
      <c r="P46" s="3">
        <v>-4.7280254000000001E-2</v>
      </c>
      <c r="Q46" s="3">
        <v>8.0831050000000002E-3</v>
      </c>
      <c r="R46" s="3">
        <v>-2.4297236999999999E-2</v>
      </c>
      <c r="S46" s="3">
        <v>-0.11980605000000001</v>
      </c>
      <c r="T46" s="3">
        <v>3.9511561000000001E-2</v>
      </c>
      <c r="U46" s="3">
        <v>-4.8231482999999999E-2</v>
      </c>
      <c r="V46" s="3">
        <v>-1.0970294E-2</v>
      </c>
      <c r="W46" s="3">
        <v>1.2980700000000001E-3</v>
      </c>
      <c r="X46" s="3">
        <v>-3.8400589999999998E-2</v>
      </c>
      <c r="Y46" s="3">
        <v>-1.4330387E-2</v>
      </c>
      <c r="Z46" s="3">
        <v>-4.0407239999999997E-2</v>
      </c>
      <c r="AA46" s="3">
        <v>-7.9425389999999998E-2</v>
      </c>
      <c r="AB46" s="3">
        <v>9.5335244999999996E-3</v>
      </c>
      <c r="AC46" s="3">
        <v>-1.0620355999999999E-2</v>
      </c>
      <c r="AD46" s="3">
        <v>-8.4402199999999997E-2</v>
      </c>
      <c r="AE46" s="3">
        <v>-4.2211770000000003E-2</v>
      </c>
      <c r="AF46" s="3">
        <v>-3.5146177000000001E-2</v>
      </c>
      <c r="AG46" s="3">
        <v>-7.9499539999999994E-2</v>
      </c>
      <c r="AH46" s="3">
        <v>-4.6278119999999999E-2</v>
      </c>
      <c r="AI46" s="3">
        <v>-5.0467253000000004E-2</v>
      </c>
      <c r="AJ46" s="3"/>
      <c r="AK46" s="3"/>
      <c r="AL46" s="3"/>
    </row>
    <row r="47" spans="1:38" x14ac:dyDescent="0.45">
      <c r="A47" s="2">
        <v>45546</v>
      </c>
      <c r="B47" s="3">
        <v>-3.3360123999999998E-2</v>
      </c>
      <c r="C47" s="3">
        <v>-1.1328161000000002E-2</v>
      </c>
      <c r="D47" s="3">
        <v>8.1054689999999999E-2</v>
      </c>
      <c r="E47" s="3">
        <v>9.016716000000001E-2</v>
      </c>
      <c r="F47" s="3">
        <v>3.8683890999999998E-2</v>
      </c>
      <c r="G47" s="3">
        <v>-7.3679090000000006E-3</v>
      </c>
      <c r="H47" s="3">
        <v>6.8676830000000008E-2</v>
      </c>
      <c r="I47" s="3">
        <v>1.0100960999999999E-2</v>
      </c>
      <c r="J47" s="3">
        <v>-6.3252450000000002E-2</v>
      </c>
      <c r="K47" s="3">
        <v>-9.0003610000000001E-3</v>
      </c>
      <c r="L47" s="3">
        <v>6.8545339999999996E-4</v>
      </c>
      <c r="M47" s="3">
        <v>3.6919475E-2</v>
      </c>
      <c r="N47" s="3">
        <v>2.7827978E-2</v>
      </c>
      <c r="O47" s="3">
        <v>2.3928999999999999E-2</v>
      </c>
      <c r="P47" s="3">
        <v>-1.7586112000000001E-2</v>
      </c>
      <c r="Q47" s="3">
        <v>1.2027502000000001E-2</v>
      </c>
      <c r="R47" s="3">
        <v>9.1236479999999995E-2</v>
      </c>
      <c r="S47" s="3">
        <v>-6.1631320000000003E-2</v>
      </c>
      <c r="T47" s="3">
        <v>3.6627529999999998E-2</v>
      </c>
      <c r="U47" s="3">
        <v>4.9831149999999998E-2</v>
      </c>
      <c r="V47" s="3">
        <v>1.4542817999999999E-2</v>
      </c>
      <c r="W47" s="3">
        <v>6.2662124999999999E-2</v>
      </c>
      <c r="X47" s="3">
        <v>5.4343342999999995E-2</v>
      </c>
      <c r="Y47" s="3">
        <v>5.8683514999999999E-2</v>
      </c>
      <c r="Z47" s="3">
        <v>5.4708241999999997E-2</v>
      </c>
      <c r="AA47" s="3">
        <v>6.4096570000000005E-2</v>
      </c>
      <c r="AB47" s="3">
        <v>1.8886805E-2</v>
      </c>
      <c r="AC47" s="3">
        <v>3.4745693000000001E-2</v>
      </c>
      <c r="AD47" s="3">
        <v>4.0429830000000007E-2</v>
      </c>
      <c r="AE47" s="3">
        <v>4.0207148000000005E-2</v>
      </c>
      <c r="AF47" s="3">
        <v>3.3235788000000002E-2</v>
      </c>
      <c r="AG47" s="3">
        <v>2.1330000000000002E-2</v>
      </c>
      <c r="AH47" s="3">
        <v>3.4403085999999999E-2</v>
      </c>
      <c r="AI47" s="3">
        <v>6.4679384000000006E-2</v>
      </c>
      <c r="AJ47" s="3"/>
      <c r="AK47" s="3"/>
      <c r="AL47" s="3"/>
    </row>
    <row r="48" spans="1:38" x14ac:dyDescent="0.45">
      <c r="A48" s="2">
        <v>45576</v>
      </c>
      <c r="B48" s="3">
        <v>0.25363827</v>
      </c>
      <c r="C48" s="3">
        <v>5.6894539999999993E-2</v>
      </c>
      <c r="D48" s="3">
        <v>-1.0840118000000001E-2</v>
      </c>
      <c r="E48" s="3">
        <v>2.1746873999999999E-2</v>
      </c>
      <c r="F48" s="3">
        <v>2.1832227999999999E-2</v>
      </c>
      <c r="G48" s="3">
        <v>0.12234449</v>
      </c>
      <c r="H48" s="3">
        <v>1.4890194000000001E-2</v>
      </c>
      <c r="I48" s="3">
        <v>5.9423089999999998E-2</v>
      </c>
      <c r="J48" s="3">
        <v>5.639744E-2</v>
      </c>
      <c r="K48" s="3">
        <v>2.8057097999999999E-2</v>
      </c>
      <c r="L48" s="3">
        <v>-3.0137002000000003E-2</v>
      </c>
      <c r="M48" s="3">
        <v>9.3490715000000002E-2</v>
      </c>
      <c r="N48" s="3">
        <v>-3.1397343E-3</v>
      </c>
      <c r="O48" s="3">
        <v>1.1378527E-3</v>
      </c>
      <c r="P48" s="3">
        <v>0.29082881999999999</v>
      </c>
      <c r="Q48" s="3">
        <v>3.9049267999999998E-2</v>
      </c>
      <c r="R48" s="3">
        <v>3.8638949999999998E-2</v>
      </c>
      <c r="S48" s="3">
        <v>-5.9250949999999997E-2</v>
      </c>
      <c r="T48" s="3">
        <v>-1.5999973000000001E-2</v>
      </c>
      <c r="U48" s="3">
        <v>1.7699003000000001E-2</v>
      </c>
      <c r="V48" s="3">
        <v>1.6763806000000003E-2</v>
      </c>
      <c r="W48" s="3">
        <v>5.2866935999999996E-3</v>
      </c>
      <c r="X48" s="3">
        <v>3.4752010999999999E-2</v>
      </c>
      <c r="Y48" s="3">
        <v>3.8701653000000003E-2</v>
      </c>
      <c r="Z48" s="3">
        <v>4.3382525000000005E-2</v>
      </c>
      <c r="AA48" s="3">
        <v>2.1420479999999999E-2</v>
      </c>
      <c r="AB48" s="3">
        <v>1.4987230000000001E-2</v>
      </c>
      <c r="AC48" s="3">
        <v>-2.1840333999999999E-3</v>
      </c>
      <c r="AD48" s="3">
        <v>5.4268599999999993E-2</v>
      </c>
      <c r="AE48" s="3">
        <v>4.8591969999999998E-2</v>
      </c>
      <c r="AF48" s="3">
        <v>1.235199E-2</v>
      </c>
      <c r="AG48" s="3">
        <v>2.4979591000000002E-2</v>
      </c>
      <c r="AH48" s="3">
        <v>3.4996269999999996E-2</v>
      </c>
      <c r="AI48" s="3">
        <v>1.2414217E-2</v>
      </c>
      <c r="AJ48" s="3"/>
      <c r="AK48" s="3"/>
      <c r="AL48" s="3"/>
    </row>
    <row r="49" spans="1:38" x14ac:dyDescent="0.45">
      <c r="A49" s="2">
        <v>45607</v>
      </c>
      <c r="B49" s="3">
        <v>1.028192E-2</v>
      </c>
      <c r="C49" s="3">
        <v>-6.2803744999999994E-2</v>
      </c>
      <c r="D49" s="3">
        <v>-6.9862960000000002E-2</v>
      </c>
      <c r="E49" s="3">
        <v>-7.5017449999999999E-2</v>
      </c>
      <c r="F49" s="3">
        <v>-5.2366970000000006E-2</v>
      </c>
      <c r="G49" s="3">
        <v>-2.3945272000000004E-2</v>
      </c>
      <c r="H49" s="3">
        <v>-4.9034777000000002E-2</v>
      </c>
      <c r="I49" s="3">
        <v>-5.990207E-3</v>
      </c>
      <c r="J49" s="3">
        <v>-6.4645049999999996E-2</v>
      </c>
      <c r="K49" s="3">
        <v>-7.9192280000000004E-2</v>
      </c>
      <c r="L49" s="3">
        <v>-2.1539570000000001E-2</v>
      </c>
      <c r="M49" s="3">
        <v>-4.7542989999999993E-2</v>
      </c>
      <c r="N49" s="3">
        <v>-3.0241907000000002E-2</v>
      </c>
      <c r="O49" s="3">
        <v>-4.6336709999999996E-2</v>
      </c>
      <c r="P49" s="3">
        <v>-6.0220299999999997E-2</v>
      </c>
      <c r="Q49" s="3">
        <v>2.1785497999999999E-3</v>
      </c>
      <c r="R49" s="3">
        <v>-9.2715024999999989E-3</v>
      </c>
      <c r="S49" s="3">
        <v>3.5353541000000002E-2</v>
      </c>
      <c r="T49" s="3">
        <v>3.7262917E-2</v>
      </c>
      <c r="U49" s="3">
        <v>-5.770749E-2</v>
      </c>
      <c r="V49" s="3">
        <v>7.8853369999999992E-3</v>
      </c>
      <c r="W49" s="3">
        <v>-3.3735871000000001E-2</v>
      </c>
      <c r="X49" s="3">
        <v>-2.150941E-2</v>
      </c>
      <c r="Y49" s="3">
        <v>6.4903500000000006E-3</v>
      </c>
      <c r="Z49" s="3">
        <v>-2.8622985E-2</v>
      </c>
      <c r="AA49" s="3">
        <v>-2.0408213000000001E-2</v>
      </c>
      <c r="AB49" s="3">
        <v>-5.4983497000000006E-2</v>
      </c>
      <c r="AC49" s="3">
        <v>-3.4473299999999998E-2</v>
      </c>
      <c r="AD49" s="3">
        <v>4.1511297000000003E-2</v>
      </c>
      <c r="AE49" s="3">
        <v>3.3092855999999997E-2</v>
      </c>
      <c r="AF49" s="3">
        <v>-5.0076302999999996E-2</v>
      </c>
      <c r="AG49" s="3">
        <v>-8.3899319999999999E-2</v>
      </c>
      <c r="AH49" s="3">
        <v>-4.1726645999999999E-2</v>
      </c>
      <c r="AI49" s="3">
        <v>-3.0002654E-2</v>
      </c>
      <c r="AJ49" s="3"/>
      <c r="AK49" s="3"/>
      <c r="AL49" s="3"/>
    </row>
    <row r="50" spans="1:38" x14ac:dyDescent="0.45">
      <c r="A50" s="2">
        <v>45637</v>
      </c>
      <c r="B50" s="3">
        <v>-3.5456359999999999E-2</v>
      </c>
      <c r="C50" s="3">
        <v>3.5899519999999997E-2</v>
      </c>
      <c r="D50" s="3">
        <v>8.8363885999999999E-3</v>
      </c>
      <c r="E50" s="3">
        <v>-2.7536749999999999E-2</v>
      </c>
      <c r="F50" s="3">
        <v>8.3996059999999987E-3</v>
      </c>
      <c r="G50" s="3">
        <v>3.3285140000000005E-2</v>
      </c>
      <c r="H50" s="3">
        <v>8.5262059999999997E-3</v>
      </c>
      <c r="I50" s="3">
        <v>-5.8436989999999999E-3</v>
      </c>
      <c r="J50" s="3">
        <v>1.0289311000000001E-2</v>
      </c>
      <c r="K50" s="3">
        <v>-4.9169064000000005E-2</v>
      </c>
      <c r="L50" s="3">
        <v>-4.3305635000000002E-2</v>
      </c>
      <c r="M50" s="3">
        <v>3.9429544999999996E-2</v>
      </c>
      <c r="N50" s="3">
        <v>1.6870737E-2</v>
      </c>
      <c r="O50" s="3">
        <v>2.1635531999999999E-2</v>
      </c>
      <c r="P50" s="3">
        <v>-1.2735008999999999E-2</v>
      </c>
      <c r="Q50" s="3">
        <v>-1.0869503000000001E-2</v>
      </c>
      <c r="R50" s="3">
        <v>-9.2139839999999997E-3</v>
      </c>
      <c r="S50" s="3">
        <v>8.0344440000000003E-2</v>
      </c>
      <c r="T50" s="3">
        <v>8.4911585000000001E-3</v>
      </c>
      <c r="U50" s="3">
        <v>-8.3893539999999999E-4</v>
      </c>
      <c r="V50" s="3">
        <v>6.4011810000000006E-3</v>
      </c>
      <c r="W50" s="3">
        <v>-2.9196917999999999E-2</v>
      </c>
      <c r="X50" s="3">
        <v>-1.1569678999999999E-2</v>
      </c>
      <c r="Y50" s="3">
        <v>2.1256208000000002E-2</v>
      </c>
      <c r="Z50" s="3">
        <v>2.9156327000000003E-2</v>
      </c>
      <c r="AA50" s="3">
        <v>2.1120667000000003E-2</v>
      </c>
      <c r="AB50" s="3">
        <v>-1.9942462000000001E-2</v>
      </c>
      <c r="AC50" s="3">
        <v>1.926887E-2</v>
      </c>
      <c r="AD50" s="3">
        <v>3.1293750000000002E-2</v>
      </c>
      <c r="AE50" s="3">
        <v>1.4530062999999999E-2</v>
      </c>
      <c r="AF50" s="3">
        <v>-9.0982320000000012E-3</v>
      </c>
      <c r="AG50" s="3">
        <v>1.5918016E-2</v>
      </c>
      <c r="AH50" s="3">
        <v>-1.4514446E-2</v>
      </c>
      <c r="AI50" s="3">
        <v>1.0220528E-2</v>
      </c>
      <c r="AJ50" s="3"/>
      <c r="AK50" s="3"/>
      <c r="AL50" s="3"/>
    </row>
    <row r="51" spans="1:38" x14ac:dyDescent="0.45">
      <c r="A51" s="2">
        <v>45667</v>
      </c>
      <c r="B51" s="3">
        <v>-8.5847320000000005E-2</v>
      </c>
      <c r="C51" s="3">
        <v>-3.1449734999999999E-2</v>
      </c>
      <c r="D51" s="3">
        <v>-9.7994330000000004E-2</v>
      </c>
      <c r="E51" s="3">
        <v>-3.0425490000000003E-2</v>
      </c>
      <c r="F51" s="3">
        <v>-3.0724585000000002E-2</v>
      </c>
      <c r="G51" s="3">
        <v>-6.5525236000000001E-2</v>
      </c>
      <c r="H51" s="3">
        <v>-3.0038953E-2</v>
      </c>
      <c r="I51" s="3">
        <v>-2.9915332999999999E-2</v>
      </c>
      <c r="J51" s="3">
        <v>-6.5308569999999996E-2</v>
      </c>
      <c r="K51" s="3">
        <v>-1.2307644E-2</v>
      </c>
      <c r="L51" s="3">
        <v>-0.10515404</v>
      </c>
      <c r="M51" s="3">
        <v>-0.12582701999999998</v>
      </c>
      <c r="N51" s="3">
        <v>1.2369752000000001E-2</v>
      </c>
      <c r="O51" s="3">
        <v>-7.4214276999999995E-2</v>
      </c>
      <c r="P51" s="3">
        <v>-8.8148300000000013E-2</v>
      </c>
      <c r="Q51" s="3">
        <v>-1.8104136E-2</v>
      </c>
      <c r="R51" s="3">
        <v>-5.2014884999999997E-2</v>
      </c>
      <c r="S51" s="3">
        <v>-3.818655E-2</v>
      </c>
      <c r="T51" s="3">
        <v>7.7658889999999994E-2</v>
      </c>
      <c r="U51" s="3">
        <v>-6.5491140000000003E-2</v>
      </c>
      <c r="V51" s="3">
        <v>-1.9248365999999999E-2</v>
      </c>
      <c r="W51" s="3">
        <v>-3.8131355999999998E-2</v>
      </c>
      <c r="X51" s="3">
        <v>-5.5410329999999994E-2</v>
      </c>
      <c r="Y51" s="3">
        <v>-5.1517250000000001E-2</v>
      </c>
      <c r="Z51" s="3">
        <v>-3.4659505E-2</v>
      </c>
      <c r="AA51" s="3">
        <v>-6.7636786000000004E-2</v>
      </c>
      <c r="AB51" s="3">
        <v>-2.6431680000000003E-2</v>
      </c>
      <c r="AC51" s="3">
        <v>-4.9402714E-2</v>
      </c>
      <c r="AD51" s="3">
        <v>-4.1365439999999996E-2</v>
      </c>
      <c r="AE51" s="3">
        <v>-4.1220720000000002E-2</v>
      </c>
      <c r="AF51" s="3">
        <v>-2.3263752000000002E-2</v>
      </c>
      <c r="AG51" s="3">
        <v>-3.3109426000000004E-2</v>
      </c>
      <c r="AH51" s="3">
        <v>-4.621637E-2</v>
      </c>
      <c r="AI51" s="3">
        <v>-1.3331174999999999E-2</v>
      </c>
      <c r="AJ51" s="3"/>
      <c r="AK51" s="3"/>
      <c r="AL51" s="3"/>
    </row>
    <row r="52" spans="1:38" x14ac:dyDescent="0.45">
      <c r="A52" s="2">
        <v>45699</v>
      </c>
      <c r="B52" s="3">
        <v>5.7838560000000004E-2</v>
      </c>
      <c r="C52" s="3">
        <v>0.12923813000000001</v>
      </c>
      <c r="D52" s="3">
        <v>-5.2054824999999999E-2</v>
      </c>
      <c r="E52" s="3">
        <v>-3.9548100000000003E-2</v>
      </c>
      <c r="F52" s="3">
        <v>0.18233072</v>
      </c>
      <c r="G52" s="3">
        <v>3.0961037E-2</v>
      </c>
      <c r="H52" s="3">
        <v>1.3953447000000001E-2</v>
      </c>
      <c r="I52" s="3">
        <v>2.6984810000000001E-2</v>
      </c>
      <c r="J52" s="3">
        <v>8.7823510000000007E-2</v>
      </c>
      <c r="K52" s="3">
        <v>2.8961062000000003E-2</v>
      </c>
      <c r="L52" s="3">
        <v>0.1366241</v>
      </c>
      <c r="M52" s="3">
        <v>0.11013853</v>
      </c>
      <c r="N52" s="3">
        <v>3.7734984999999999E-2</v>
      </c>
      <c r="O52" s="3">
        <v>-2.0894349E-2</v>
      </c>
      <c r="P52" s="3">
        <v>0.15625714999999998</v>
      </c>
      <c r="Q52" s="3">
        <v>2.3308635000000001E-2</v>
      </c>
      <c r="R52" s="3">
        <v>-6.1418590000000002E-2</v>
      </c>
      <c r="S52" s="3">
        <v>-2.1901906000000002E-2</v>
      </c>
      <c r="T52" s="3">
        <v>6.2575099999999995E-2</v>
      </c>
      <c r="U52" s="3">
        <v>1.8867970000000001E-2</v>
      </c>
      <c r="V52" s="3">
        <v>3.6239028E-2</v>
      </c>
      <c r="W52" s="3">
        <v>2.1119952000000001E-2</v>
      </c>
      <c r="X52" s="3">
        <v>5.1658989999999995E-2</v>
      </c>
      <c r="Y52" s="3">
        <v>5.1224350000000002E-2</v>
      </c>
      <c r="Z52" s="3">
        <v>0.105214</v>
      </c>
      <c r="AA52" s="3">
        <v>5.3648113999999997E-2</v>
      </c>
      <c r="AB52" s="3">
        <v>7.843137E-2</v>
      </c>
      <c r="AC52" s="3">
        <v>8.8683129999999999E-2</v>
      </c>
      <c r="AD52" s="3">
        <v>4.101026E-2</v>
      </c>
      <c r="AE52" s="3">
        <v>4.2757033999999999E-2</v>
      </c>
      <c r="AF52" s="3">
        <v>9.1643329999999995E-2</v>
      </c>
      <c r="AG52" s="3">
        <v>5.7322024999999999E-2</v>
      </c>
      <c r="AH52" s="3">
        <v>0.13205539999999999</v>
      </c>
      <c r="AI52" s="3">
        <v>8.9589000000000002E-2</v>
      </c>
      <c r="AJ52" s="3"/>
      <c r="AK52" s="3"/>
      <c r="AL52" s="3"/>
    </row>
    <row r="53" spans="1:38" x14ac:dyDescent="0.45">
      <c r="A53" s="2">
        <v>45727</v>
      </c>
      <c r="B53" s="3">
        <v>2.5539637E-2</v>
      </c>
      <c r="C53" s="3">
        <v>3.8149118000000003E-2</v>
      </c>
      <c r="D53" s="3">
        <v>-4.8554897E-2</v>
      </c>
      <c r="E53" s="3">
        <v>5.3361416000000002E-2</v>
      </c>
      <c r="F53" s="3">
        <v>6.8362474000000006E-2</v>
      </c>
      <c r="G53" s="3">
        <v>-4.8208236999999999E-3</v>
      </c>
      <c r="H53" s="3">
        <v>-3.6697210000000001E-2</v>
      </c>
      <c r="I53" s="3">
        <v>-4.8362550000000004E-2</v>
      </c>
      <c r="J53" s="3">
        <v>-2.0085752000000002E-2</v>
      </c>
      <c r="K53" s="3">
        <v>-6.9003104999999995E-3</v>
      </c>
      <c r="L53" s="3">
        <v>-5.4672422000000005E-2</v>
      </c>
      <c r="M53" s="3">
        <v>1.4235735000000001E-2</v>
      </c>
      <c r="N53" s="3">
        <v>0.10809779000000001</v>
      </c>
      <c r="O53" s="3">
        <v>-2.9517353000000003E-2</v>
      </c>
      <c r="P53" s="3">
        <v>0.10466957</v>
      </c>
      <c r="Q53" s="3">
        <v>2.7776957000000004E-3</v>
      </c>
      <c r="R53" s="3">
        <v>-7.5032889999999991E-2</v>
      </c>
      <c r="S53" s="3">
        <v>5.0170063999999993E-2</v>
      </c>
      <c r="T53" s="3">
        <v>-6.1155140000000004E-2</v>
      </c>
      <c r="U53" s="3">
        <v>9.4356170000000003E-2</v>
      </c>
      <c r="V53" s="3">
        <v>-5.6001843999999995E-2</v>
      </c>
      <c r="W53" s="3">
        <v>-5.6945860000000001E-2</v>
      </c>
      <c r="X53" s="3">
        <v>-6.8690119999999993E-2</v>
      </c>
      <c r="Y53" s="3">
        <v>-6.1564090000000002E-2</v>
      </c>
      <c r="Z53" s="3">
        <v>6.6101670000000001E-2</v>
      </c>
      <c r="AA53" s="3">
        <v>-6.9827439999999999E-3</v>
      </c>
      <c r="AB53" s="3">
        <v>3.6363602000000002E-2</v>
      </c>
      <c r="AC53" s="3">
        <v>1.3713717E-2</v>
      </c>
      <c r="AD53" s="3">
        <v>-0.10680120999999999</v>
      </c>
      <c r="AE53" s="3">
        <v>-8.1594580000000014E-2</v>
      </c>
      <c r="AF53" s="3">
        <v>4.8481820000000002E-2</v>
      </c>
      <c r="AG53" s="3">
        <v>1.2494682999999999E-2</v>
      </c>
      <c r="AH53" s="3">
        <v>3.1984924999999997E-2</v>
      </c>
      <c r="AI53" s="3">
        <v>6.2861443000000003E-2</v>
      </c>
      <c r="AJ53" s="3"/>
      <c r="AK53" s="3"/>
      <c r="AL53" s="3"/>
    </row>
    <row r="54" spans="1:38" x14ac:dyDescent="0.45">
      <c r="A54" s="2">
        <v>45758</v>
      </c>
      <c r="B54" s="3">
        <v>-4.9807069999999995E-2</v>
      </c>
      <c r="C54" s="3">
        <v>-3.4025192000000003E-2</v>
      </c>
      <c r="D54" s="3">
        <v>-3.5844445000000003E-2</v>
      </c>
      <c r="E54" s="3">
        <v>-4.3877363000000003E-3</v>
      </c>
      <c r="F54" s="3">
        <v>1.3764858E-2</v>
      </c>
      <c r="G54" s="3">
        <v>2.3936033000000002E-2</v>
      </c>
      <c r="H54" s="3">
        <v>-2.7705669999999998E-2</v>
      </c>
      <c r="I54" s="3">
        <v>-8.7234920000000007E-2</v>
      </c>
      <c r="J54" s="3">
        <v>8.5572003999999993E-3</v>
      </c>
      <c r="K54" s="3">
        <v>-6.9482327000000002E-3</v>
      </c>
      <c r="L54" s="3">
        <v>1.2715339999999999E-2</v>
      </c>
      <c r="M54" s="3">
        <v>-1.4899671000000001E-2</v>
      </c>
      <c r="N54" s="3">
        <v>6.1349869999999997E-3</v>
      </c>
      <c r="O54" s="3">
        <v>4.3156623999999998E-2</v>
      </c>
      <c r="P54" s="3">
        <v>-0.11015588</v>
      </c>
      <c r="Q54" s="3">
        <v>-2.437663E-2</v>
      </c>
      <c r="R54" s="3">
        <v>-4.9653473000000004E-2</v>
      </c>
      <c r="S54" s="3">
        <v>-0.13414298999999999</v>
      </c>
      <c r="T54" s="3">
        <v>-4.2219162000000001E-3</v>
      </c>
      <c r="U54" s="3">
        <v>-4.3513299999999998E-2</v>
      </c>
      <c r="V54" s="3">
        <v>-9.2615484999999994E-3</v>
      </c>
      <c r="W54" s="3">
        <v>0</v>
      </c>
      <c r="X54" s="3">
        <v>-2.3584901999999998E-2</v>
      </c>
      <c r="Y54" s="3">
        <v>9.8783970000000006E-3</v>
      </c>
      <c r="Z54" s="3">
        <v>-3.6301076000000002E-2</v>
      </c>
      <c r="AA54" s="3">
        <v>-3.5745739999999998E-2</v>
      </c>
      <c r="AB54" s="3">
        <v>-1.5808761000000001E-2</v>
      </c>
      <c r="AC54" s="3">
        <v>-3.7608206000000005E-2</v>
      </c>
      <c r="AD54" s="3">
        <v>-3.5066067999999999E-2</v>
      </c>
      <c r="AE54" s="3">
        <v>-3.6650537999999996E-2</v>
      </c>
      <c r="AF54" s="3">
        <v>-5.1594019999999997E-2</v>
      </c>
      <c r="AG54" s="3">
        <v>-4.1832266E-2</v>
      </c>
      <c r="AH54" s="3">
        <v>-8.1358250000000007E-2</v>
      </c>
      <c r="AI54" s="3">
        <v>-4.1163980000000003E-2</v>
      </c>
      <c r="AJ54" s="3"/>
      <c r="AK54" s="3"/>
      <c r="AL54" s="3"/>
    </row>
    <row r="55" spans="1:38" x14ac:dyDescent="0.45">
      <c r="A55" s="2">
        <v>45786</v>
      </c>
      <c r="B55" s="3">
        <v>2.5470613999999999E-2</v>
      </c>
      <c r="C55" s="3">
        <v>0.13420224</v>
      </c>
      <c r="D55" s="3">
        <v>9.7038379999999994E-2</v>
      </c>
      <c r="E55" s="3">
        <v>0.10657061000000001</v>
      </c>
      <c r="F55" s="3">
        <v>0.13321101999999999</v>
      </c>
      <c r="G55" s="3">
        <v>7.7113029999999999E-2</v>
      </c>
      <c r="H55" s="3">
        <v>8.8602070000000005E-2</v>
      </c>
      <c r="I55" s="3">
        <v>0.13437092</v>
      </c>
      <c r="J55" s="3">
        <v>0.14680349000000001</v>
      </c>
      <c r="K55" s="3">
        <v>6.2235235999999999E-2</v>
      </c>
      <c r="L55" s="3">
        <v>0.11624134</v>
      </c>
      <c r="M55" s="3">
        <v>0.11003947</v>
      </c>
      <c r="N55" s="3">
        <v>0.11167908</v>
      </c>
      <c r="O55" s="3">
        <v>3.2111883000000001E-2</v>
      </c>
      <c r="P55" s="3">
        <v>7.1859956000000003E-2</v>
      </c>
      <c r="Q55" s="3">
        <v>6.1328769999999998E-2</v>
      </c>
      <c r="R55" s="3">
        <v>7.2900534000000003E-2</v>
      </c>
      <c r="S55" s="3">
        <v>-2.0885348000000001E-2</v>
      </c>
      <c r="T55" s="3">
        <v>9.9333649999999996E-2</v>
      </c>
      <c r="U55" s="3">
        <v>5.2232504000000006E-2</v>
      </c>
      <c r="V55" s="3">
        <v>-1.01065636E-3</v>
      </c>
      <c r="W55" s="3">
        <v>6.5581440000000005E-2</v>
      </c>
      <c r="X55" s="3">
        <v>9.8375080000000004E-2</v>
      </c>
      <c r="Y55" s="3">
        <v>7.4742912999999994E-2</v>
      </c>
      <c r="Z55" s="3">
        <v>0.12097883</v>
      </c>
      <c r="AA55" s="3">
        <v>9.4044450000000002E-2</v>
      </c>
      <c r="AB55" s="3">
        <v>4.9559354999999999E-2</v>
      </c>
      <c r="AC55" s="3">
        <v>7.6468944999999997E-2</v>
      </c>
      <c r="AD55" s="3">
        <v>7.3877689999999996E-2</v>
      </c>
      <c r="AE55" s="3">
        <v>5.6935310000000003E-2</v>
      </c>
      <c r="AF55" s="3">
        <v>6.9540619999999997E-2</v>
      </c>
      <c r="AG55" s="3">
        <v>0.10870993000000001</v>
      </c>
      <c r="AH55" s="3">
        <v>0.10096752000000001</v>
      </c>
      <c r="AI55" s="3">
        <v>0.13027393000000001</v>
      </c>
      <c r="AJ55" s="3"/>
      <c r="AK55" s="3"/>
      <c r="AL55" s="3"/>
    </row>
    <row r="56" spans="1:38" x14ac:dyDescent="0.45">
      <c r="A56" s="2">
        <v>45819</v>
      </c>
      <c r="B56" s="3">
        <v>1.8358587999999999E-2</v>
      </c>
      <c r="C56" s="3">
        <v>1.0558962999999999E-2</v>
      </c>
      <c r="D56" s="3">
        <v>8.6157439999999988E-2</v>
      </c>
      <c r="E56" s="3">
        <v>1.1223673999999999E-2</v>
      </c>
      <c r="F56" s="3">
        <v>-8.4196329999999993E-3</v>
      </c>
      <c r="G56" s="3">
        <v>6.8600892999999996E-2</v>
      </c>
      <c r="H56" s="3">
        <v>0</v>
      </c>
      <c r="I56" s="3">
        <v>7.8840613000000004E-2</v>
      </c>
      <c r="J56" s="3">
        <v>5.918789E-2</v>
      </c>
      <c r="K56" s="3">
        <v>0.16120647000000002</v>
      </c>
      <c r="L56" s="3">
        <v>2.3947715999999997E-2</v>
      </c>
      <c r="M56" s="3">
        <v>6.7930580000000004E-2</v>
      </c>
      <c r="N56" s="3">
        <v>0.10718667999999999</v>
      </c>
      <c r="O56" s="3">
        <v>5.6117654000000003E-2</v>
      </c>
      <c r="P56" s="3">
        <v>4.9014090000000003E-2</v>
      </c>
      <c r="Q56" s="3">
        <v>1.4446139E-2</v>
      </c>
      <c r="R56" s="3">
        <v>-5.7277800000000004E-2</v>
      </c>
      <c r="S56" s="3">
        <v>2.2285938000000002E-2</v>
      </c>
      <c r="T56" s="3">
        <v>3.1404972000000003E-2</v>
      </c>
      <c r="U56" s="3">
        <v>6.6453100000000001E-2</v>
      </c>
      <c r="V56" s="3">
        <v>-2.7314186000000001E-2</v>
      </c>
      <c r="W56" s="3">
        <v>1.3061761999999999E-2</v>
      </c>
      <c r="X56" s="3">
        <v>6.3574552999999992E-2</v>
      </c>
      <c r="Y56" s="3">
        <v>6.5577626E-2</v>
      </c>
      <c r="Z56" s="3">
        <v>3.2867312000000003E-2</v>
      </c>
      <c r="AA56" s="3">
        <v>2.3052335E-2</v>
      </c>
      <c r="AB56" s="3">
        <v>3.4527779000000001E-2</v>
      </c>
      <c r="AC56" s="3">
        <v>5.5366873999999996E-2</v>
      </c>
      <c r="AD56" s="3">
        <v>9.107113E-2</v>
      </c>
      <c r="AE56" s="3">
        <v>6.5598725999999996E-2</v>
      </c>
      <c r="AF56" s="3">
        <v>3.4309029999999997E-2</v>
      </c>
      <c r="AG56" s="3">
        <v>7.0486306999999998E-2</v>
      </c>
      <c r="AH56" s="3">
        <v>3.4249663E-2</v>
      </c>
      <c r="AI56" s="3">
        <v>4.6278119999999999E-2</v>
      </c>
      <c r="AJ56" s="3"/>
      <c r="AK56" s="3"/>
      <c r="AL56" s="3"/>
    </row>
    <row r="57" spans="1:38" x14ac:dyDescent="0.45">
      <c r="A57" s="2">
        <v>45849</v>
      </c>
      <c r="B57" s="3">
        <v>3.628087E-2</v>
      </c>
      <c r="C57" s="3">
        <v>-4.2120876000000002E-2</v>
      </c>
      <c r="D57" s="3">
        <v>-2.9565214999999999E-2</v>
      </c>
      <c r="E57" s="3">
        <v>-1.7066181E-2</v>
      </c>
      <c r="F57" s="3">
        <v>6.1642289999999995E-2</v>
      </c>
      <c r="G57" s="3">
        <v>2.6981950000000001E-2</v>
      </c>
      <c r="H57" s="3">
        <v>5.7722329999999999E-3</v>
      </c>
      <c r="I57" s="3">
        <v>4.4241429999999998E-2</v>
      </c>
      <c r="J57" s="3">
        <v>-5.5409669999999999E-3</v>
      </c>
      <c r="K57" s="3">
        <v>8.3146690000000009E-2</v>
      </c>
      <c r="L57" s="3">
        <v>-6.6975949999999998E-3</v>
      </c>
      <c r="M57" s="3">
        <v>-8.7831616000000005E-3</v>
      </c>
      <c r="N57" s="3">
        <v>9.5458390000000004E-2</v>
      </c>
      <c r="O57" s="3">
        <v>-8.1330539999999989E-3</v>
      </c>
      <c r="P57" s="3">
        <v>-6.713569E-3</v>
      </c>
      <c r="Q57" s="3">
        <v>1.1622071000000001E-2</v>
      </c>
      <c r="R57" s="3">
        <v>-1.7913699000000002E-2</v>
      </c>
      <c r="S57" s="3">
        <v>4.8733950000000005E-2</v>
      </c>
      <c r="T57" s="3">
        <v>6.1003327000000003E-2</v>
      </c>
      <c r="U57" s="3">
        <v>0.14264273999999999</v>
      </c>
      <c r="V57" s="3">
        <v>2.8268217999999998E-2</v>
      </c>
      <c r="W57" s="3">
        <v>9.4684360000000002E-3</v>
      </c>
      <c r="X57" s="3">
        <v>6.0695410000000003E-3</v>
      </c>
      <c r="Y57" s="3">
        <v>1.7048001E-2</v>
      </c>
      <c r="Z57" s="3">
        <v>2.4723768E-2</v>
      </c>
      <c r="AA57" s="3">
        <v>-9.8440049999999994E-3</v>
      </c>
      <c r="AB57" s="3">
        <v>5.6105850000000004E-3</v>
      </c>
      <c r="AC57" s="3">
        <v>8.0963373000000009E-3</v>
      </c>
      <c r="AD57" s="3">
        <v>4.2084574999999999E-2</v>
      </c>
      <c r="AE57" s="3">
        <v>4.0089249999999993E-2</v>
      </c>
      <c r="AF57" s="3">
        <v>2.6641846E-2</v>
      </c>
      <c r="AG57" s="3">
        <v>1.4094949000000001E-2</v>
      </c>
      <c r="AH57" s="3">
        <v>1.5148281999999999E-2</v>
      </c>
      <c r="AI57" s="3">
        <v>1.8676758000000002E-2</v>
      </c>
      <c r="AJ57" s="3"/>
      <c r="AK57" s="3"/>
      <c r="AL57" s="3"/>
    </row>
    <row r="58" spans="1:38" x14ac:dyDescent="0.45">
      <c r="A58" s="2">
        <v>45880</v>
      </c>
      <c r="B58" s="3">
        <v>3.7500024E-2</v>
      </c>
      <c r="C58" s="3">
        <v>3.1465053999999999E-2</v>
      </c>
      <c r="D58" s="3">
        <v>6.1554909999999999E-3</v>
      </c>
      <c r="E58" s="3">
        <v>-3.4647942000000001E-2</v>
      </c>
      <c r="F58" s="3">
        <v>4.663527E-2</v>
      </c>
      <c r="G58" s="3">
        <v>4.7120570000000001E-2</v>
      </c>
      <c r="H58" s="3">
        <v>2.1594763000000003E-2</v>
      </c>
      <c r="I58" s="3">
        <v>3.3962249999999999E-2</v>
      </c>
      <c r="J58" s="3">
        <v>2.3449182999999998E-2</v>
      </c>
      <c r="K58" s="3">
        <v>6.4773560000000001E-3</v>
      </c>
      <c r="L58" s="3">
        <v>3.9955378000000007E-3</v>
      </c>
      <c r="M58" s="3">
        <v>6.3797709999999994E-2</v>
      </c>
      <c r="N58" s="3">
        <v>7.6897859999999998E-2</v>
      </c>
      <c r="O58" s="3">
        <v>-4.7558309999999999E-2</v>
      </c>
      <c r="P58" s="3">
        <v>5.2229285E-2</v>
      </c>
      <c r="Q58" s="3">
        <v>6.9652914999999996E-2</v>
      </c>
      <c r="R58" s="3">
        <v>0.12303649999999999</v>
      </c>
      <c r="S58" s="3">
        <v>5.049145E-2</v>
      </c>
      <c r="T58" s="3">
        <v>4.5288919999999996E-2</v>
      </c>
      <c r="U58" s="3">
        <v>0.13469124000000002</v>
      </c>
      <c r="V58" s="3">
        <v>-3.7541747E-2</v>
      </c>
      <c r="W58" s="3">
        <v>6.5565109999999997E-4</v>
      </c>
      <c r="X58" s="3">
        <v>1.1001468E-2</v>
      </c>
      <c r="Y58" s="3">
        <v>2.4929522999999999E-2</v>
      </c>
      <c r="Z58" s="3">
        <v>-1.2014210000000001E-2</v>
      </c>
      <c r="AA58" s="3">
        <v>7.5041413000000001E-2</v>
      </c>
      <c r="AB58" s="3">
        <v>-2.7422309999999998E-2</v>
      </c>
      <c r="AC58" s="3">
        <v>1.8036126999999999E-2</v>
      </c>
      <c r="AD58" s="3">
        <v>3.3652067000000001E-2</v>
      </c>
      <c r="AE58" s="3">
        <v>1.9723535E-2</v>
      </c>
      <c r="AF58" s="3">
        <v>-2.1488010000000002E-2</v>
      </c>
      <c r="AG58" s="3">
        <v>-3.7493110000000003E-2</v>
      </c>
      <c r="AH58" s="3">
        <v>-7.4610710000000005E-3</v>
      </c>
      <c r="AI58" s="3">
        <v>4.1675329999999997E-2</v>
      </c>
      <c r="AJ58" s="3"/>
      <c r="AK58" s="3"/>
      <c r="AL58" s="3"/>
    </row>
    <row r="59" spans="1:38" x14ac:dyDescent="0.45">
      <c r="A59" s="2">
        <v>45911</v>
      </c>
      <c r="B59" s="3">
        <v>0.12031686999999999</v>
      </c>
      <c r="C59" s="3">
        <v>8.1029529999999989E-2</v>
      </c>
      <c r="D59" s="3">
        <v>-1.8909931000000001E-2</v>
      </c>
      <c r="E59" s="3">
        <v>-7.2547200000000001E-3</v>
      </c>
      <c r="F59" s="3">
        <v>-2.5119603000000001E-2</v>
      </c>
      <c r="G59" s="3">
        <v>0.12548769000000001</v>
      </c>
      <c r="H59" s="3">
        <v>2.9674768000000001E-2</v>
      </c>
      <c r="I59" s="3">
        <v>4.080963E-2</v>
      </c>
      <c r="J59" s="3">
        <v>6.7760824999999997E-2</v>
      </c>
      <c r="K59" s="3">
        <v>6.6137194999999996E-2</v>
      </c>
      <c r="L59" s="3">
        <v>8.7192419999999993E-2</v>
      </c>
      <c r="M59" s="3">
        <v>7.4520945999999991E-2</v>
      </c>
      <c r="N59" s="3">
        <v>-2.2228956000000001E-2</v>
      </c>
      <c r="O59" s="3">
        <v>1.8557549E-2</v>
      </c>
      <c r="P59" s="3">
        <v>0.11051536000000001</v>
      </c>
      <c r="Q59" s="3">
        <v>-2.2690712999999998E-2</v>
      </c>
      <c r="R59" s="3">
        <v>2.3001193999999999E-2</v>
      </c>
      <c r="S59" s="3">
        <v>-7.2458450000000008E-2</v>
      </c>
      <c r="T59" s="3">
        <v>-5.3286850000000004E-2</v>
      </c>
      <c r="U59" s="3">
        <v>4.4006943999999999E-2</v>
      </c>
      <c r="V59" s="3">
        <v>-1.6831458000000001E-2</v>
      </c>
      <c r="W59" s="3">
        <v>3.1338692000000001E-2</v>
      </c>
      <c r="X59" s="3">
        <v>2.8517842000000002E-2</v>
      </c>
      <c r="Y59" s="3">
        <v>5.5837510000000007E-2</v>
      </c>
      <c r="Z59" s="3">
        <v>-1.3113976000000001E-2</v>
      </c>
      <c r="AA59" s="3">
        <v>4.5378565999999995E-2</v>
      </c>
      <c r="AB59" s="3">
        <v>5.4887176000000003E-2</v>
      </c>
      <c r="AC59" s="3">
        <v>3.8139699999999999E-2</v>
      </c>
      <c r="AD59" s="3">
        <v>1.9603848E-2</v>
      </c>
      <c r="AE59" s="3">
        <v>3.4139514000000003E-2</v>
      </c>
      <c r="AF59" s="3">
        <v>2.7863025999999999E-2</v>
      </c>
      <c r="AG59" s="3">
        <v>3.9908289999999999E-2</v>
      </c>
      <c r="AH59" s="3">
        <v>4.6429395999999998E-2</v>
      </c>
      <c r="AI59" s="3">
        <v>3.2206416000000002E-2</v>
      </c>
      <c r="AJ59" s="3"/>
      <c r="AK59" s="3"/>
      <c r="AL59" s="3"/>
    </row>
    <row r="60" spans="1:38" x14ac:dyDescent="0.45">
      <c r="A60" s="2">
        <v>45940</v>
      </c>
      <c r="B60" s="3">
        <v>-3.0053079999999999E-2</v>
      </c>
      <c r="C60" s="3">
        <v>-7.4074087000000011E-2</v>
      </c>
      <c r="D60" s="3">
        <v>-1.8707453999999998E-2</v>
      </c>
      <c r="E60" s="3">
        <v>-4.3461503999999998E-2</v>
      </c>
      <c r="F60" s="3">
        <v>-2.5153279999999997E-2</v>
      </c>
      <c r="G60" s="3">
        <v>5.8435560000000004E-2</v>
      </c>
      <c r="H60" s="3">
        <v>0</v>
      </c>
      <c r="I60" s="3">
        <v>-1.7851472E-2</v>
      </c>
      <c r="J60" s="3">
        <v>-2.0088254999999999E-2</v>
      </c>
      <c r="K60" s="3">
        <v>3.6732554000000001E-2</v>
      </c>
      <c r="L60" s="3">
        <v>-4.1930080000000002E-2</v>
      </c>
      <c r="M60" s="3">
        <v>4.5574665E-2</v>
      </c>
      <c r="N60" s="3">
        <v>1.9152880000000001E-2</v>
      </c>
      <c r="O60" s="3">
        <v>-8.8279843000000011E-3</v>
      </c>
      <c r="P60" s="3">
        <v>-4.3918369999999998E-2</v>
      </c>
      <c r="Q60" s="3">
        <v>-1.7875373E-2</v>
      </c>
      <c r="R60" s="3">
        <v>-8.1521270000000008E-4</v>
      </c>
      <c r="S60" s="3">
        <v>1.6089081999999998E-2</v>
      </c>
      <c r="T60" s="3">
        <v>-5.260706E-4</v>
      </c>
      <c r="U60" s="3">
        <v>5.268991E-2</v>
      </c>
      <c r="V60" s="3">
        <v>8.1793549999999993E-2</v>
      </c>
      <c r="W60" s="3">
        <v>-3.0068754999999999E-2</v>
      </c>
      <c r="X60" s="3">
        <v>-3.5388530000000001E-2</v>
      </c>
      <c r="Y60" s="3">
        <v>-1.20186806E-3</v>
      </c>
      <c r="Z60" s="3">
        <v>3.1409263999999998E-3</v>
      </c>
      <c r="AA60" s="3">
        <v>-3.6399424E-2</v>
      </c>
      <c r="AB60" s="3">
        <v>-3.5637617000000002E-4</v>
      </c>
      <c r="AC60" s="3">
        <v>-1.0903059999999999E-2</v>
      </c>
      <c r="AD60" s="3">
        <v>1.0442614999999999E-2</v>
      </c>
      <c r="AE60" s="3">
        <v>-4.2703748000000007E-3</v>
      </c>
      <c r="AF60" s="3">
        <v>-5.5133700000000001E-3</v>
      </c>
      <c r="AG60" s="3">
        <v>4.0029406999999996E-2</v>
      </c>
      <c r="AH60" s="3">
        <v>-8.6626410000000004E-3</v>
      </c>
      <c r="AI60" s="3">
        <v>-2.4999916999999997E-2</v>
      </c>
      <c r="AJ60" s="3"/>
      <c r="AK60" s="3"/>
      <c r="AL60" s="3"/>
    </row>
    <row r="61" spans="1:38" x14ac:dyDescent="0.45">
      <c r="A61" s="2">
        <v>45972</v>
      </c>
      <c r="B61" s="3">
        <v>4.7083974000000001E-2</v>
      </c>
      <c r="C61" s="3">
        <v>0.15873013999999999</v>
      </c>
      <c r="D61" s="3">
        <v>6.5858005999999997E-2</v>
      </c>
      <c r="E61" s="3">
        <v>-5.870533E-2</v>
      </c>
      <c r="F61" s="3">
        <v>8.7476369999999998E-2</v>
      </c>
      <c r="G61" s="3">
        <v>3.4969686999999999E-2</v>
      </c>
      <c r="H61" s="3">
        <v>5.7244419999999997E-2</v>
      </c>
      <c r="I61" s="3">
        <v>6.1181425999999997E-2</v>
      </c>
      <c r="J61" s="3">
        <v>7.6875209999999999E-2</v>
      </c>
      <c r="K61" s="3">
        <v>0.18050049999999998</v>
      </c>
      <c r="L61" s="3">
        <v>0.16325115000000001</v>
      </c>
      <c r="M61" s="3">
        <v>5.0694823E-2</v>
      </c>
      <c r="N61" s="3">
        <v>-2.7807414999999999E-2</v>
      </c>
      <c r="O61" s="3">
        <v>3.7331820000000002E-2</v>
      </c>
      <c r="P61" s="3">
        <v>5.1148414999999996E-2</v>
      </c>
      <c r="Q61" s="3">
        <v>2.1731614999999999E-2</v>
      </c>
      <c r="R61" s="3">
        <v>1.0481954E-2</v>
      </c>
      <c r="S61" s="3">
        <v>3.0446052999999999E-4</v>
      </c>
      <c r="T61" s="3">
        <v>3.6315799000000003E-2</v>
      </c>
      <c r="U61" s="3">
        <v>-0.10800838</v>
      </c>
      <c r="V61" s="3">
        <v>-1.0550140999999999E-2</v>
      </c>
      <c r="W61" s="3">
        <v>-2.8381348000000002E-3</v>
      </c>
      <c r="X61" s="3">
        <v>7.1860550000000002E-3</v>
      </c>
      <c r="Y61" s="3">
        <v>2.3666263E-2</v>
      </c>
      <c r="Z61" s="3">
        <v>-6.9845915000000007E-3</v>
      </c>
      <c r="AA61" s="3">
        <v>6.8785070000000004E-2</v>
      </c>
      <c r="AB61" s="3">
        <v>2.7985692000000003E-2</v>
      </c>
      <c r="AC61" s="3">
        <v>4.6010137E-2</v>
      </c>
      <c r="AD61" s="3">
        <v>5.4401994000000002E-2</v>
      </c>
      <c r="AE61" s="3">
        <v>4.5909760000000001E-2</v>
      </c>
      <c r="AF61" s="3">
        <v>3.2801985999999998E-2</v>
      </c>
      <c r="AG61" s="3">
        <v>3.6899686000000001E-2</v>
      </c>
      <c r="AH61" s="3">
        <v>3.3248066999999999E-2</v>
      </c>
      <c r="AI61" s="3">
        <v>6.8376064E-2</v>
      </c>
      <c r="AJ61" s="3"/>
      <c r="AK61" s="3"/>
      <c r="AL61" s="3"/>
    </row>
    <row r="62" spans="1:38" x14ac:dyDescent="0.45">
      <c r="A62" s="2">
        <v>46002</v>
      </c>
      <c r="B62" s="3">
        <v>-1.1024117E-2</v>
      </c>
      <c r="C62" s="3">
        <v>7.6164364999999998E-2</v>
      </c>
      <c r="D62" s="3">
        <v>1.2466072999999999E-2</v>
      </c>
      <c r="E62" s="3">
        <v>6.8774104000000003E-2</v>
      </c>
      <c r="F62" s="3">
        <v>2.0543933E-2</v>
      </c>
      <c r="G62" s="3">
        <v>0.10532999</v>
      </c>
      <c r="H62" s="3">
        <v>3.3607482999999999E-3</v>
      </c>
      <c r="I62" s="3">
        <v>8.1051589999999989E-3</v>
      </c>
      <c r="J62" s="3">
        <v>2.4805307000000002E-2</v>
      </c>
      <c r="K62" s="3">
        <v>-3.463149E-3</v>
      </c>
      <c r="L62" s="3">
        <v>-9.8537207000000005E-3</v>
      </c>
      <c r="M62" s="3">
        <v>4.4641495000000003E-2</v>
      </c>
      <c r="N62" s="3">
        <v>6.3492060000000003E-2</v>
      </c>
      <c r="O62" s="3">
        <v>-2.1373807999999998E-2</v>
      </c>
      <c r="P62" s="3">
        <v>-4.4010519999999997E-2</v>
      </c>
      <c r="Q62" s="3">
        <v>-1.6943216000000001E-2</v>
      </c>
      <c r="R62" s="3">
        <v>-3.6086917000000003E-2</v>
      </c>
      <c r="S62" s="3">
        <v>5.9969544E-2</v>
      </c>
      <c r="T62" s="3">
        <v>-9.1416836000000005E-3</v>
      </c>
      <c r="U62" s="3">
        <v>7.9149485000000006E-2</v>
      </c>
      <c r="V62" s="3">
        <v>-4.4935283999999999E-2</v>
      </c>
      <c r="W62" s="3">
        <v>1.4778256E-2</v>
      </c>
      <c r="X62" s="3">
        <v>3.7550925999999999E-4</v>
      </c>
      <c r="Y62" s="3">
        <v>5.9561133000000002E-2</v>
      </c>
      <c r="Z62" s="3">
        <v>2.8134823E-2</v>
      </c>
      <c r="AA62" s="3">
        <v>5.6118964999999996E-3</v>
      </c>
      <c r="AB62" s="3">
        <v>1.4218926E-2</v>
      </c>
      <c r="AC62" s="3">
        <v>0</v>
      </c>
      <c r="AD62" s="3">
        <v>6.4513682999999995E-3</v>
      </c>
      <c r="AE62" s="3">
        <v>9.0336799999999988E-3</v>
      </c>
      <c r="AF62" s="3">
        <v>6.4862967000000006E-3</v>
      </c>
      <c r="AG62" s="3">
        <v>1.3110876E-2</v>
      </c>
      <c r="AH62" s="3">
        <v>2.4546146000000001E-2</v>
      </c>
      <c r="AI62" s="3">
        <v>3.7209987999999999E-3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-1.1024117E-2</v>
      </c>
      <c r="C67" s="3">
        <f t="shared" ref="C67:AI67" si="2">C62</f>
        <v>7.6164364999999998E-2</v>
      </c>
      <c r="D67" s="3">
        <f t="shared" si="2"/>
        <v>1.2466072999999999E-2</v>
      </c>
      <c r="E67" s="3">
        <f t="shared" si="2"/>
        <v>6.8774104000000003E-2</v>
      </c>
      <c r="F67" s="3">
        <f t="shared" si="2"/>
        <v>2.0543933E-2</v>
      </c>
      <c r="G67" s="3">
        <f t="shared" si="2"/>
        <v>0.10532999</v>
      </c>
      <c r="H67" s="3">
        <f t="shared" si="2"/>
        <v>3.3607482999999999E-3</v>
      </c>
      <c r="I67" s="3">
        <f t="shared" si="2"/>
        <v>8.1051589999999989E-3</v>
      </c>
      <c r="J67" s="3">
        <f t="shared" si="2"/>
        <v>2.4805307000000002E-2</v>
      </c>
      <c r="K67" s="3">
        <f t="shared" si="2"/>
        <v>-3.463149E-3</v>
      </c>
      <c r="L67" s="3">
        <f t="shared" si="2"/>
        <v>-9.8537207000000005E-3</v>
      </c>
      <c r="M67" s="3">
        <f t="shared" si="2"/>
        <v>4.4641495000000003E-2</v>
      </c>
      <c r="N67" s="3">
        <f t="shared" si="2"/>
        <v>6.3492060000000003E-2</v>
      </c>
      <c r="O67" s="3">
        <f t="shared" si="2"/>
        <v>-2.1373807999999998E-2</v>
      </c>
      <c r="P67" s="3">
        <f t="shared" si="2"/>
        <v>-4.4010519999999997E-2</v>
      </c>
      <c r="Q67" s="3">
        <f t="shared" si="2"/>
        <v>-1.6943216000000001E-2</v>
      </c>
      <c r="R67" s="3">
        <f t="shared" si="2"/>
        <v>-3.6086917000000003E-2</v>
      </c>
      <c r="S67" s="3">
        <f t="shared" si="2"/>
        <v>5.9969544E-2</v>
      </c>
      <c r="T67" s="3">
        <f t="shared" si="2"/>
        <v>-9.1416836000000005E-3</v>
      </c>
      <c r="U67" s="3">
        <f t="shared" si="2"/>
        <v>7.9149485000000006E-2</v>
      </c>
      <c r="V67" s="3">
        <f t="shared" si="2"/>
        <v>-4.4935283999999999E-2</v>
      </c>
      <c r="W67" s="3">
        <f t="shared" si="2"/>
        <v>1.4778256E-2</v>
      </c>
      <c r="X67" s="3">
        <f t="shared" si="2"/>
        <v>3.7550925999999999E-4</v>
      </c>
      <c r="Y67" s="3">
        <f t="shared" si="2"/>
        <v>5.9561133000000002E-2</v>
      </c>
      <c r="Z67" s="3">
        <f t="shared" si="2"/>
        <v>2.8134823E-2</v>
      </c>
      <c r="AA67" s="3">
        <f t="shared" si="2"/>
        <v>5.6118964999999996E-3</v>
      </c>
      <c r="AB67" s="3">
        <f t="shared" si="2"/>
        <v>1.4218926E-2</v>
      </c>
      <c r="AC67" s="3">
        <f t="shared" si="2"/>
        <v>0</v>
      </c>
      <c r="AD67" s="3">
        <f t="shared" si="2"/>
        <v>6.4513682999999995E-3</v>
      </c>
      <c r="AE67" s="3">
        <f t="shared" si="2"/>
        <v>9.0336799999999988E-3</v>
      </c>
      <c r="AF67" s="3">
        <f t="shared" si="2"/>
        <v>6.4862967000000006E-3</v>
      </c>
      <c r="AG67" s="3">
        <f t="shared" si="2"/>
        <v>1.3110876E-2</v>
      </c>
      <c r="AH67" s="3">
        <f t="shared" si="2"/>
        <v>2.4546146000000001E-2</v>
      </c>
      <c r="AI67" s="3">
        <f t="shared" si="2"/>
        <v>3.7209987999999999E-3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1.2197595459016398E-3</v>
      </c>
      <c r="C68" s="4">
        <f t="shared" si="3"/>
        <v>1.2258280122622952E-2</v>
      </c>
      <c r="D68" s="4">
        <f t="shared" si="3"/>
        <v>1.2743745409836051E-3</v>
      </c>
      <c r="E68" s="4">
        <f t="shared" si="3"/>
        <v>-1.2521265081967207E-3</v>
      </c>
      <c r="F68" s="4">
        <f t="shared" si="3"/>
        <v>1.8326823626229501E-2</v>
      </c>
      <c r="G68" s="4">
        <f t="shared" si="3"/>
        <v>1.9845372403278688E-2</v>
      </c>
      <c r="H68" s="4">
        <f t="shared" si="3"/>
        <v>3.6114984081967211E-3</v>
      </c>
      <c r="I68" s="4">
        <f t="shared" si="3"/>
        <v>1.2874361260655737E-2</v>
      </c>
      <c r="J68" s="4">
        <f t="shared" si="3"/>
        <v>1.403233559180328E-2</v>
      </c>
      <c r="K68" s="4">
        <f t="shared" si="3"/>
        <v>8.4285778360655723E-3</v>
      </c>
      <c r="L68" s="4">
        <f t="shared" si="3"/>
        <v>9.3789857000000001E-3</v>
      </c>
      <c r="M68" s="4">
        <f t="shared" si="3"/>
        <v>1.3561301800491803E-2</v>
      </c>
      <c r="N68" s="4">
        <f t="shared" si="3"/>
        <v>2.4917525655737707E-2</v>
      </c>
      <c r="O68" s="4">
        <f t="shared" si="3"/>
        <v>8.6337658081967229E-3</v>
      </c>
      <c r="P68" s="4">
        <f t="shared" si="3"/>
        <v>8.9151437311475485E-4</v>
      </c>
      <c r="Q68" s="4">
        <f t="shared" si="3"/>
        <v>5.2071230496721303E-3</v>
      </c>
      <c r="R68" s="4">
        <f t="shared" si="3"/>
        <v>-3.4398211803278775E-4</v>
      </c>
      <c r="S68" s="4">
        <f t="shared" si="3"/>
        <v>1.3779768923442619E-2</v>
      </c>
      <c r="T68" s="4">
        <f t="shared" si="3"/>
        <v>1.3856014327868853E-2</v>
      </c>
      <c r="U68" s="4">
        <f t="shared" si="3"/>
        <v>5.996679644262295E-3</v>
      </c>
      <c r="V68" s="4">
        <f t="shared" si="3"/>
        <v>6.2675728875409816E-3</v>
      </c>
      <c r="W68" s="4">
        <f t="shared" si="3"/>
        <v>-2.5900114295081974E-3</v>
      </c>
      <c r="X68" s="4">
        <f t="shared" si="3"/>
        <v>7.3600813527868857E-3</v>
      </c>
      <c r="Y68" s="4">
        <f t="shared" si="3"/>
        <v>1.3052393741639341E-2</v>
      </c>
      <c r="Z68" s="4">
        <f t="shared" si="3"/>
        <v>9.74970935E-3</v>
      </c>
      <c r="AA68" s="4">
        <f t="shared" si="3"/>
        <v>7.071283920491802E-3</v>
      </c>
      <c r="AB68" s="4">
        <f t="shared" si="3"/>
        <v>8.1240984021311476E-3</v>
      </c>
      <c r="AC68" s="4">
        <f t="shared" si="3"/>
        <v>1.1205056618032788E-2</v>
      </c>
      <c r="AD68" s="4">
        <f t="shared" si="3"/>
        <v>1.4872648742622948E-2</v>
      </c>
      <c r="AE68" s="4">
        <f t="shared" si="3"/>
        <v>1.2956177827868854E-2</v>
      </c>
      <c r="AF68" s="4">
        <f t="shared" si="3"/>
        <v>9.7387689196721319E-3</v>
      </c>
      <c r="AG68" s="4">
        <f t="shared" si="3"/>
        <v>1.0922487820655739E-2</v>
      </c>
      <c r="AH68" s="4">
        <f t="shared" si="3"/>
        <v>9.0853305540983618E-3</v>
      </c>
      <c r="AI68" s="4">
        <f t="shared" si="3"/>
        <v>1.6110067196721308E-2</v>
      </c>
    </row>
    <row r="69" spans="1:38" x14ac:dyDescent="0.45">
      <c r="A69" t="s">
        <v>21</v>
      </c>
      <c r="B69" s="4">
        <f t="shared" ref="B69:AI69" si="4">STDEV(B40:B62)</f>
        <v>7.0181402082194644E-2</v>
      </c>
      <c r="C69" s="4">
        <f t="shared" si="4"/>
        <v>6.5826951056738567E-2</v>
      </c>
      <c r="D69" s="4">
        <f t="shared" si="4"/>
        <v>5.4090708920758131E-2</v>
      </c>
      <c r="E69" s="4">
        <f t="shared" si="4"/>
        <v>4.9392092529356099E-2</v>
      </c>
      <c r="F69" s="4">
        <f t="shared" si="4"/>
        <v>6.2853108119021103E-2</v>
      </c>
      <c r="G69" s="4">
        <f t="shared" si="4"/>
        <v>5.5564681581132369E-2</v>
      </c>
      <c r="H69" s="4">
        <f t="shared" si="4"/>
        <v>3.3373720391335043E-2</v>
      </c>
      <c r="I69" s="4">
        <f t="shared" si="4"/>
        <v>5.4530053741515469E-2</v>
      </c>
      <c r="J69" s="4">
        <f t="shared" si="4"/>
        <v>6.7827021765053119E-2</v>
      </c>
      <c r="K69" s="4">
        <f t="shared" si="4"/>
        <v>6.5255785312366227E-2</v>
      </c>
      <c r="L69" s="4">
        <f t="shared" si="4"/>
        <v>6.6602402711933642E-2</v>
      </c>
      <c r="M69" s="4">
        <f t="shared" si="4"/>
        <v>5.8750298917399982E-2</v>
      </c>
      <c r="N69" s="4">
        <f t="shared" si="4"/>
        <v>4.6506091142157188E-2</v>
      </c>
      <c r="O69" s="4">
        <f t="shared" si="4"/>
        <v>3.5659156911146947E-2</v>
      </c>
      <c r="P69" s="4">
        <f t="shared" si="4"/>
        <v>9.0381062521638619E-2</v>
      </c>
      <c r="Q69" s="4">
        <f t="shared" si="4"/>
        <v>3.0174195404393728E-2</v>
      </c>
      <c r="R69" s="4">
        <f t="shared" si="4"/>
        <v>4.9188064209755848E-2</v>
      </c>
      <c r="S69" s="4">
        <f t="shared" si="4"/>
        <v>6.6990970176624878E-2</v>
      </c>
      <c r="T69" s="4">
        <f t="shared" si="4"/>
        <v>4.3291247036460416E-2</v>
      </c>
      <c r="U69" s="4">
        <f t="shared" si="4"/>
        <v>6.3929043579283765E-2</v>
      </c>
      <c r="V69" s="4">
        <f t="shared" si="4"/>
        <v>3.1528035934723385E-2</v>
      </c>
      <c r="W69" s="4">
        <f t="shared" si="4"/>
        <v>2.957040150369044E-2</v>
      </c>
      <c r="X69" s="4">
        <f t="shared" si="4"/>
        <v>4.0061436546517323E-2</v>
      </c>
      <c r="Y69" s="4">
        <f t="shared" si="4"/>
        <v>3.5656042242105626E-2</v>
      </c>
      <c r="Z69" s="4">
        <f t="shared" si="4"/>
        <v>4.3556947300209883E-2</v>
      </c>
      <c r="AA69" s="4">
        <f t="shared" si="4"/>
        <v>4.5123833036295982E-2</v>
      </c>
      <c r="AB69" s="4">
        <f t="shared" si="4"/>
        <v>3.3942628354430064E-2</v>
      </c>
      <c r="AC69" s="4">
        <f t="shared" si="4"/>
        <v>3.5889998485476575E-2</v>
      </c>
      <c r="AD69" s="4">
        <f t="shared" si="4"/>
        <v>4.882892951167804E-2</v>
      </c>
      <c r="AE69" s="4">
        <f t="shared" si="4"/>
        <v>3.7036737967152969E-2</v>
      </c>
      <c r="AF69" s="4">
        <f t="shared" si="4"/>
        <v>3.8642612176427379E-2</v>
      </c>
      <c r="AG69" s="4">
        <f t="shared" si="4"/>
        <v>4.6625599535179398E-2</v>
      </c>
      <c r="AH69" s="4">
        <f t="shared" si="4"/>
        <v>4.8819606020727026E-2</v>
      </c>
      <c r="AI69" s="4">
        <f t="shared" si="4"/>
        <v>4.5363972902373692E-2</v>
      </c>
    </row>
    <row r="70" spans="1:38" x14ac:dyDescent="0.45">
      <c r="A70" t="s">
        <v>36</v>
      </c>
      <c r="B70" s="3">
        <f>B69*2</f>
        <v>0.14036280416438929</v>
      </c>
      <c r="C70" s="3">
        <f t="shared" ref="C70:AI70" si="5">C69*2</f>
        <v>0.13165390211347713</v>
      </c>
      <c r="D70" s="3">
        <f t="shared" si="5"/>
        <v>0.10818141784151626</v>
      </c>
      <c r="E70" s="3">
        <f t="shared" si="5"/>
        <v>9.8784185058712198E-2</v>
      </c>
      <c r="F70" s="3">
        <f t="shared" si="5"/>
        <v>0.12570621623804221</v>
      </c>
      <c r="G70" s="3">
        <f t="shared" si="5"/>
        <v>0.11112936316226474</v>
      </c>
      <c r="H70" s="3">
        <f t="shared" si="5"/>
        <v>6.6747440782670087E-2</v>
      </c>
      <c r="I70" s="3">
        <f t="shared" si="5"/>
        <v>0.10906010748303094</v>
      </c>
      <c r="J70" s="3">
        <f t="shared" si="5"/>
        <v>0.13565404353010624</v>
      </c>
      <c r="K70" s="3">
        <f t="shared" si="5"/>
        <v>0.13051157062473245</v>
      </c>
      <c r="L70" s="3">
        <f t="shared" si="5"/>
        <v>0.13320480542386728</v>
      </c>
      <c r="M70" s="3">
        <f t="shared" si="5"/>
        <v>0.11750059783479996</v>
      </c>
      <c r="N70" s="3">
        <f t="shared" si="5"/>
        <v>9.3012182284314376E-2</v>
      </c>
      <c r="O70" s="3">
        <f t="shared" si="5"/>
        <v>7.1318313822293894E-2</v>
      </c>
      <c r="P70" s="3">
        <f t="shared" si="5"/>
        <v>0.18076212504327724</v>
      </c>
      <c r="Q70" s="3">
        <f t="shared" si="5"/>
        <v>6.0348390808787455E-2</v>
      </c>
      <c r="R70" s="3">
        <f t="shared" si="5"/>
        <v>9.8376128419511696E-2</v>
      </c>
      <c r="S70" s="3">
        <f t="shared" si="5"/>
        <v>0.13398194035324976</v>
      </c>
      <c r="T70" s="3">
        <f t="shared" si="5"/>
        <v>8.6582494072920832E-2</v>
      </c>
      <c r="U70" s="3">
        <f t="shared" si="5"/>
        <v>0.12785808715856753</v>
      </c>
      <c r="V70" s="3">
        <f t="shared" si="5"/>
        <v>6.305607186944677E-2</v>
      </c>
      <c r="W70" s="3">
        <f t="shared" si="5"/>
        <v>5.9140803007380879E-2</v>
      </c>
      <c r="X70" s="3">
        <f t="shared" si="5"/>
        <v>8.0122873093034647E-2</v>
      </c>
      <c r="Y70" s="3">
        <f t="shared" si="5"/>
        <v>7.1312084484211252E-2</v>
      </c>
      <c r="Z70" s="3">
        <f t="shared" si="5"/>
        <v>8.7113894600419767E-2</v>
      </c>
      <c r="AA70" s="3">
        <f t="shared" si="5"/>
        <v>9.0247666072591964E-2</v>
      </c>
      <c r="AB70" s="3">
        <f t="shared" si="5"/>
        <v>6.7885256708860128E-2</v>
      </c>
      <c r="AC70" s="3">
        <f t="shared" si="5"/>
        <v>7.177999697095315E-2</v>
      </c>
      <c r="AD70" s="3">
        <f t="shared" si="5"/>
        <v>9.7657859023356081E-2</v>
      </c>
      <c r="AE70" s="3">
        <f t="shared" si="5"/>
        <v>7.4073475934305938E-2</v>
      </c>
      <c r="AF70" s="3">
        <f t="shared" si="5"/>
        <v>7.7285224352854759E-2</v>
      </c>
      <c r="AG70" s="3">
        <f t="shared" si="5"/>
        <v>9.3251199070358795E-2</v>
      </c>
      <c r="AH70" s="3">
        <f t="shared" si="5"/>
        <v>9.7639212041454052E-2</v>
      </c>
      <c r="AI70" s="3">
        <f t="shared" si="5"/>
        <v>9.0727945804747384E-2</v>
      </c>
    </row>
    <row r="71" spans="1:38" x14ac:dyDescent="0.45">
      <c r="A71" t="s">
        <v>79</v>
      </c>
      <c r="B71">
        <f>PRICE_DATA!B2</f>
        <v>34.090000000000003</v>
      </c>
      <c r="C71">
        <f>PRICE_DATA!C2</f>
        <v>39.28</v>
      </c>
      <c r="D71">
        <f>PRICE_DATA!D2</f>
        <v>18.68</v>
      </c>
      <c r="E71">
        <f>PRICE_DATA!E2</f>
        <v>25.02</v>
      </c>
      <c r="F71">
        <f>PRICE_DATA!F2</f>
        <v>35.270000000000003</v>
      </c>
      <c r="G71">
        <f>PRICE_DATA!G2</f>
        <v>69.680000000000007</v>
      </c>
      <c r="H71">
        <f>PRICE_DATA!H2</f>
        <v>26.87</v>
      </c>
      <c r="I71">
        <f>PRICE_DATA!I2</f>
        <v>65.92</v>
      </c>
      <c r="J71">
        <f>PRICE_DATA!J2</f>
        <v>71.06</v>
      </c>
      <c r="K71">
        <f>PRICE_DATA!K2</f>
        <v>94.96</v>
      </c>
      <c r="L71">
        <f>PRICE_DATA!L2</f>
        <v>33.159999999999997</v>
      </c>
      <c r="M71">
        <f>PRICE_DATA!M2</f>
        <v>69.5</v>
      </c>
      <c r="N71">
        <f>PRICE_DATA!N2</f>
        <v>67.67</v>
      </c>
      <c r="O71">
        <f>PRICE_DATA!O2</f>
        <v>53.57</v>
      </c>
      <c r="P71">
        <f>PRICE_DATA!P2</f>
        <v>61.69</v>
      </c>
      <c r="Q71">
        <f>PRICE_DATA!Q2</f>
        <v>19.315000000000001</v>
      </c>
      <c r="R71">
        <f>PRICE_DATA!R2</f>
        <v>1253.54</v>
      </c>
      <c r="S71">
        <f>PRICE_DATA!S2</f>
        <v>34.82</v>
      </c>
      <c r="T71">
        <f>PRICE_DATA!T2</f>
        <v>19.510000000000002</v>
      </c>
      <c r="U71">
        <f>PRICE_DATA!U2</f>
        <v>18.27</v>
      </c>
      <c r="V71">
        <f>PRICE_DATA!V2</f>
        <v>37.619999999999997</v>
      </c>
      <c r="W71">
        <f>PRICE_DATA!W2</f>
        <v>46.35</v>
      </c>
      <c r="X71">
        <f>PRICE_DATA!X2</f>
        <v>26.64</v>
      </c>
      <c r="Y71">
        <f>PRICE_DATA!Y2</f>
        <v>54.08</v>
      </c>
      <c r="Z71">
        <f>PRICE_DATA!Z2</f>
        <v>42.39</v>
      </c>
      <c r="AA71">
        <f>PRICE_DATA!AA2</f>
        <v>84.22</v>
      </c>
      <c r="AB71">
        <f>PRICE_DATA!AB2</f>
        <v>58.49</v>
      </c>
      <c r="AC71">
        <f>PRICE_DATA!AC2</f>
        <v>43.65</v>
      </c>
      <c r="AD71">
        <f>PRICE_DATA!AD2</f>
        <v>625.58000000000004</v>
      </c>
      <c r="AE71">
        <f>PRICE_DATA!AE2</f>
        <v>689.17</v>
      </c>
      <c r="AF71">
        <f>PRICE_DATA!AF2</f>
        <v>45</v>
      </c>
      <c r="AG71">
        <f>PRICE_DATA!AG2</f>
        <v>59.5</v>
      </c>
      <c r="AH71">
        <f>PRICE_DATA!AH2</f>
        <v>49.67</v>
      </c>
      <c r="AI71">
        <f>PRICE_DATA!AI2</f>
        <v>53.95</v>
      </c>
    </row>
    <row r="72" spans="1:38" x14ac:dyDescent="0.45">
      <c r="A72" t="s">
        <v>80</v>
      </c>
      <c r="B72" s="7">
        <f>PRICE_DATA!B204</f>
        <v>30.604355223880603</v>
      </c>
      <c r="C72" s="7">
        <f>PRICE_DATA!C204</f>
        <v>32.286965174129357</v>
      </c>
      <c r="D72" s="7">
        <f>PRICE_DATA!D204</f>
        <v>17.634676616915414</v>
      </c>
      <c r="E72" s="7">
        <f>PRICE_DATA!E204</f>
        <v>25.889901492537319</v>
      </c>
      <c r="F72" s="7">
        <f>PRICE_DATA!F204</f>
        <v>31.261542288557212</v>
      </c>
      <c r="G72" s="7">
        <f>PRICE_DATA!G204</f>
        <v>51.928583582089523</v>
      </c>
      <c r="H72" s="7">
        <f>PRICE_DATA!H204</f>
        <v>24.644776119402973</v>
      </c>
      <c r="I72" s="7">
        <f>PRICE_DATA!I204</f>
        <v>57.407611940298494</v>
      </c>
      <c r="J72" s="7">
        <f>PRICE_DATA!J204</f>
        <v>60.774726368159243</v>
      </c>
      <c r="K72" s="7">
        <f>PRICE_DATA!K204</f>
        <v>71.953034825870645</v>
      </c>
      <c r="L72" s="7">
        <f>PRICE_DATA!L204</f>
        <v>28.488159203980068</v>
      </c>
      <c r="M72" s="7">
        <f>PRICE_DATA!M204</f>
        <v>55.959353233830846</v>
      </c>
      <c r="N72" s="7">
        <f>PRICE_DATA!N204</f>
        <v>58.033680597014929</v>
      </c>
      <c r="O72" s="7">
        <f>PRICE_DATA!O204</f>
        <v>53.136990049751255</v>
      </c>
      <c r="P72" s="7">
        <f>PRICE_DATA!P204</f>
        <v>58.222164179104517</v>
      </c>
      <c r="Q72" s="7">
        <f>PRICE_DATA!Q204</f>
        <v>18.905554726368159</v>
      </c>
      <c r="R72" s="7">
        <f>PRICE_DATA!R204</f>
        <v>1217.1327363184075</v>
      </c>
      <c r="S72" s="7">
        <f>PRICE_DATA!S204</f>
        <v>33.222212935323356</v>
      </c>
      <c r="T72" s="7">
        <f>PRICE_DATA!T204</f>
        <v>18.629968159203983</v>
      </c>
      <c r="U72" s="7">
        <f>PRICE_DATA!U204</f>
        <v>15.343532338308451</v>
      </c>
      <c r="V72" s="7">
        <f>PRICE_DATA!V204</f>
        <v>39.025024875621895</v>
      </c>
      <c r="W72" s="7">
        <f>PRICE_DATA!W204</f>
        <v>44.837310945273657</v>
      </c>
      <c r="X72" s="7">
        <f>PRICE_DATA!X204</f>
        <v>25.745671641791059</v>
      </c>
      <c r="Y72" s="7">
        <f>PRICE_DATA!Y204</f>
        <v>46.418656716417935</v>
      </c>
      <c r="Z72" s="7">
        <f>PRICE_DATA!Z204</f>
        <v>40.619253731343299</v>
      </c>
      <c r="AA72" s="7">
        <f>PRICE_DATA!AA204</f>
        <v>75.83203980099502</v>
      </c>
      <c r="AB72" s="7">
        <f>PRICE_DATA!AB204</f>
        <v>54.616417910447794</v>
      </c>
      <c r="AC72" s="7">
        <f>PRICE_DATA!AC204</f>
        <v>40.172288557213925</v>
      </c>
      <c r="AD72" s="7">
        <f>PRICE_DATA!AD204</f>
        <v>549.26835820895496</v>
      </c>
      <c r="AE72" s="7">
        <f>PRICE_DATA!AE204</f>
        <v>619.52527363184061</v>
      </c>
      <c r="AF72" s="7">
        <f>PRICE_DATA!AF204</f>
        <v>42.606865671641806</v>
      </c>
      <c r="AG72" s="7">
        <f>PRICE_DATA!AG204</f>
        <v>53.311853731343255</v>
      </c>
      <c r="AH72" s="7">
        <f>PRICE_DATA!AH204</f>
        <v>45.595920398009923</v>
      </c>
      <c r="AI72" s="7">
        <f>PRICE_DATA!AI204</f>
        <v>48.174129353233837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0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0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46002</v>
      </c>
      <c r="B2" cm="1">
        <f t="array" ref="B2:B202">_xll.FDS(B1,"FG_PRICE(0,-200D)")</f>
        <v>34.090000000000003</v>
      </c>
      <c r="C2" cm="1">
        <f t="array" ref="C2:C202">_xll.FDS(C1,"FG_PRICE(0,-200D)")</f>
        <v>39.28</v>
      </c>
      <c r="D2" cm="1">
        <f t="array" ref="D2:D202">_xll.FDS(D1,"FG_PRICE(0,-200D)")</f>
        <v>18.68</v>
      </c>
      <c r="E2" cm="1">
        <f t="array" ref="E2:E202">_xll.FDS(E1,"FG_PRICE(0,-200D)")</f>
        <v>25.02</v>
      </c>
      <c r="F2" cm="1">
        <f t="array" ref="F2:F202">_xll.FDS(F1,"FG_PRICE(0,-200D)")</f>
        <v>35.270000000000003</v>
      </c>
      <c r="G2" cm="1">
        <f t="array" ref="G2:G202">_xll.FDS(G1,"FG_PRICE(0,-200D)")</f>
        <v>69.680000000000007</v>
      </c>
      <c r="H2" cm="1">
        <f t="array" ref="H2:H202">_xll.FDS(H1,"FG_PRICE(0,-200D)")</f>
        <v>26.87</v>
      </c>
      <c r="I2" cm="1">
        <f t="array" ref="I2:I202">_xll.FDS(I1,"FG_PRICE(0,-200D)")</f>
        <v>65.92</v>
      </c>
      <c r="J2" cm="1">
        <f t="array" ref="J2:J202">_xll.FDS(J1,"FG_PRICE(0,-200D)")</f>
        <v>71.06</v>
      </c>
      <c r="K2" cm="1">
        <f t="array" ref="K2:K202">_xll.FDS(K1,"FG_PRICE(0,-200D)")</f>
        <v>94.96</v>
      </c>
      <c r="L2" cm="1">
        <f t="array" ref="L2:L202">_xll.FDS(L1,"FG_PRICE(0,-200D)")</f>
        <v>33.159999999999997</v>
      </c>
      <c r="M2" cm="1">
        <f t="array" ref="M2:M202">_xll.FDS(M1,"FG_PRICE(0,-200D)")</f>
        <v>69.5</v>
      </c>
      <c r="N2" cm="1">
        <f t="array" ref="N2:N202">_xll.FDS(N1,"FG_PRICE(0,-200D)")</f>
        <v>67.67</v>
      </c>
      <c r="O2" cm="1">
        <f t="array" ref="O2:O202">_xll.FDS(O1,"FG_PRICE(0,-200D)")</f>
        <v>53.57</v>
      </c>
      <c r="P2" cm="1">
        <f t="array" ref="P2:P202">_xll.FDS(P1,"FG_PRICE(0,-200D)")</f>
        <v>61.69</v>
      </c>
      <c r="Q2" cm="1">
        <f t="array" ref="Q2:Q202">_xll.FDS(Q1,"FG_PRICE(0,-200D)")</f>
        <v>19.315000000000001</v>
      </c>
      <c r="R2" cm="1">
        <f t="array" ref="R2:R202">_xll.FDS(R1,"FG_PRICE(0,-200D)")</f>
        <v>1253.54</v>
      </c>
      <c r="S2" cm="1">
        <f t="array" ref="S2:S202">_xll.FDS(S1,"FG_PRICE(0,-200D)")</f>
        <v>34.82</v>
      </c>
      <c r="T2" cm="1">
        <f t="array" ref="T2:T202">_xll.FDS(T1,"FG_PRICE(0,-200D)")</f>
        <v>19.510000000000002</v>
      </c>
      <c r="U2" cm="1">
        <f t="array" ref="U2:U202">_xll.FDS(U1,"FG_PRICE(0,-200D)")</f>
        <v>18.27</v>
      </c>
      <c r="V2" cm="1">
        <f t="array" ref="V2:V202">_xll.FDS(V1,"FG_PRICE(0,-200D)")</f>
        <v>37.619999999999997</v>
      </c>
      <c r="W2" cm="1">
        <f t="array" ref="W2:W202">_xll.FDS(W1,"FG_PRICE(0,-200D)")</f>
        <v>46.35</v>
      </c>
      <c r="X2" cm="1">
        <f t="array" ref="X2:X202">_xll.FDS(X1,"FG_PRICE(0,-200D)")</f>
        <v>26.64</v>
      </c>
      <c r="Y2" cm="1">
        <f t="array" ref="Y2:Y202">_xll.FDS(Y1,"FG_PRICE(0,-200D)")</f>
        <v>54.08</v>
      </c>
      <c r="Z2" cm="1">
        <f t="array" ref="Z2:Z202">_xll.FDS(Z1,"FG_PRICE(0,-200D)")</f>
        <v>42.39</v>
      </c>
      <c r="AA2" cm="1">
        <f t="array" ref="AA2:AA202">_xll.FDS(AA1,"FG_PRICE(0,-200D)")</f>
        <v>84.22</v>
      </c>
      <c r="AB2" cm="1">
        <f t="array" ref="AB2:AB202">_xll.FDS(AB1,"FG_PRICE(0,-200D)")</f>
        <v>58.49</v>
      </c>
      <c r="AC2" cm="1">
        <f t="array" ref="AC2:AC202">_xll.FDS(AC1,"FG_PRICE(0,-200D)")</f>
        <v>43.65</v>
      </c>
      <c r="AD2" cm="1">
        <f t="array" ref="AD2:AD202">_xll.FDS(AD1,"FG_PRICE(0,-200D)")</f>
        <v>625.58000000000004</v>
      </c>
      <c r="AE2" cm="1">
        <f t="array" ref="AE2:AE202">_xll.FDS(AE1,"FG_PRICE(0,-200D)")</f>
        <v>689.17</v>
      </c>
      <c r="AF2" cm="1">
        <f t="array" ref="AF2:AF202">_xll.FDS(AF1,"FG_PRICE(0,-200D)")</f>
        <v>45</v>
      </c>
      <c r="AG2" cm="1">
        <f t="array" ref="AG2:AG202">_xll.FDS(AG1,"FG_PRICE(0,-200D)")</f>
        <v>59.5</v>
      </c>
      <c r="AH2" cm="1">
        <f t="array" ref="AH2:AH202">_xll.FDS(AH1,"FG_PRICE(0,-200D)")</f>
        <v>49.67</v>
      </c>
      <c r="AI2" cm="1">
        <f t="array" ref="AI2:AI202">_xll.FDS(AI1,"FG_PRICE(0,-200D)")</f>
        <v>53.95</v>
      </c>
    </row>
    <row r="3" spans="1:35" x14ac:dyDescent="0.45">
      <c r="A3" s="2">
        <v>46001</v>
      </c>
      <c r="B3">
        <v>34.340000000000003</v>
      </c>
      <c r="C3">
        <v>38.75</v>
      </c>
      <c r="D3">
        <v>18.86</v>
      </c>
      <c r="E3">
        <v>24.73</v>
      </c>
      <c r="F3">
        <v>34.880000000000003</v>
      </c>
      <c r="G3">
        <v>68.290000000000006</v>
      </c>
      <c r="H3">
        <v>26.52</v>
      </c>
      <c r="I3">
        <v>66.8</v>
      </c>
      <c r="J3">
        <v>69.040000000000006</v>
      </c>
      <c r="K3">
        <v>96.75</v>
      </c>
      <c r="L3">
        <v>32.770000000000003</v>
      </c>
      <c r="M3">
        <v>68.180000000000007</v>
      </c>
      <c r="N3">
        <v>66.77</v>
      </c>
      <c r="O3">
        <v>53.36</v>
      </c>
      <c r="P3">
        <v>61.81</v>
      </c>
      <c r="Q3">
        <v>19.168500000000002</v>
      </c>
      <c r="R3">
        <v>1269.8699999999999</v>
      </c>
      <c r="S3">
        <v>34.729999999999997</v>
      </c>
      <c r="T3">
        <v>19.440100000000001</v>
      </c>
      <c r="U3">
        <v>18.28</v>
      </c>
      <c r="V3">
        <v>37.659999999999997</v>
      </c>
      <c r="W3">
        <v>46.2943</v>
      </c>
      <c r="X3">
        <v>26.65</v>
      </c>
      <c r="Y3">
        <v>53.72</v>
      </c>
      <c r="Z3">
        <v>41.94</v>
      </c>
      <c r="AA3">
        <v>83.91</v>
      </c>
      <c r="AB3">
        <v>58.38</v>
      </c>
      <c r="AC3">
        <v>43.46</v>
      </c>
      <c r="AD3">
        <v>627.61</v>
      </c>
      <c r="AE3">
        <v>687.57</v>
      </c>
      <c r="AF3">
        <v>44.58</v>
      </c>
      <c r="AG3">
        <v>58.8</v>
      </c>
      <c r="AH3">
        <v>49.36</v>
      </c>
      <c r="AI3">
        <v>53.55</v>
      </c>
    </row>
    <row r="4" spans="1:35" x14ac:dyDescent="0.45">
      <c r="A4" s="2">
        <v>46000</v>
      </c>
      <c r="B4">
        <v>34.225000000000001</v>
      </c>
      <c r="C4">
        <v>38.340000000000003</v>
      </c>
      <c r="D4">
        <v>18.68</v>
      </c>
      <c r="E4">
        <v>24.67</v>
      </c>
      <c r="F4">
        <v>34.25</v>
      </c>
      <c r="G4">
        <v>67.48</v>
      </c>
      <c r="H4">
        <v>26.37</v>
      </c>
      <c r="I4">
        <v>65.72</v>
      </c>
      <c r="J4">
        <v>69.27</v>
      </c>
      <c r="K4">
        <v>95.57</v>
      </c>
      <c r="L4">
        <v>32.74</v>
      </c>
      <c r="M4">
        <v>66.91</v>
      </c>
      <c r="N4">
        <v>65.8</v>
      </c>
      <c r="O4">
        <v>53.27</v>
      </c>
      <c r="P4">
        <v>61.35</v>
      </c>
      <c r="Q4">
        <v>19.041399999999999</v>
      </c>
      <c r="R4">
        <v>1261.3900000000001</v>
      </c>
      <c r="S4">
        <v>34.659999999999997</v>
      </c>
      <c r="T4">
        <v>19.38</v>
      </c>
      <c r="U4">
        <v>18.649999999999999</v>
      </c>
      <c r="V4">
        <v>37.43</v>
      </c>
      <c r="W4">
        <v>45.950400000000002</v>
      </c>
      <c r="X4">
        <v>26.35</v>
      </c>
      <c r="Y4">
        <v>53.07</v>
      </c>
      <c r="Z4">
        <v>41.53</v>
      </c>
      <c r="AA4">
        <v>83.31</v>
      </c>
      <c r="AB4">
        <v>57.69</v>
      </c>
      <c r="AC4">
        <v>42.88</v>
      </c>
      <c r="AD4">
        <v>625.04999999999995</v>
      </c>
      <c r="AE4">
        <v>683.04</v>
      </c>
      <c r="AF4">
        <v>44.21</v>
      </c>
      <c r="AG4">
        <v>58.55</v>
      </c>
      <c r="AH4">
        <v>48.55</v>
      </c>
      <c r="AI4">
        <v>53.02</v>
      </c>
    </row>
    <row r="5" spans="1:35" x14ac:dyDescent="0.45">
      <c r="A5" s="2">
        <v>45999</v>
      </c>
      <c r="B5">
        <v>34.36</v>
      </c>
      <c r="C5">
        <v>38.24</v>
      </c>
      <c r="D5">
        <v>18.87</v>
      </c>
      <c r="E5">
        <v>24.58</v>
      </c>
      <c r="F5">
        <v>33.51</v>
      </c>
      <c r="G5">
        <v>66.53</v>
      </c>
      <c r="H5">
        <v>26.32</v>
      </c>
      <c r="I5">
        <v>65.569999999999993</v>
      </c>
      <c r="J5">
        <v>68.64</v>
      </c>
      <c r="K5">
        <v>95.07</v>
      </c>
      <c r="L5">
        <v>32.75</v>
      </c>
      <c r="M5">
        <v>66.39</v>
      </c>
      <c r="N5">
        <v>66.97</v>
      </c>
      <c r="O5">
        <v>53.08</v>
      </c>
      <c r="P5">
        <v>62.22</v>
      </c>
      <c r="Q5">
        <v>18.955400000000001</v>
      </c>
      <c r="R5">
        <v>1273.77</v>
      </c>
      <c r="S5">
        <v>34.42</v>
      </c>
      <c r="T5">
        <v>19.079999999999998</v>
      </c>
      <c r="U5">
        <v>18.72</v>
      </c>
      <c r="V5">
        <v>37.19</v>
      </c>
      <c r="W5">
        <v>46.026699999999998</v>
      </c>
      <c r="X5">
        <v>26.24</v>
      </c>
      <c r="Y5">
        <v>52.95</v>
      </c>
      <c r="Z5">
        <v>41.34</v>
      </c>
      <c r="AA5">
        <v>83.19</v>
      </c>
      <c r="AB5">
        <v>57.76</v>
      </c>
      <c r="AC5">
        <v>43.08</v>
      </c>
      <c r="AD5">
        <v>624.28</v>
      </c>
      <c r="AE5">
        <v>683.63</v>
      </c>
      <c r="AF5">
        <v>44.65</v>
      </c>
      <c r="AG5">
        <v>58.7224</v>
      </c>
      <c r="AH5">
        <v>48.4</v>
      </c>
      <c r="AI5">
        <v>52.98</v>
      </c>
    </row>
    <row r="6" spans="1:35" x14ac:dyDescent="0.45">
      <c r="A6" s="2">
        <v>45996</v>
      </c>
      <c r="B6">
        <v>34.21</v>
      </c>
      <c r="C6">
        <v>38.18</v>
      </c>
      <c r="D6">
        <v>18.82</v>
      </c>
      <c r="E6">
        <v>24.73</v>
      </c>
      <c r="F6">
        <v>33.44</v>
      </c>
      <c r="G6">
        <v>67.03</v>
      </c>
      <c r="H6">
        <v>26.64</v>
      </c>
      <c r="I6">
        <v>65.349999999999994</v>
      </c>
      <c r="J6">
        <v>68.680000000000007</v>
      </c>
      <c r="K6">
        <v>94.3</v>
      </c>
      <c r="L6">
        <v>32.53</v>
      </c>
      <c r="M6">
        <v>67.88</v>
      </c>
      <c r="N6">
        <v>66.45</v>
      </c>
      <c r="O6">
        <v>53.97</v>
      </c>
      <c r="P6">
        <v>62.66</v>
      </c>
      <c r="Q6">
        <v>18.930399999999999</v>
      </c>
      <c r="R6">
        <v>1274.82</v>
      </c>
      <c r="S6">
        <v>33.840000000000003</v>
      </c>
      <c r="T6">
        <v>19.22</v>
      </c>
      <c r="U6">
        <v>18.649999999999999</v>
      </c>
      <c r="V6">
        <v>37.200000000000003</v>
      </c>
      <c r="W6">
        <v>45.994999999999997</v>
      </c>
      <c r="X6">
        <v>26.34</v>
      </c>
      <c r="Y6">
        <v>53.29</v>
      </c>
      <c r="Z6">
        <v>41.41</v>
      </c>
      <c r="AA6">
        <v>83.7</v>
      </c>
      <c r="AB6">
        <v>58.03</v>
      </c>
      <c r="AC6">
        <v>43.22</v>
      </c>
      <c r="AD6">
        <v>625.48</v>
      </c>
      <c r="AE6">
        <v>685.69</v>
      </c>
      <c r="AF6">
        <v>44.62</v>
      </c>
      <c r="AG6">
        <v>58.55</v>
      </c>
      <c r="AH6">
        <v>48.37</v>
      </c>
      <c r="AI6">
        <v>52.98</v>
      </c>
    </row>
    <row r="7" spans="1:35" x14ac:dyDescent="0.45">
      <c r="A7" s="2">
        <v>45995</v>
      </c>
      <c r="B7">
        <v>33.74</v>
      </c>
      <c r="C7">
        <v>38.51</v>
      </c>
      <c r="D7">
        <v>18.79</v>
      </c>
      <c r="E7">
        <v>24.2</v>
      </c>
      <c r="F7">
        <v>33.53</v>
      </c>
      <c r="G7">
        <v>67</v>
      </c>
      <c r="H7">
        <v>26.59</v>
      </c>
      <c r="I7">
        <v>64.510000000000005</v>
      </c>
      <c r="J7">
        <v>68.819999999999993</v>
      </c>
      <c r="K7">
        <v>91.87</v>
      </c>
      <c r="L7">
        <v>34.72</v>
      </c>
      <c r="M7">
        <v>67.05</v>
      </c>
      <c r="N7">
        <v>66.3</v>
      </c>
      <c r="O7">
        <v>53.76</v>
      </c>
      <c r="P7">
        <v>61.98</v>
      </c>
      <c r="Q7">
        <v>18.940200000000001</v>
      </c>
      <c r="R7">
        <v>1277.58</v>
      </c>
      <c r="S7">
        <v>33.549999999999997</v>
      </c>
      <c r="T7">
        <v>19.05</v>
      </c>
      <c r="U7">
        <v>18.59</v>
      </c>
      <c r="V7">
        <v>37.17</v>
      </c>
      <c r="W7">
        <v>46.005000000000003</v>
      </c>
      <c r="X7">
        <v>26.29</v>
      </c>
      <c r="Y7">
        <v>53.07</v>
      </c>
      <c r="Z7">
        <v>41.14</v>
      </c>
      <c r="AA7">
        <v>83.62</v>
      </c>
      <c r="AB7">
        <v>57.91</v>
      </c>
      <c r="AC7">
        <v>43.42</v>
      </c>
      <c r="AD7">
        <v>622.94000000000005</v>
      </c>
      <c r="AE7">
        <v>684.39</v>
      </c>
      <c r="AF7">
        <v>44.75</v>
      </c>
      <c r="AG7">
        <v>58.78</v>
      </c>
      <c r="AH7">
        <v>48.09</v>
      </c>
      <c r="AI7">
        <v>53.15</v>
      </c>
    </row>
    <row r="8" spans="1:35" x14ac:dyDescent="0.45">
      <c r="A8" s="2">
        <v>45994</v>
      </c>
      <c r="B8">
        <v>33.76</v>
      </c>
      <c r="C8">
        <v>38.619999999999997</v>
      </c>
      <c r="D8">
        <v>18.829999999999998</v>
      </c>
      <c r="E8">
        <v>24.68</v>
      </c>
      <c r="F8">
        <v>33.61</v>
      </c>
      <c r="G8">
        <v>66.03</v>
      </c>
      <c r="H8">
        <v>26.73</v>
      </c>
      <c r="I8">
        <v>64.849999999999994</v>
      </c>
      <c r="J8">
        <v>68.430000000000007</v>
      </c>
      <c r="K8">
        <v>93</v>
      </c>
      <c r="L8">
        <v>34.200000000000003</v>
      </c>
      <c r="M8">
        <v>66.92</v>
      </c>
      <c r="N8">
        <v>66.37</v>
      </c>
      <c r="O8">
        <v>53.41</v>
      </c>
      <c r="P8">
        <v>61.88</v>
      </c>
      <c r="Q8">
        <v>18.930199999999999</v>
      </c>
      <c r="R8">
        <v>1276.57</v>
      </c>
      <c r="S8">
        <v>33.869999999999997</v>
      </c>
      <c r="T8">
        <v>18.850000000000001</v>
      </c>
      <c r="U8">
        <v>18.690000000000001</v>
      </c>
      <c r="V8">
        <v>37.04</v>
      </c>
      <c r="W8">
        <v>46.165599999999998</v>
      </c>
      <c r="X8">
        <v>26.13</v>
      </c>
      <c r="Y8">
        <v>52.47</v>
      </c>
      <c r="Z8">
        <v>40.950000000000003</v>
      </c>
      <c r="AA8">
        <v>82.61</v>
      </c>
      <c r="AB8">
        <v>58.07</v>
      </c>
      <c r="AC8">
        <v>43.46</v>
      </c>
      <c r="AD8">
        <v>623.52</v>
      </c>
      <c r="AE8">
        <v>683.89</v>
      </c>
      <c r="AF8">
        <v>44.79</v>
      </c>
      <c r="AG8">
        <v>59.18</v>
      </c>
      <c r="AH8">
        <v>47.77</v>
      </c>
      <c r="AI8">
        <v>53.29</v>
      </c>
    </row>
    <row r="9" spans="1:35" x14ac:dyDescent="0.45">
      <c r="A9" s="2">
        <v>45993</v>
      </c>
      <c r="B9">
        <v>33.81</v>
      </c>
      <c r="C9">
        <v>38.29</v>
      </c>
      <c r="D9">
        <v>18.920000000000002</v>
      </c>
      <c r="E9">
        <v>25.06</v>
      </c>
      <c r="F9">
        <v>33.65</v>
      </c>
      <c r="G9">
        <v>64.67</v>
      </c>
      <c r="H9">
        <v>26.67</v>
      </c>
      <c r="I9">
        <v>64.63</v>
      </c>
      <c r="J9">
        <v>68.709999999999994</v>
      </c>
      <c r="K9">
        <v>92.07</v>
      </c>
      <c r="L9">
        <v>34.03</v>
      </c>
      <c r="M9">
        <v>66.5</v>
      </c>
      <c r="N9">
        <v>66.64</v>
      </c>
      <c r="O9">
        <v>53.88</v>
      </c>
      <c r="P9">
        <v>62.24</v>
      </c>
      <c r="Q9">
        <v>18.774999999999999</v>
      </c>
      <c r="R9">
        <v>1256.69</v>
      </c>
      <c r="S9">
        <v>34.1</v>
      </c>
      <c r="T9">
        <v>18.53</v>
      </c>
      <c r="U9">
        <v>18.649999999999999</v>
      </c>
      <c r="V9">
        <v>36.979999999999997</v>
      </c>
      <c r="W9">
        <v>45.818399999999997</v>
      </c>
      <c r="X9">
        <v>25.93</v>
      </c>
      <c r="Y9">
        <v>52.14</v>
      </c>
      <c r="Z9">
        <v>40.89</v>
      </c>
      <c r="AA9">
        <v>82.47</v>
      </c>
      <c r="AB9">
        <v>57.94</v>
      </c>
      <c r="AC9">
        <v>43.01</v>
      </c>
      <c r="AD9">
        <v>622</v>
      </c>
      <c r="AE9">
        <v>681.53</v>
      </c>
      <c r="AF9">
        <v>44.44</v>
      </c>
      <c r="AG9">
        <v>58.57</v>
      </c>
      <c r="AH9">
        <v>47.61</v>
      </c>
      <c r="AI9">
        <v>53</v>
      </c>
    </row>
    <row r="10" spans="1:35" x14ac:dyDescent="0.45">
      <c r="A10" s="2">
        <v>45992</v>
      </c>
      <c r="B10">
        <v>34.25</v>
      </c>
      <c r="C10">
        <v>37.69</v>
      </c>
      <c r="D10">
        <v>18.79</v>
      </c>
      <c r="E10">
        <v>25.24</v>
      </c>
      <c r="F10">
        <v>33.9</v>
      </c>
      <c r="G10">
        <v>64.569999999999993</v>
      </c>
      <c r="H10">
        <v>26.6</v>
      </c>
      <c r="I10">
        <v>64.13</v>
      </c>
      <c r="J10">
        <v>68.459999999999994</v>
      </c>
      <c r="K10">
        <v>90.62</v>
      </c>
      <c r="L10">
        <v>33.4</v>
      </c>
      <c r="M10">
        <v>67.45</v>
      </c>
      <c r="N10">
        <v>66.28</v>
      </c>
      <c r="O10">
        <v>54.33</v>
      </c>
      <c r="P10">
        <v>62.66</v>
      </c>
      <c r="Q10">
        <v>18.71</v>
      </c>
      <c r="R10">
        <v>1252.71</v>
      </c>
      <c r="S10">
        <v>34.03</v>
      </c>
      <c r="T10">
        <v>18.4941</v>
      </c>
      <c r="U10">
        <v>18.38</v>
      </c>
      <c r="V10">
        <v>37.06</v>
      </c>
      <c r="W10">
        <v>45.48</v>
      </c>
      <c r="X10">
        <v>25.73</v>
      </c>
      <c r="Y10">
        <v>52.18</v>
      </c>
      <c r="Z10">
        <v>40.520000000000003</v>
      </c>
      <c r="AA10">
        <v>82.53</v>
      </c>
      <c r="AB10">
        <v>57.42</v>
      </c>
      <c r="AC10">
        <v>42.93</v>
      </c>
      <c r="AD10">
        <v>617.16999999999996</v>
      </c>
      <c r="AE10">
        <v>680.27</v>
      </c>
      <c r="AF10">
        <v>44.41</v>
      </c>
      <c r="AG10">
        <v>58.32</v>
      </c>
      <c r="AH10">
        <v>47.58</v>
      </c>
      <c r="AI10">
        <v>52.66</v>
      </c>
    </row>
    <row r="11" spans="1:35" x14ac:dyDescent="0.45">
      <c r="A11" s="2">
        <v>45989</v>
      </c>
      <c r="B11">
        <v>33.950000000000003</v>
      </c>
      <c r="C11">
        <v>37.86</v>
      </c>
      <c r="D11">
        <v>18.670000000000002</v>
      </c>
      <c r="E11">
        <v>25.21</v>
      </c>
      <c r="F11">
        <v>34.07</v>
      </c>
      <c r="G11">
        <v>64.47</v>
      </c>
      <c r="H11">
        <v>26.43</v>
      </c>
      <c r="I11">
        <v>64.510000000000005</v>
      </c>
      <c r="J11">
        <v>68.42</v>
      </c>
      <c r="K11">
        <v>90.87</v>
      </c>
      <c r="L11">
        <v>33.61</v>
      </c>
      <c r="M11">
        <v>66.739999999999995</v>
      </c>
      <c r="N11">
        <v>65.319999999999993</v>
      </c>
      <c r="O11">
        <v>54.71</v>
      </c>
      <c r="P11">
        <v>62.2</v>
      </c>
      <c r="Q11">
        <v>18.88</v>
      </c>
      <c r="R11">
        <v>1261.18</v>
      </c>
      <c r="S11">
        <v>33.5</v>
      </c>
      <c r="T11">
        <v>18.579999999999998</v>
      </c>
      <c r="U11">
        <v>18.34</v>
      </c>
      <c r="V11">
        <v>37.44</v>
      </c>
      <c r="W11">
        <v>45.625700000000002</v>
      </c>
      <c r="X11">
        <v>25.85</v>
      </c>
      <c r="Y11">
        <v>52.7</v>
      </c>
      <c r="Z11">
        <v>40.92</v>
      </c>
      <c r="AA11">
        <v>83.01</v>
      </c>
      <c r="AB11">
        <v>57.82</v>
      </c>
      <c r="AC11">
        <v>43.15</v>
      </c>
      <c r="AD11">
        <v>619.25</v>
      </c>
      <c r="AE11">
        <v>683.39</v>
      </c>
      <c r="AF11">
        <v>44.57</v>
      </c>
      <c r="AG11">
        <v>58.17</v>
      </c>
      <c r="AH11">
        <v>47.91</v>
      </c>
      <c r="AI11">
        <v>52.93</v>
      </c>
    </row>
    <row r="12" spans="1:35" x14ac:dyDescent="0.45">
      <c r="A12" s="2">
        <v>45987</v>
      </c>
      <c r="B12">
        <v>33.590000000000003</v>
      </c>
      <c r="C12">
        <v>37.61</v>
      </c>
      <c r="D12">
        <v>18.87</v>
      </c>
      <c r="E12">
        <v>25.02</v>
      </c>
      <c r="F12">
        <v>34.07</v>
      </c>
      <c r="G12">
        <v>63.1</v>
      </c>
      <c r="H12">
        <v>26.64</v>
      </c>
      <c r="I12">
        <v>63.66</v>
      </c>
      <c r="J12">
        <v>67.88</v>
      </c>
      <c r="K12">
        <v>91.55</v>
      </c>
      <c r="L12">
        <v>33.47</v>
      </c>
      <c r="M12">
        <v>67.83</v>
      </c>
      <c r="N12">
        <v>66.150000000000006</v>
      </c>
      <c r="O12">
        <v>54.67</v>
      </c>
      <c r="P12">
        <v>61.91</v>
      </c>
      <c r="Q12">
        <v>18.885000000000002</v>
      </c>
      <c r="R12">
        <v>1268.78</v>
      </c>
      <c r="S12">
        <v>33.590000000000003</v>
      </c>
      <c r="T12">
        <v>18.53</v>
      </c>
      <c r="U12">
        <v>18.239999999999998</v>
      </c>
      <c r="V12">
        <v>37.380000000000003</v>
      </c>
      <c r="W12">
        <v>45.47</v>
      </c>
      <c r="X12">
        <v>25.82</v>
      </c>
      <c r="Y12">
        <v>52.25</v>
      </c>
      <c r="Z12">
        <v>40.6</v>
      </c>
      <c r="AA12">
        <v>83.26</v>
      </c>
      <c r="AB12">
        <v>57.55</v>
      </c>
      <c r="AC12">
        <v>42.99</v>
      </c>
      <c r="AD12">
        <v>614.27</v>
      </c>
      <c r="AE12">
        <v>679.68</v>
      </c>
      <c r="AF12">
        <v>44.43</v>
      </c>
      <c r="AG12">
        <v>57.79</v>
      </c>
      <c r="AH12">
        <v>47.43</v>
      </c>
      <c r="AI12">
        <v>52.54</v>
      </c>
    </row>
    <row r="13" spans="1:35" x14ac:dyDescent="0.45">
      <c r="A13" s="2">
        <v>45986</v>
      </c>
      <c r="B13">
        <v>33.51</v>
      </c>
      <c r="C13">
        <v>37.270000000000003</v>
      </c>
      <c r="D13">
        <v>18.73</v>
      </c>
      <c r="E13">
        <v>25</v>
      </c>
      <c r="F13">
        <v>33.729999999999997</v>
      </c>
      <c r="G13">
        <v>61.56</v>
      </c>
      <c r="H13">
        <v>26.49</v>
      </c>
      <c r="I13">
        <v>62.8</v>
      </c>
      <c r="J13">
        <v>67.75</v>
      </c>
      <c r="K13">
        <v>89.79</v>
      </c>
      <c r="L13">
        <v>32.549999999999997</v>
      </c>
      <c r="M13">
        <v>66.3</v>
      </c>
      <c r="N13">
        <v>65.48</v>
      </c>
      <c r="O13">
        <v>54.28</v>
      </c>
      <c r="P13">
        <v>62.2</v>
      </c>
      <c r="Q13">
        <v>18.77</v>
      </c>
      <c r="R13">
        <v>1252.73</v>
      </c>
      <c r="S13">
        <v>33.54</v>
      </c>
      <c r="T13">
        <v>18.71</v>
      </c>
      <c r="U13">
        <v>17.75</v>
      </c>
      <c r="V13">
        <v>37.590000000000003</v>
      </c>
      <c r="W13">
        <v>44.699399999999997</v>
      </c>
      <c r="X13">
        <v>25.62</v>
      </c>
      <c r="Y13">
        <v>51.56</v>
      </c>
      <c r="Z13">
        <v>40.19</v>
      </c>
      <c r="AA13">
        <v>81.92</v>
      </c>
      <c r="AB13">
        <v>57.26</v>
      </c>
      <c r="AC13">
        <v>42.52</v>
      </c>
      <c r="AD13">
        <v>608.89</v>
      </c>
      <c r="AE13">
        <v>675.02</v>
      </c>
      <c r="AF13">
        <v>44.06</v>
      </c>
      <c r="AG13">
        <v>56.872</v>
      </c>
      <c r="AH13">
        <v>47.06</v>
      </c>
      <c r="AI13">
        <v>52.16</v>
      </c>
    </row>
    <row r="14" spans="1:35" x14ac:dyDescent="0.45">
      <c r="A14" s="2">
        <v>45985</v>
      </c>
      <c r="B14">
        <v>33.11</v>
      </c>
      <c r="C14">
        <v>36.61</v>
      </c>
      <c r="D14">
        <v>18.78</v>
      </c>
      <c r="E14">
        <v>24.97</v>
      </c>
      <c r="F14">
        <v>32.94</v>
      </c>
      <c r="G14">
        <v>61.02</v>
      </c>
      <c r="H14">
        <v>26.47</v>
      </c>
      <c r="I14">
        <v>62.51</v>
      </c>
      <c r="J14">
        <v>66.55</v>
      </c>
      <c r="K14">
        <v>90.3</v>
      </c>
      <c r="L14">
        <v>32.200000000000003</v>
      </c>
      <c r="M14">
        <v>65.89</v>
      </c>
      <c r="N14">
        <v>63.99</v>
      </c>
      <c r="O14">
        <v>54.22</v>
      </c>
      <c r="P14">
        <v>61.96</v>
      </c>
      <c r="Q14">
        <v>18.850000000000001</v>
      </c>
      <c r="R14">
        <v>1254.4000000000001</v>
      </c>
      <c r="S14">
        <v>33.76</v>
      </c>
      <c r="T14">
        <v>18.75</v>
      </c>
      <c r="U14">
        <v>17.91</v>
      </c>
      <c r="V14">
        <v>38.159999999999997</v>
      </c>
      <c r="W14">
        <v>44.47</v>
      </c>
      <c r="X14">
        <v>25.44</v>
      </c>
      <c r="Y14">
        <v>51.05</v>
      </c>
      <c r="Z14">
        <v>39.47</v>
      </c>
      <c r="AA14">
        <v>81.739999999999995</v>
      </c>
      <c r="AB14">
        <v>56.39</v>
      </c>
      <c r="AC14">
        <v>41.92</v>
      </c>
      <c r="AD14">
        <v>605.16</v>
      </c>
      <c r="AE14">
        <v>668.73</v>
      </c>
      <c r="AF14">
        <v>43.33</v>
      </c>
      <c r="AG14">
        <v>55.95</v>
      </c>
      <c r="AH14">
        <v>46.26</v>
      </c>
      <c r="AI14">
        <v>51.19</v>
      </c>
    </row>
    <row r="15" spans="1:35" x14ac:dyDescent="0.45">
      <c r="A15" s="2">
        <v>45982</v>
      </c>
      <c r="B15">
        <v>33.06</v>
      </c>
      <c r="C15">
        <v>36.340000000000003</v>
      </c>
      <c r="D15">
        <v>18.37</v>
      </c>
      <c r="E15">
        <v>25.06</v>
      </c>
      <c r="F15">
        <v>33.04</v>
      </c>
      <c r="G15">
        <v>59.64</v>
      </c>
      <c r="H15">
        <v>26.29</v>
      </c>
      <c r="I15">
        <v>61.8</v>
      </c>
      <c r="J15">
        <v>66.040000000000006</v>
      </c>
      <c r="K15">
        <v>89.22</v>
      </c>
      <c r="L15">
        <v>32.03</v>
      </c>
      <c r="M15">
        <v>64.86</v>
      </c>
      <c r="N15">
        <v>64.64</v>
      </c>
      <c r="O15">
        <v>54.21</v>
      </c>
      <c r="P15">
        <v>60.92</v>
      </c>
      <c r="Q15">
        <v>18.68</v>
      </c>
      <c r="R15">
        <v>1281.81</v>
      </c>
      <c r="S15">
        <v>33.78</v>
      </c>
      <c r="T15">
        <v>18.68</v>
      </c>
      <c r="U15">
        <v>17.72</v>
      </c>
      <c r="V15">
        <v>38.28</v>
      </c>
      <c r="W15">
        <v>44.33</v>
      </c>
      <c r="X15">
        <v>25.33</v>
      </c>
      <c r="Y15">
        <v>50.43</v>
      </c>
      <c r="Z15">
        <v>39.4</v>
      </c>
      <c r="AA15">
        <v>81.19</v>
      </c>
      <c r="AB15">
        <v>56.69</v>
      </c>
      <c r="AC15">
        <v>42.06</v>
      </c>
      <c r="AD15">
        <v>590.07000000000005</v>
      </c>
      <c r="AE15">
        <v>659.03</v>
      </c>
      <c r="AF15">
        <v>43.69</v>
      </c>
      <c r="AG15">
        <v>55.92</v>
      </c>
      <c r="AH15">
        <v>46.06</v>
      </c>
      <c r="AI15">
        <v>51.47</v>
      </c>
    </row>
    <row r="16" spans="1:35" x14ac:dyDescent="0.45">
      <c r="A16" s="2">
        <v>45981</v>
      </c>
      <c r="B16">
        <v>33.46</v>
      </c>
      <c r="C16">
        <v>36.590000000000003</v>
      </c>
      <c r="D16">
        <v>18.329999999999998</v>
      </c>
      <c r="E16">
        <v>24.37</v>
      </c>
      <c r="F16">
        <v>32.56</v>
      </c>
      <c r="G16">
        <v>59.5</v>
      </c>
      <c r="H16">
        <v>26.05</v>
      </c>
      <c r="I16">
        <v>61.68</v>
      </c>
      <c r="J16">
        <v>66.02</v>
      </c>
      <c r="K16">
        <v>88.53</v>
      </c>
      <c r="L16">
        <v>31.9</v>
      </c>
      <c r="M16">
        <v>64.930000000000007</v>
      </c>
      <c r="N16">
        <v>62.76</v>
      </c>
      <c r="O16">
        <v>54.72</v>
      </c>
      <c r="P16">
        <v>60.88</v>
      </c>
      <c r="Q16">
        <v>18.614999999999998</v>
      </c>
      <c r="R16">
        <v>1272.17</v>
      </c>
      <c r="S16">
        <v>33.58</v>
      </c>
      <c r="T16">
        <v>18.758199999999999</v>
      </c>
      <c r="U16">
        <v>17.45</v>
      </c>
      <c r="V16">
        <v>38.19</v>
      </c>
      <c r="W16">
        <v>43.75</v>
      </c>
      <c r="X16">
        <v>24.95</v>
      </c>
      <c r="Y16">
        <v>49.91</v>
      </c>
      <c r="Z16">
        <v>38.89</v>
      </c>
      <c r="AA16">
        <v>79.489999999999995</v>
      </c>
      <c r="AB16">
        <v>55.69</v>
      </c>
      <c r="AC16">
        <v>41.34</v>
      </c>
      <c r="AD16">
        <v>585.66999999999996</v>
      </c>
      <c r="AE16">
        <v>652.53</v>
      </c>
      <c r="AF16">
        <v>42.99</v>
      </c>
      <c r="AG16">
        <v>55.52</v>
      </c>
      <c r="AH16">
        <v>45.38</v>
      </c>
      <c r="AI16">
        <v>50.81</v>
      </c>
    </row>
    <row r="17" spans="1:35" x14ac:dyDescent="0.45">
      <c r="A17" s="2">
        <v>45980</v>
      </c>
      <c r="B17">
        <v>33.880000000000003</v>
      </c>
      <c r="C17">
        <v>37.11</v>
      </c>
      <c r="D17">
        <v>18.48</v>
      </c>
      <c r="E17">
        <v>24.23</v>
      </c>
      <c r="F17">
        <v>33.29</v>
      </c>
      <c r="G17">
        <v>61.25</v>
      </c>
      <c r="H17">
        <v>26.33</v>
      </c>
      <c r="I17">
        <v>62.5</v>
      </c>
      <c r="J17">
        <v>66.77</v>
      </c>
      <c r="K17">
        <v>90.56</v>
      </c>
      <c r="L17">
        <v>32.49</v>
      </c>
      <c r="M17">
        <v>66.569999999999993</v>
      </c>
      <c r="N17">
        <v>63.34</v>
      </c>
      <c r="O17">
        <v>54.83</v>
      </c>
      <c r="P17">
        <v>61.91</v>
      </c>
      <c r="Q17">
        <v>18.954999999999998</v>
      </c>
      <c r="R17">
        <v>1270.04</v>
      </c>
      <c r="S17">
        <v>33.659999999999997</v>
      </c>
      <c r="T17">
        <v>18.87</v>
      </c>
      <c r="U17">
        <v>17.61</v>
      </c>
      <c r="V17">
        <v>38.43</v>
      </c>
      <c r="W17">
        <v>43.6663</v>
      </c>
      <c r="X17">
        <v>25.3</v>
      </c>
      <c r="Y17">
        <v>50.62</v>
      </c>
      <c r="Z17">
        <v>39.51</v>
      </c>
      <c r="AA17">
        <v>80.680000000000007</v>
      </c>
      <c r="AB17">
        <v>56.36</v>
      </c>
      <c r="AC17">
        <v>41.73</v>
      </c>
      <c r="AD17">
        <v>599.87</v>
      </c>
      <c r="AE17">
        <v>662.63</v>
      </c>
      <c r="AF17">
        <v>43.44</v>
      </c>
      <c r="AG17">
        <v>57.05</v>
      </c>
      <c r="AH17">
        <v>46.17</v>
      </c>
      <c r="AI17">
        <v>51.34</v>
      </c>
    </row>
    <row r="18" spans="1:35" x14ac:dyDescent="0.45">
      <c r="A18" s="2">
        <v>45979</v>
      </c>
      <c r="B18">
        <v>33.93</v>
      </c>
      <c r="C18">
        <v>36.83</v>
      </c>
      <c r="D18">
        <v>18.260000000000002</v>
      </c>
      <c r="E18">
        <v>24.02</v>
      </c>
      <c r="F18">
        <v>32.869999999999997</v>
      </c>
      <c r="G18">
        <v>60.32</v>
      </c>
      <c r="H18">
        <v>26.16</v>
      </c>
      <c r="I18">
        <v>62.67</v>
      </c>
      <c r="J18">
        <v>66.67</v>
      </c>
      <c r="K18">
        <v>91.59</v>
      </c>
      <c r="L18">
        <v>32.71</v>
      </c>
      <c r="M18">
        <v>66.16</v>
      </c>
      <c r="N18">
        <v>63.2</v>
      </c>
      <c r="O18">
        <v>54.61</v>
      </c>
      <c r="P18">
        <v>62.42</v>
      </c>
      <c r="Q18">
        <v>18.815000000000001</v>
      </c>
      <c r="R18">
        <v>1280.07</v>
      </c>
      <c r="S18">
        <v>33.299999999999997</v>
      </c>
      <c r="T18">
        <v>18.850000000000001</v>
      </c>
      <c r="U18">
        <v>17.73</v>
      </c>
      <c r="V18">
        <v>38.79</v>
      </c>
      <c r="W18">
        <v>44.235900000000001</v>
      </c>
      <c r="X18">
        <v>25.4</v>
      </c>
      <c r="Y18">
        <v>50.53</v>
      </c>
      <c r="Z18">
        <v>39.53</v>
      </c>
      <c r="AA18">
        <v>80.78</v>
      </c>
      <c r="AB18">
        <v>56.58</v>
      </c>
      <c r="AC18">
        <v>42.19</v>
      </c>
      <c r="AD18">
        <v>596.30999999999995</v>
      </c>
      <c r="AE18">
        <v>660.08</v>
      </c>
      <c r="AF18">
        <v>43.63</v>
      </c>
      <c r="AG18">
        <v>56.63</v>
      </c>
      <c r="AH18">
        <v>46.49</v>
      </c>
      <c r="AI18">
        <v>51.81</v>
      </c>
    </row>
    <row r="19" spans="1:35" x14ac:dyDescent="0.45">
      <c r="A19" s="2">
        <v>45978</v>
      </c>
      <c r="B19">
        <v>33.89</v>
      </c>
      <c r="C19">
        <v>37.31</v>
      </c>
      <c r="D19">
        <v>18.38</v>
      </c>
      <c r="E19">
        <v>23.95</v>
      </c>
      <c r="F19">
        <v>33.39</v>
      </c>
      <c r="G19">
        <v>61.163600000000002</v>
      </c>
      <c r="H19">
        <v>26.23</v>
      </c>
      <c r="I19">
        <v>63.16</v>
      </c>
      <c r="J19">
        <v>65.87</v>
      </c>
      <c r="K19">
        <v>93.02</v>
      </c>
      <c r="L19">
        <v>32.78</v>
      </c>
      <c r="M19">
        <v>66.13</v>
      </c>
      <c r="N19">
        <v>64.5</v>
      </c>
      <c r="O19">
        <v>54.65</v>
      </c>
      <c r="P19">
        <v>62.78</v>
      </c>
      <c r="Q19">
        <v>18.89</v>
      </c>
      <c r="R19">
        <v>1269.26</v>
      </c>
      <c r="S19">
        <v>33.08</v>
      </c>
      <c r="T19">
        <v>18.93</v>
      </c>
      <c r="U19">
        <v>17.66</v>
      </c>
      <c r="V19">
        <v>38.450000000000003</v>
      </c>
      <c r="W19">
        <v>44.493200000000002</v>
      </c>
      <c r="X19">
        <v>25.64</v>
      </c>
      <c r="Y19">
        <v>50.34</v>
      </c>
      <c r="Z19">
        <v>40.01</v>
      </c>
      <c r="AA19">
        <v>82.47</v>
      </c>
      <c r="AB19">
        <v>56.81</v>
      </c>
      <c r="AC19">
        <v>42.44</v>
      </c>
      <c r="AD19">
        <v>603.66</v>
      </c>
      <c r="AE19">
        <v>665.67</v>
      </c>
      <c r="AF19">
        <v>44.2</v>
      </c>
      <c r="AG19">
        <v>57.36</v>
      </c>
      <c r="AH19">
        <v>47.22</v>
      </c>
      <c r="AI19">
        <v>52.56</v>
      </c>
    </row>
    <row r="20" spans="1:35" x14ac:dyDescent="0.45">
      <c r="A20" s="2">
        <v>45975</v>
      </c>
      <c r="B20">
        <v>34.19</v>
      </c>
      <c r="C20">
        <v>36.369999999999997</v>
      </c>
      <c r="D20">
        <v>18.38</v>
      </c>
      <c r="E20">
        <v>23.28</v>
      </c>
      <c r="F20">
        <v>34.159999999999997</v>
      </c>
      <c r="G20">
        <v>62.34</v>
      </c>
      <c r="H20">
        <v>26.45</v>
      </c>
      <c r="I20">
        <v>65.17</v>
      </c>
      <c r="J20">
        <v>67.22</v>
      </c>
      <c r="K20">
        <v>94.13</v>
      </c>
      <c r="L20">
        <v>33.18</v>
      </c>
      <c r="M20">
        <v>66.989999999999995</v>
      </c>
      <c r="N20">
        <v>65</v>
      </c>
      <c r="O20">
        <v>54.62</v>
      </c>
      <c r="P20">
        <v>63.5</v>
      </c>
      <c r="Q20">
        <v>19.285</v>
      </c>
      <c r="R20">
        <v>1287.44</v>
      </c>
      <c r="S20">
        <v>32.85</v>
      </c>
      <c r="T20">
        <v>19.170000000000002</v>
      </c>
      <c r="U20">
        <v>17.59</v>
      </c>
      <c r="V20">
        <v>38.83</v>
      </c>
      <c r="W20">
        <v>44.844999999999999</v>
      </c>
      <c r="X20">
        <v>25.95</v>
      </c>
      <c r="Y20">
        <v>50.89</v>
      </c>
      <c r="Z20">
        <v>40.86</v>
      </c>
      <c r="AA20">
        <v>83.98</v>
      </c>
      <c r="AB20">
        <v>57.55</v>
      </c>
      <c r="AC20">
        <v>42.77</v>
      </c>
      <c r="AD20">
        <v>608.86</v>
      </c>
      <c r="AE20">
        <v>671.93</v>
      </c>
      <c r="AF20">
        <v>44.84</v>
      </c>
      <c r="AG20">
        <v>58.13</v>
      </c>
      <c r="AH20">
        <v>47.65</v>
      </c>
      <c r="AI20">
        <v>53.2</v>
      </c>
    </row>
    <row r="21" spans="1:35" x14ac:dyDescent="0.45">
      <c r="A21" s="2">
        <v>45974</v>
      </c>
      <c r="B21">
        <v>34.64</v>
      </c>
      <c r="C21">
        <v>36.71</v>
      </c>
      <c r="D21">
        <v>18.28</v>
      </c>
      <c r="E21">
        <v>23.69</v>
      </c>
      <c r="F21">
        <v>34.130000000000003</v>
      </c>
      <c r="G21">
        <v>62.52</v>
      </c>
      <c r="H21">
        <v>26.5</v>
      </c>
      <c r="I21">
        <v>63.99</v>
      </c>
      <c r="J21">
        <v>67.38</v>
      </c>
      <c r="K21">
        <v>94.07</v>
      </c>
      <c r="L21">
        <v>32.979999999999997</v>
      </c>
      <c r="M21">
        <v>67.83</v>
      </c>
      <c r="N21">
        <v>64.67</v>
      </c>
      <c r="O21">
        <v>54.2</v>
      </c>
      <c r="P21">
        <v>64.459999999999994</v>
      </c>
      <c r="Q21">
        <v>19.25</v>
      </c>
      <c r="R21">
        <v>1284.81</v>
      </c>
      <c r="S21">
        <v>32.78</v>
      </c>
      <c r="T21">
        <v>19.190000000000001</v>
      </c>
      <c r="U21">
        <v>17.420000000000002</v>
      </c>
      <c r="V21">
        <v>38.729999999999997</v>
      </c>
      <c r="W21">
        <v>44.943399999999997</v>
      </c>
      <c r="X21">
        <v>25.94</v>
      </c>
      <c r="Y21">
        <v>50.64</v>
      </c>
      <c r="Z21">
        <v>41.25</v>
      </c>
      <c r="AA21">
        <v>83.01</v>
      </c>
      <c r="AB21">
        <v>57.85</v>
      </c>
      <c r="AC21">
        <v>43.04</v>
      </c>
      <c r="AD21">
        <v>608.4</v>
      </c>
      <c r="AE21">
        <v>672.04</v>
      </c>
      <c r="AF21">
        <v>45.04</v>
      </c>
      <c r="AG21">
        <v>58.61</v>
      </c>
      <c r="AH21">
        <v>48.27</v>
      </c>
      <c r="AI21">
        <v>53.98</v>
      </c>
    </row>
    <row r="22" spans="1:35" x14ac:dyDescent="0.45">
      <c r="A22" s="2">
        <v>45973</v>
      </c>
      <c r="B22">
        <v>34.43</v>
      </c>
      <c r="C22">
        <v>37.26</v>
      </c>
      <c r="D22">
        <v>18.440000000000001</v>
      </c>
      <c r="E22">
        <v>23.6</v>
      </c>
      <c r="F22">
        <v>34.42</v>
      </c>
      <c r="G22">
        <v>64.38</v>
      </c>
      <c r="H22">
        <v>26.53</v>
      </c>
      <c r="I22">
        <v>65.41</v>
      </c>
      <c r="J22">
        <v>68.16</v>
      </c>
      <c r="K22">
        <v>95.92</v>
      </c>
      <c r="L22">
        <v>33.22</v>
      </c>
      <c r="M22">
        <v>68.08</v>
      </c>
      <c r="N22">
        <v>64.319999999999993</v>
      </c>
      <c r="O22">
        <v>54.56</v>
      </c>
      <c r="P22">
        <v>64.58</v>
      </c>
      <c r="Q22">
        <v>19.555</v>
      </c>
      <c r="R22">
        <v>1300.47</v>
      </c>
      <c r="S22">
        <v>33.03</v>
      </c>
      <c r="T22">
        <v>19.48</v>
      </c>
      <c r="U22">
        <v>17.53</v>
      </c>
      <c r="V22">
        <v>39.17</v>
      </c>
      <c r="W22">
        <v>45.657200000000003</v>
      </c>
      <c r="X22">
        <v>26.58</v>
      </c>
      <c r="Y22">
        <v>51.75</v>
      </c>
      <c r="Z22">
        <v>41.68</v>
      </c>
      <c r="AA22">
        <v>84.34</v>
      </c>
      <c r="AB22">
        <v>58.06</v>
      </c>
      <c r="AC22">
        <v>43.51</v>
      </c>
      <c r="AD22">
        <v>621.08000000000004</v>
      </c>
      <c r="AE22">
        <v>683.38</v>
      </c>
      <c r="AF22">
        <v>45.14</v>
      </c>
      <c r="AG22">
        <v>59.03</v>
      </c>
      <c r="AH22">
        <v>48.82</v>
      </c>
      <c r="AI22">
        <v>54.12</v>
      </c>
    </row>
    <row r="23" spans="1:35" x14ac:dyDescent="0.45">
      <c r="A23" s="2">
        <v>45972</v>
      </c>
      <c r="B23">
        <v>34.47</v>
      </c>
      <c r="C23">
        <v>36.5</v>
      </c>
      <c r="D23">
        <v>18.45</v>
      </c>
      <c r="E23">
        <v>23.41</v>
      </c>
      <c r="F23">
        <v>34.56</v>
      </c>
      <c r="G23">
        <v>63.04</v>
      </c>
      <c r="H23">
        <v>26.78</v>
      </c>
      <c r="I23">
        <v>65.39</v>
      </c>
      <c r="J23">
        <v>69.34</v>
      </c>
      <c r="K23">
        <v>95.29</v>
      </c>
      <c r="L23">
        <v>33.49</v>
      </c>
      <c r="M23">
        <v>66.53</v>
      </c>
      <c r="N23">
        <v>63.63</v>
      </c>
      <c r="O23">
        <v>54.74</v>
      </c>
      <c r="P23">
        <v>64.53</v>
      </c>
      <c r="Q23">
        <v>19.6479</v>
      </c>
      <c r="R23">
        <v>1306.26</v>
      </c>
      <c r="S23">
        <v>32.85</v>
      </c>
      <c r="T23">
        <v>19.690000000000001</v>
      </c>
      <c r="U23">
        <v>16.93</v>
      </c>
      <c r="V23">
        <v>39.39</v>
      </c>
      <c r="W23">
        <v>45.674999999999997</v>
      </c>
      <c r="X23">
        <v>26.63</v>
      </c>
      <c r="Y23">
        <v>51.04</v>
      </c>
      <c r="Z23">
        <v>41.23</v>
      </c>
      <c r="AA23">
        <v>83.75</v>
      </c>
      <c r="AB23">
        <v>57.67</v>
      </c>
      <c r="AC23">
        <v>43.65</v>
      </c>
      <c r="AD23">
        <v>621.57000000000005</v>
      </c>
      <c r="AE23">
        <v>683</v>
      </c>
      <c r="AF23">
        <v>44.71</v>
      </c>
      <c r="AG23">
        <v>58.73</v>
      </c>
      <c r="AH23">
        <v>48.48</v>
      </c>
      <c r="AI23">
        <v>53.75</v>
      </c>
    </row>
    <row r="24" spans="1:35" x14ac:dyDescent="0.45">
      <c r="A24" s="2">
        <v>45971</v>
      </c>
      <c r="B24">
        <v>34.770000000000003</v>
      </c>
      <c r="C24">
        <v>36.299999999999997</v>
      </c>
      <c r="D24">
        <v>18.55</v>
      </c>
      <c r="E24">
        <v>23.7</v>
      </c>
      <c r="F24">
        <v>34.44</v>
      </c>
      <c r="G24">
        <v>63.13</v>
      </c>
      <c r="H24">
        <v>26.47</v>
      </c>
      <c r="I24">
        <v>65.75</v>
      </c>
      <c r="J24">
        <v>67.91</v>
      </c>
      <c r="K24">
        <v>95.67</v>
      </c>
      <c r="L24">
        <v>32.72</v>
      </c>
      <c r="M24">
        <v>66.62</v>
      </c>
      <c r="N24">
        <v>63.69</v>
      </c>
      <c r="O24">
        <v>54.15</v>
      </c>
      <c r="P24">
        <v>64.7</v>
      </c>
      <c r="Q24">
        <v>19.48</v>
      </c>
      <c r="R24">
        <v>1302.9100000000001</v>
      </c>
      <c r="S24">
        <v>33.549999999999997</v>
      </c>
      <c r="T24">
        <v>19.53</v>
      </c>
      <c r="U24">
        <v>16.71</v>
      </c>
      <c r="V24">
        <v>39.32</v>
      </c>
      <c r="W24">
        <v>45.684100000000001</v>
      </c>
      <c r="X24">
        <v>26.81</v>
      </c>
      <c r="Y24">
        <v>50.89</v>
      </c>
      <c r="Z24">
        <v>40.96</v>
      </c>
      <c r="AA24">
        <v>83.68</v>
      </c>
      <c r="AB24">
        <v>56.36</v>
      </c>
      <c r="AC24">
        <v>43.44</v>
      </c>
      <c r="AD24">
        <v>623.23</v>
      </c>
      <c r="AE24">
        <v>681.44</v>
      </c>
      <c r="AF24">
        <v>44.19</v>
      </c>
      <c r="AG24">
        <v>58.56</v>
      </c>
      <c r="AH24">
        <v>47.74</v>
      </c>
      <c r="AI24">
        <v>53.15</v>
      </c>
    </row>
    <row r="25" spans="1:35" x14ac:dyDescent="0.45">
      <c r="A25" s="2">
        <v>45968</v>
      </c>
      <c r="B25">
        <v>34.6</v>
      </c>
      <c r="C25">
        <v>35.799999999999997</v>
      </c>
      <c r="D25">
        <v>18.53</v>
      </c>
      <c r="E25">
        <v>23.79</v>
      </c>
      <c r="F25">
        <v>33.840000000000003</v>
      </c>
      <c r="G25">
        <v>61.77</v>
      </c>
      <c r="H25">
        <v>26.23</v>
      </c>
      <c r="I25">
        <v>64.61</v>
      </c>
      <c r="J25">
        <v>67.819999999999993</v>
      </c>
      <c r="K25">
        <v>91.8</v>
      </c>
      <c r="L25">
        <v>32.299999999999997</v>
      </c>
      <c r="M25">
        <v>64.239999999999995</v>
      </c>
      <c r="N25">
        <v>62.35</v>
      </c>
      <c r="O25">
        <v>53.75</v>
      </c>
      <c r="P25">
        <v>63.61</v>
      </c>
      <c r="Q25">
        <v>19.420000000000002</v>
      </c>
      <c r="R25">
        <v>1313.31</v>
      </c>
      <c r="S25">
        <v>33.86</v>
      </c>
      <c r="T25">
        <v>19.43</v>
      </c>
      <c r="U25">
        <v>16.88</v>
      </c>
      <c r="V25">
        <v>39.28</v>
      </c>
      <c r="W25">
        <v>45.580800000000004</v>
      </c>
      <c r="X25">
        <v>26.44</v>
      </c>
      <c r="Y25">
        <v>50.1</v>
      </c>
      <c r="Z25">
        <v>40.479999999999997</v>
      </c>
      <c r="AA25">
        <v>83.29</v>
      </c>
      <c r="AB25">
        <v>55.74</v>
      </c>
      <c r="AC25">
        <v>42.87</v>
      </c>
      <c r="AD25">
        <v>609.74</v>
      </c>
      <c r="AE25">
        <v>670.97</v>
      </c>
      <c r="AF25">
        <v>43.78</v>
      </c>
      <c r="AG25">
        <v>57.74</v>
      </c>
      <c r="AH25">
        <v>47.24</v>
      </c>
      <c r="AI25">
        <v>52.19</v>
      </c>
    </row>
    <row r="26" spans="1:35" x14ac:dyDescent="0.45">
      <c r="A26" s="2">
        <v>45967</v>
      </c>
      <c r="B26">
        <v>34.590000000000003</v>
      </c>
      <c r="C26">
        <v>35.25</v>
      </c>
      <c r="D26">
        <v>18.440000000000001</v>
      </c>
      <c r="E26">
        <v>24.11</v>
      </c>
      <c r="F26">
        <v>33.950000000000003</v>
      </c>
      <c r="G26">
        <v>61.75</v>
      </c>
      <c r="H26">
        <v>26.01</v>
      </c>
      <c r="I26">
        <v>64.94</v>
      </c>
      <c r="J26">
        <v>66.97</v>
      </c>
      <c r="K26">
        <v>93.51</v>
      </c>
      <c r="L26">
        <v>32.04</v>
      </c>
      <c r="M26">
        <v>63.7</v>
      </c>
      <c r="N26">
        <v>62.47</v>
      </c>
      <c r="O26">
        <v>53.62</v>
      </c>
      <c r="P26">
        <v>63.97</v>
      </c>
      <c r="Q26">
        <v>19.46</v>
      </c>
      <c r="R26">
        <v>1295.29</v>
      </c>
      <c r="S26">
        <v>34.25</v>
      </c>
      <c r="T26">
        <v>19.309999999999999</v>
      </c>
      <c r="U26">
        <v>17.32</v>
      </c>
      <c r="V26">
        <v>39.299999999999997</v>
      </c>
      <c r="W26">
        <v>45.333100000000002</v>
      </c>
      <c r="X26">
        <v>26.46</v>
      </c>
      <c r="Y26">
        <v>49.75</v>
      </c>
      <c r="Z26">
        <v>40.39</v>
      </c>
      <c r="AA26">
        <v>82.96</v>
      </c>
      <c r="AB26">
        <v>55.22</v>
      </c>
      <c r="AC26">
        <v>42.62</v>
      </c>
      <c r="AD26">
        <v>611.66999999999996</v>
      </c>
      <c r="AE26">
        <v>670.31</v>
      </c>
      <c r="AF26">
        <v>43.42</v>
      </c>
      <c r="AG26">
        <v>57.96</v>
      </c>
      <c r="AH26">
        <v>46.98</v>
      </c>
      <c r="AI26">
        <v>51.75</v>
      </c>
    </row>
    <row r="27" spans="1:35" x14ac:dyDescent="0.45">
      <c r="A27" s="2">
        <v>45966</v>
      </c>
      <c r="B27">
        <v>34.380000000000003</v>
      </c>
      <c r="C27">
        <v>35.299999999999997</v>
      </c>
      <c r="D27">
        <v>18.54</v>
      </c>
      <c r="E27">
        <v>24.19</v>
      </c>
      <c r="F27">
        <v>33.51</v>
      </c>
      <c r="G27">
        <v>61.39</v>
      </c>
      <c r="H27">
        <v>26.2</v>
      </c>
      <c r="I27">
        <v>66.03</v>
      </c>
      <c r="J27">
        <v>67.180000000000007</v>
      </c>
      <c r="K27">
        <v>96.62</v>
      </c>
      <c r="L27">
        <v>32.1</v>
      </c>
      <c r="M27">
        <v>63.4</v>
      </c>
      <c r="N27">
        <v>62.68</v>
      </c>
      <c r="O27">
        <v>54.3</v>
      </c>
      <c r="P27">
        <v>63.36</v>
      </c>
      <c r="Q27">
        <v>19.414999999999999</v>
      </c>
      <c r="R27">
        <v>1298.5999999999999</v>
      </c>
      <c r="S27">
        <v>34.130000000000003</v>
      </c>
      <c r="T27">
        <v>19.350000000000001</v>
      </c>
      <c r="U27">
        <v>17.57</v>
      </c>
      <c r="V27">
        <v>39.35</v>
      </c>
      <c r="W27">
        <v>45.91</v>
      </c>
      <c r="X27">
        <v>26.67</v>
      </c>
      <c r="Y27">
        <v>50.26</v>
      </c>
      <c r="Z27">
        <v>40.729999999999997</v>
      </c>
      <c r="AA27">
        <v>82.8</v>
      </c>
      <c r="AB27">
        <v>55.4</v>
      </c>
      <c r="AC27">
        <v>42.61</v>
      </c>
      <c r="AD27">
        <v>623.28</v>
      </c>
      <c r="AE27">
        <v>677.58</v>
      </c>
      <c r="AF27">
        <v>43.88</v>
      </c>
      <c r="AG27">
        <v>58.26</v>
      </c>
      <c r="AH27">
        <v>47.29</v>
      </c>
      <c r="AI27">
        <v>52</v>
      </c>
    </row>
    <row r="28" spans="1:35" x14ac:dyDescent="0.45">
      <c r="A28" s="2">
        <v>45965</v>
      </c>
      <c r="B28">
        <v>33.97</v>
      </c>
      <c r="C28">
        <v>34.5</v>
      </c>
      <c r="D28">
        <v>18.36</v>
      </c>
      <c r="E28">
        <v>24.38</v>
      </c>
      <c r="F28">
        <v>33.31</v>
      </c>
      <c r="G28">
        <v>60.31</v>
      </c>
      <c r="H28">
        <v>25.98</v>
      </c>
      <c r="I28">
        <v>65.430000000000007</v>
      </c>
      <c r="J28">
        <v>65.650000000000006</v>
      </c>
      <c r="K28">
        <v>95.76</v>
      </c>
      <c r="L28">
        <v>31.18</v>
      </c>
      <c r="M28">
        <v>61.44</v>
      </c>
      <c r="N28">
        <v>62.17</v>
      </c>
      <c r="O28">
        <v>54.02</v>
      </c>
      <c r="P28">
        <v>62.73</v>
      </c>
      <c r="Q28">
        <v>19.434999999999999</v>
      </c>
      <c r="R28">
        <v>1308.8599999999999</v>
      </c>
      <c r="S28">
        <v>33.909999999999997</v>
      </c>
      <c r="T28">
        <v>19.36</v>
      </c>
      <c r="U28">
        <v>17.53</v>
      </c>
      <c r="V28">
        <v>39.68</v>
      </c>
      <c r="W28">
        <v>45.38</v>
      </c>
      <c r="X28">
        <v>26.41</v>
      </c>
      <c r="Y28">
        <v>49.72</v>
      </c>
      <c r="Z28">
        <v>40.340000000000003</v>
      </c>
      <c r="AA28">
        <v>82.83</v>
      </c>
      <c r="AB28">
        <v>55.06</v>
      </c>
      <c r="AC28">
        <v>42.18</v>
      </c>
      <c r="AD28">
        <v>619.25</v>
      </c>
      <c r="AE28">
        <v>675.24</v>
      </c>
      <c r="AF28">
        <v>43.63</v>
      </c>
      <c r="AG28">
        <v>57.82</v>
      </c>
      <c r="AH28">
        <v>46.87</v>
      </c>
      <c r="AI28">
        <v>51.38</v>
      </c>
    </row>
    <row r="29" spans="1:35" x14ac:dyDescent="0.45">
      <c r="A29" s="2">
        <v>45964</v>
      </c>
      <c r="B29">
        <v>34.377099999999999</v>
      </c>
      <c r="C29">
        <v>35.93</v>
      </c>
      <c r="D29">
        <v>18.45</v>
      </c>
      <c r="E29">
        <v>24.15</v>
      </c>
      <c r="F29">
        <v>33.78</v>
      </c>
      <c r="G29">
        <v>62.16</v>
      </c>
      <c r="H29">
        <v>26.06</v>
      </c>
      <c r="I29">
        <v>66.900000000000006</v>
      </c>
      <c r="J29">
        <v>66.23</v>
      </c>
      <c r="K29">
        <v>100.78</v>
      </c>
      <c r="L29">
        <v>31.52</v>
      </c>
      <c r="M29">
        <v>63.76</v>
      </c>
      <c r="N29">
        <v>63.18</v>
      </c>
      <c r="O29">
        <v>54.24</v>
      </c>
      <c r="P29">
        <v>63.55</v>
      </c>
      <c r="Q29">
        <v>19.315000000000001</v>
      </c>
      <c r="R29">
        <v>1309.5</v>
      </c>
      <c r="S29">
        <v>34.450000000000003</v>
      </c>
      <c r="T29">
        <v>19.579999999999998</v>
      </c>
      <c r="U29">
        <v>17.09</v>
      </c>
      <c r="V29">
        <v>40</v>
      </c>
      <c r="W29">
        <v>45.705599999999997</v>
      </c>
      <c r="X29">
        <v>26.84</v>
      </c>
      <c r="Y29">
        <v>50.67</v>
      </c>
      <c r="Z29">
        <v>40.909999999999997</v>
      </c>
      <c r="AA29">
        <v>83.64</v>
      </c>
      <c r="AB29">
        <v>55.12</v>
      </c>
      <c r="AC29">
        <v>42.53</v>
      </c>
      <c r="AD29">
        <v>632.08000000000004</v>
      </c>
      <c r="AE29">
        <v>683.34</v>
      </c>
      <c r="AF29">
        <v>44.07</v>
      </c>
      <c r="AG29">
        <v>58.68</v>
      </c>
      <c r="AH29">
        <v>47.7</v>
      </c>
      <c r="AI29">
        <v>51.79</v>
      </c>
    </row>
    <row r="30" spans="1:35" x14ac:dyDescent="0.45">
      <c r="A30" s="2">
        <v>45961</v>
      </c>
      <c r="B30">
        <v>34.299999999999997</v>
      </c>
      <c r="C30">
        <v>35.32</v>
      </c>
      <c r="D30">
        <v>18.28</v>
      </c>
      <c r="E30">
        <v>24.55</v>
      </c>
      <c r="F30">
        <v>33.71</v>
      </c>
      <c r="G30">
        <v>62.78</v>
      </c>
      <c r="H30">
        <v>25.85</v>
      </c>
      <c r="I30">
        <v>66.650000000000006</v>
      </c>
      <c r="J30">
        <v>66.53</v>
      </c>
      <c r="K30">
        <v>97</v>
      </c>
      <c r="L30">
        <v>31.17</v>
      </c>
      <c r="M30">
        <v>63.77</v>
      </c>
      <c r="N30">
        <v>62.22</v>
      </c>
      <c r="O30">
        <v>53.97</v>
      </c>
      <c r="P30">
        <v>63.57</v>
      </c>
      <c r="Q30">
        <v>19.3</v>
      </c>
      <c r="R30">
        <v>1314.65</v>
      </c>
      <c r="S30">
        <v>34.15</v>
      </c>
      <c r="T30">
        <v>19.68</v>
      </c>
      <c r="U30">
        <v>17.43</v>
      </c>
      <c r="V30">
        <v>40.28</v>
      </c>
      <c r="W30">
        <v>45.89</v>
      </c>
      <c r="X30">
        <v>26.77</v>
      </c>
      <c r="Y30">
        <v>50.74</v>
      </c>
      <c r="Z30">
        <v>40.729999999999997</v>
      </c>
      <c r="AA30">
        <v>83.45</v>
      </c>
      <c r="AB30">
        <v>55.36</v>
      </c>
      <c r="AC30">
        <v>42.67</v>
      </c>
      <c r="AD30">
        <v>629.07000000000005</v>
      </c>
      <c r="AE30">
        <v>682.06</v>
      </c>
      <c r="AF30">
        <v>44.28</v>
      </c>
      <c r="AG30">
        <v>58.8</v>
      </c>
      <c r="AH30">
        <v>47.99</v>
      </c>
      <c r="AI30">
        <v>51.81</v>
      </c>
    </row>
    <row r="31" spans="1:35" x14ac:dyDescent="0.45">
      <c r="A31" s="2">
        <v>45960</v>
      </c>
      <c r="B31">
        <v>34.9</v>
      </c>
      <c r="C31">
        <v>35.340000000000003</v>
      </c>
      <c r="D31">
        <v>18.27</v>
      </c>
      <c r="E31">
        <v>24.4</v>
      </c>
      <c r="F31">
        <v>34.22</v>
      </c>
      <c r="G31">
        <v>63.11</v>
      </c>
      <c r="H31">
        <v>25.88</v>
      </c>
      <c r="I31">
        <v>66.540000000000006</v>
      </c>
      <c r="J31">
        <v>66.73</v>
      </c>
      <c r="K31">
        <v>95.26</v>
      </c>
      <c r="L31">
        <v>31.05</v>
      </c>
      <c r="M31">
        <v>64.37</v>
      </c>
      <c r="N31">
        <v>62.69</v>
      </c>
      <c r="O31">
        <v>54.27</v>
      </c>
      <c r="P31">
        <v>64.38</v>
      </c>
      <c r="Q31">
        <v>19.289100000000001</v>
      </c>
      <c r="R31">
        <v>1315.64</v>
      </c>
      <c r="S31">
        <v>33.64</v>
      </c>
      <c r="T31">
        <v>20.149999999999999</v>
      </c>
      <c r="U31">
        <v>17.71</v>
      </c>
      <c r="V31">
        <v>40.229999999999997</v>
      </c>
      <c r="W31">
        <v>45.755000000000003</v>
      </c>
      <c r="X31">
        <v>26.89</v>
      </c>
      <c r="Y31">
        <v>50.67</v>
      </c>
      <c r="Z31">
        <v>41</v>
      </c>
      <c r="AA31">
        <v>83.21</v>
      </c>
      <c r="AB31">
        <v>55.6</v>
      </c>
      <c r="AC31">
        <v>42.75</v>
      </c>
      <c r="AD31">
        <v>626.04999999999995</v>
      </c>
      <c r="AE31">
        <v>679.83</v>
      </c>
      <c r="AF31">
        <v>44.44</v>
      </c>
      <c r="AG31">
        <v>59.48</v>
      </c>
      <c r="AH31">
        <v>48.49</v>
      </c>
      <c r="AI31">
        <v>51.82</v>
      </c>
    </row>
    <row r="32" spans="1:35" x14ac:dyDescent="0.45">
      <c r="A32" s="2">
        <v>45959</v>
      </c>
      <c r="B32">
        <v>35.270000000000003</v>
      </c>
      <c r="C32">
        <v>34.97</v>
      </c>
      <c r="D32">
        <v>18.32</v>
      </c>
      <c r="E32">
        <v>24.74</v>
      </c>
      <c r="F32">
        <v>34.53</v>
      </c>
      <c r="G32">
        <v>63.12</v>
      </c>
      <c r="H32">
        <v>25.91</v>
      </c>
      <c r="I32">
        <v>67.13</v>
      </c>
      <c r="J32">
        <v>67.430000000000007</v>
      </c>
      <c r="K32">
        <v>96.9</v>
      </c>
      <c r="L32">
        <v>31.18</v>
      </c>
      <c r="M32">
        <v>64.75</v>
      </c>
      <c r="N32">
        <v>63.76</v>
      </c>
      <c r="O32">
        <v>54.61</v>
      </c>
      <c r="P32">
        <v>65.489999999999995</v>
      </c>
      <c r="Q32">
        <v>19.25</v>
      </c>
      <c r="R32">
        <v>1314.28</v>
      </c>
      <c r="S32">
        <v>33.909999999999997</v>
      </c>
      <c r="T32">
        <v>20</v>
      </c>
      <c r="U32">
        <v>18.149999999999999</v>
      </c>
      <c r="V32">
        <v>41.03</v>
      </c>
      <c r="W32">
        <v>45.674999999999997</v>
      </c>
      <c r="X32">
        <v>27</v>
      </c>
      <c r="Y32">
        <v>50.75</v>
      </c>
      <c r="Z32">
        <v>41.27</v>
      </c>
      <c r="AA32">
        <v>83.23</v>
      </c>
      <c r="AB32">
        <v>55.66</v>
      </c>
      <c r="AC32">
        <v>42.83</v>
      </c>
      <c r="AD32">
        <v>635.77</v>
      </c>
      <c r="AE32">
        <v>687.39</v>
      </c>
      <c r="AF32">
        <v>44.86</v>
      </c>
      <c r="AG32">
        <v>59.366</v>
      </c>
      <c r="AH32">
        <v>48.74</v>
      </c>
      <c r="AI32">
        <v>52.11</v>
      </c>
    </row>
    <row r="33" spans="1:35" x14ac:dyDescent="0.45">
      <c r="A33" s="2">
        <v>45958</v>
      </c>
      <c r="B33">
        <v>34.950000000000003</v>
      </c>
      <c r="C33">
        <v>34.630000000000003</v>
      </c>
      <c r="D33">
        <v>18.05</v>
      </c>
      <c r="E33">
        <v>24.44</v>
      </c>
      <c r="F33">
        <v>34.85</v>
      </c>
      <c r="G33">
        <v>62.53</v>
      </c>
      <c r="H33">
        <v>26.01</v>
      </c>
      <c r="I33">
        <v>67.09</v>
      </c>
      <c r="J33">
        <v>67.099999999999994</v>
      </c>
      <c r="K33">
        <v>94.45</v>
      </c>
      <c r="L33">
        <v>30.92</v>
      </c>
      <c r="M33">
        <v>65.23</v>
      </c>
      <c r="N33">
        <v>62.89</v>
      </c>
      <c r="O33">
        <v>54.54</v>
      </c>
      <c r="P33">
        <v>65.12</v>
      </c>
      <c r="Q33">
        <v>19.195</v>
      </c>
      <c r="R33">
        <v>1323.52</v>
      </c>
      <c r="S33">
        <v>33.979999999999997</v>
      </c>
      <c r="T33">
        <v>20.010000000000002</v>
      </c>
      <c r="U33">
        <v>18.18</v>
      </c>
      <c r="V33">
        <v>40.89</v>
      </c>
      <c r="W33">
        <v>45.844999999999999</v>
      </c>
      <c r="X33">
        <v>27.52</v>
      </c>
      <c r="Y33">
        <v>51.41</v>
      </c>
      <c r="Z33">
        <v>41.72</v>
      </c>
      <c r="AA33">
        <v>83.93</v>
      </c>
      <c r="AB33">
        <v>56.17</v>
      </c>
      <c r="AC33">
        <v>42.92</v>
      </c>
      <c r="AD33">
        <v>632.91999999999996</v>
      </c>
      <c r="AE33">
        <v>687.06</v>
      </c>
      <c r="AF33">
        <v>45.14</v>
      </c>
      <c r="AG33">
        <v>59.01</v>
      </c>
      <c r="AH33">
        <v>49.07</v>
      </c>
      <c r="AI33">
        <v>52.18</v>
      </c>
    </row>
    <row r="34" spans="1:35" x14ac:dyDescent="0.45">
      <c r="A34" s="2">
        <v>45957</v>
      </c>
      <c r="B34">
        <v>34.950000000000003</v>
      </c>
      <c r="C34">
        <v>34.590000000000003</v>
      </c>
      <c r="D34">
        <v>18.09</v>
      </c>
      <c r="E34">
        <v>24.4</v>
      </c>
      <c r="F34">
        <v>34.200000000000003</v>
      </c>
      <c r="G34">
        <v>61.55</v>
      </c>
      <c r="H34">
        <v>25.96</v>
      </c>
      <c r="I34">
        <v>66.98</v>
      </c>
      <c r="J34">
        <v>66.33</v>
      </c>
      <c r="K34">
        <v>94.31</v>
      </c>
      <c r="L34">
        <v>30.77</v>
      </c>
      <c r="M34">
        <v>64.2</v>
      </c>
      <c r="N34">
        <v>63.03</v>
      </c>
      <c r="O34">
        <v>54.72</v>
      </c>
      <c r="P34">
        <v>65.59</v>
      </c>
      <c r="Q34">
        <v>19.195</v>
      </c>
      <c r="R34">
        <v>1313.91</v>
      </c>
      <c r="S34">
        <v>33.89</v>
      </c>
      <c r="T34">
        <v>19.97</v>
      </c>
      <c r="U34">
        <v>17.739999999999998</v>
      </c>
      <c r="V34">
        <v>40.61</v>
      </c>
      <c r="W34">
        <v>45.99</v>
      </c>
      <c r="X34">
        <v>27.37</v>
      </c>
      <c r="Y34">
        <v>50.79</v>
      </c>
      <c r="Z34">
        <v>41.78</v>
      </c>
      <c r="AA34">
        <v>83.53</v>
      </c>
      <c r="AB34">
        <v>56.94</v>
      </c>
      <c r="AC34">
        <v>42.98</v>
      </c>
      <c r="AD34">
        <v>628.09</v>
      </c>
      <c r="AE34">
        <v>685.24</v>
      </c>
      <c r="AF34">
        <v>45.33</v>
      </c>
      <c r="AG34">
        <v>59.564999999999998</v>
      </c>
      <c r="AH34">
        <v>49.23</v>
      </c>
      <c r="AI34">
        <v>51.93</v>
      </c>
    </row>
    <row r="35" spans="1:35" x14ac:dyDescent="0.45">
      <c r="A35" s="2">
        <v>45954</v>
      </c>
      <c r="B35">
        <v>34.479999999999997</v>
      </c>
      <c r="C35">
        <v>34.369999999999997</v>
      </c>
      <c r="D35">
        <v>18.3</v>
      </c>
      <c r="E35">
        <v>24.7</v>
      </c>
      <c r="F35">
        <v>33.909999999999997</v>
      </c>
      <c r="G35">
        <v>61.62</v>
      </c>
      <c r="H35">
        <v>25.69</v>
      </c>
      <c r="I35">
        <v>66.48</v>
      </c>
      <c r="J35">
        <v>65.37</v>
      </c>
      <c r="K35">
        <v>92.05</v>
      </c>
      <c r="L35">
        <v>30.48</v>
      </c>
      <c r="M35">
        <v>65.180000000000007</v>
      </c>
      <c r="N35">
        <v>63.27</v>
      </c>
      <c r="O35">
        <v>54.51</v>
      </c>
      <c r="P35">
        <v>64.510000000000005</v>
      </c>
      <c r="Q35">
        <v>19.29</v>
      </c>
      <c r="R35">
        <v>1302.3499999999999</v>
      </c>
      <c r="S35">
        <v>34.04</v>
      </c>
      <c r="T35">
        <v>19.98</v>
      </c>
      <c r="U35">
        <v>18.21</v>
      </c>
      <c r="V35">
        <v>40.729999999999997</v>
      </c>
      <c r="W35">
        <v>45.615000000000002</v>
      </c>
      <c r="X35">
        <v>27.18</v>
      </c>
      <c r="Y35">
        <v>50.84</v>
      </c>
      <c r="Z35">
        <v>41.59</v>
      </c>
      <c r="AA35">
        <v>82.5</v>
      </c>
      <c r="AB35">
        <v>57.12</v>
      </c>
      <c r="AC35">
        <v>42.78</v>
      </c>
      <c r="AD35">
        <v>617.1</v>
      </c>
      <c r="AE35">
        <v>677.25</v>
      </c>
      <c r="AF35">
        <v>45.11</v>
      </c>
      <c r="AG35">
        <v>58.91</v>
      </c>
      <c r="AH35">
        <v>48.86</v>
      </c>
      <c r="AI35">
        <v>51.27</v>
      </c>
    </row>
    <row r="36" spans="1:35" x14ac:dyDescent="0.45">
      <c r="A36" s="2">
        <v>45953</v>
      </c>
      <c r="B36">
        <v>34.06</v>
      </c>
      <c r="C36">
        <v>34.200000000000003</v>
      </c>
      <c r="D36">
        <v>18.3</v>
      </c>
      <c r="E36">
        <v>24.99</v>
      </c>
      <c r="F36">
        <v>34.17</v>
      </c>
      <c r="G36">
        <v>61.61</v>
      </c>
      <c r="H36">
        <v>25.65</v>
      </c>
      <c r="I36">
        <v>65.709999999999994</v>
      </c>
      <c r="J36">
        <v>66.02</v>
      </c>
      <c r="K36">
        <v>90.07</v>
      </c>
      <c r="L36">
        <v>30.47</v>
      </c>
      <c r="M36">
        <v>64.930000000000007</v>
      </c>
      <c r="N36">
        <v>64.06</v>
      </c>
      <c r="O36">
        <v>54.76</v>
      </c>
      <c r="P36">
        <v>64.11</v>
      </c>
      <c r="Q36">
        <v>19.260000000000002</v>
      </c>
      <c r="R36">
        <v>1290.72</v>
      </c>
      <c r="S36">
        <v>33.11</v>
      </c>
      <c r="T36">
        <v>19.920000000000002</v>
      </c>
      <c r="U36">
        <v>18.29</v>
      </c>
      <c r="V36">
        <v>40.67</v>
      </c>
      <c r="W36">
        <v>45.52</v>
      </c>
      <c r="X36">
        <v>27.19</v>
      </c>
      <c r="Y36">
        <v>50.58</v>
      </c>
      <c r="Z36">
        <v>41.55</v>
      </c>
      <c r="AA36">
        <v>82.22</v>
      </c>
      <c r="AB36">
        <v>57.17</v>
      </c>
      <c r="AC36">
        <v>42.6</v>
      </c>
      <c r="AD36">
        <v>610.58000000000004</v>
      </c>
      <c r="AE36">
        <v>671.76</v>
      </c>
      <c r="AF36">
        <v>45.27</v>
      </c>
      <c r="AG36">
        <v>58.87</v>
      </c>
      <c r="AH36">
        <v>48.65</v>
      </c>
      <c r="AI36">
        <v>51.17</v>
      </c>
    </row>
    <row r="37" spans="1:35" x14ac:dyDescent="0.45">
      <c r="A37" s="2">
        <v>45952</v>
      </c>
      <c r="B37">
        <v>33.86</v>
      </c>
      <c r="C37">
        <v>33.47</v>
      </c>
      <c r="D37">
        <v>17.89</v>
      </c>
      <c r="E37">
        <v>24.82</v>
      </c>
      <c r="F37">
        <v>33.83</v>
      </c>
      <c r="G37">
        <v>60.71</v>
      </c>
      <c r="H37">
        <v>25.47</v>
      </c>
      <c r="I37">
        <v>65.03</v>
      </c>
      <c r="J37">
        <v>65.510000000000005</v>
      </c>
      <c r="K37">
        <v>89.45</v>
      </c>
      <c r="L37">
        <v>30.03</v>
      </c>
      <c r="M37">
        <v>63.58</v>
      </c>
      <c r="N37">
        <v>63.56</v>
      </c>
      <c r="O37">
        <v>55.29</v>
      </c>
      <c r="P37">
        <v>63.03</v>
      </c>
      <c r="Q37">
        <v>19.14</v>
      </c>
      <c r="R37">
        <v>1284.47</v>
      </c>
      <c r="S37">
        <v>32.96</v>
      </c>
      <c r="T37">
        <v>19.690000000000001</v>
      </c>
      <c r="U37">
        <v>18.170000000000002</v>
      </c>
      <c r="V37">
        <v>40.51</v>
      </c>
      <c r="W37">
        <v>45.230899999999998</v>
      </c>
      <c r="X37">
        <v>27.07</v>
      </c>
      <c r="Y37">
        <v>50.2</v>
      </c>
      <c r="Z37">
        <v>41.44</v>
      </c>
      <c r="AA37">
        <v>82.18</v>
      </c>
      <c r="AB37">
        <v>57.14</v>
      </c>
      <c r="AC37">
        <v>42.41</v>
      </c>
      <c r="AD37">
        <v>605.49</v>
      </c>
      <c r="AE37">
        <v>667.8</v>
      </c>
      <c r="AF37">
        <v>44.91</v>
      </c>
      <c r="AG37">
        <v>58.12</v>
      </c>
      <c r="AH37">
        <v>48.36</v>
      </c>
      <c r="AI37">
        <v>50.66</v>
      </c>
    </row>
    <row r="38" spans="1:35" x14ac:dyDescent="0.45">
      <c r="A38" s="2">
        <v>45951</v>
      </c>
      <c r="B38">
        <v>33.880000000000003</v>
      </c>
      <c r="C38">
        <v>33.5</v>
      </c>
      <c r="D38">
        <v>18.170000000000002</v>
      </c>
      <c r="E38">
        <v>25.11</v>
      </c>
      <c r="F38">
        <v>33.1</v>
      </c>
      <c r="G38">
        <v>61.35</v>
      </c>
      <c r="H38">
        <v>25.74</v>
      </c>
      <c r="I38">
        <v>65.78</v>
      </c>
      <c r="J38">
        <v>65.069999999999993</v>
      </c>
      <c r="K38">
        <v>88.64</v>
      </c>
      <c r="L38">
        <v>29.94</v>
      </c>
      <c r="M38">
        <v>63.27</v>
      </c>
      <c r="N38">
        <v>63.28</v>
      </c>
      <c r="O38">
        <v>54.48</v>
      </c>
      <c r="P38">
        <v>63.44</v>
      </c>
      <c r="Q38">
        <v>19.09</v>
      </c>
      <c r="R38">
        <v>1274.6099999999999</v>
      </c>
      <c r="S38">
        <v>32.72</v>
      </c>
      <c r="T38">
        <v>19.579999999999998</v>
      </c>
      <c r="U38">
        <v>18.045000000000002</v>
      </c>
      <c r="V38">
        <v>40.47</v>
      </c>
      <c r="W38">
        <v>45.325000000000003</v>
      </c>
      <c r="X38">
        <v>27.11</v>
      </c>
      <c r="Y38">
        <v>49.99</v>
      </c>
      <c r="Z38">
        <v>41.69</v>
      </c>
      <c r="AA38">
        <v>82.57</v>
      </c>
      <c r="AB38">
        <v>57.11</v>
      </c>
      <c r="AC38">
        <v>41.96</v>
      </c>
      <c r="AD38">
        <v>611.38</v>
      </c>
      <c r="AE38">
        <v>671.29</v>
      </c>
      <c r="AF38">
        <v>44.98</v>
      </c>
      <c r="AG38">
        <v>58.35</v>
      </c>
      <c r="AH38">
        <v>48.54</v>
      </c>
      <c r="AI38">
        <v>51.1</v>
      </c>
    </row>
    <row r="39" spans="1:35" x14ac:dyDescent="0.45">
      <c r="A39" s="2">
        <v>45950</v>
      </c>
      <c r="B39">
        <v>33.64</v>
      </c>
      <c r="C39">
        <v>33.85</v>
      </c>
      <c r="D39">
        <v>17.82</v>
      </c>
      <c r="E39">
        <v>25.33</v>
      </c>
      <c r="F39">
        <v>33.49</v>
      </c>
      <c r="G39">
        <v>64</v>
      </c>
      <c r="H39">
        <v>25.82</v>
      </c>
      <c r="I39">
        <v>66.17</v>
      </c>
      <c r="J39">
        <v>65.94</v>
      </c>
      <c r="K39">
        <v>90.43</v>
      </c>
      <c r="L39">
        <v>30.22</v>
      </c>
      <c r="M39">
        <v>66.209999999999994</v>
      </c>
      <c r="N39">
        <v>62.99</v>
      </c>
      <c r="O39">
        <v>54.74</v>
      </c>
      <c r="P39">
        <v>64.12</v>
      </c>
      <c r="Q39">
        <v>19.135000000000002</v>
      </c>
      <c r="R39">
        <v>1291.46</v>
      </c>
      <c r="S39">
        <v>32.76</v>
      </c>
      <c r="T39">
        <v>19.57</v>
      </c>
      <c r="U39">
        <v>18.2</v>
      </c>
      <c r="V39">
        <v>40.89</v>
      </c>
      <c r="W39">
        <v>45.56</v>
      </c>
      <c r="X39">
        <v>27.26</v>
      </c>
      <c r="Y39">
        <v>50.72</v>
      </c>
      <c r="Z39">
        <v>41.88</v>
      </c>
      <c r="AA39">
        <v>83.54</v>
      </c>
      <c r="AB39">
        <v>57.68</v>
      </c>
      <c r="AC39">
        <v>42.16</v>
      </c>
      <c r="AD39">
        <v>611.54</v>
      </c>
      <c r="AE39">
        <v>671.3</v>
      </c>
      <c r="AF39">
        <v>45.2</v>
      </c>
      <c r="AG39">
        <v>58.85</v>
      </c>
      <c r="AH39">
        <v>48.09</v>
      </c>
      <c r="AI39">
        <v>51.24</v>
      </c>
    </row>
    <row r="40" spans="1:35" x14ac:dyDescent="0.45">
      <c r="A40" s="2">
        <v>45947</v>
      </c>
      <c r="B40">
        <v>33.61</v>
      </c>
      <c r="C40">
        <v>33.36</v>
      </c>
      <c r="D40">
        <v>17.3</v>
      </c>
      <c r="E40">
        <v>25.41</v>
      </c>
      <c r="F40">
        <v>32.92</v>
      </c>
      <c r="G40">
        <v>62.97</v>
      </c>
      <c r="H40">
        <v>25.7</v>
      </c>
      <c r="I40">
        <v>65.09</v>
      </c>
      <c r="J40">
        <v>66.13</v>
      </c>
      <c r="K40">
        <v>88.52</v>
      </c>
      <c r="L40">
        <v>29.71</v>
      </c>
      <c r="M40">
        <v>65.41</v>
      </c>
      <c r="N40">
        <v>62.75</v>
      </c>
      <c r="O40">
        <v>54.45</v>
      </c>
      <c r="P40">
        <v>63.31</v>
      </c>
      <c r="Q40">
        <v>19.085000000000001</v>
      </c>
      <c r="R40">
        <v>1286.69</v>
      </c>
      <c r="S40">
        <v>31.9</v>
      </c>
      <c r="T40">
        <v>19.63</v>
      </c>
      <c r="U40">
        <v>19.2</v>
      </c>
      <c r="V40">
        <v>40.78</v>
      </c>
      <c r="W40">
        <v>45.174999999999997</v>
      </c>
      <c r="X40">
        <v>26.92</v>
      </c>
      <c r="Y40">
        <v>50.28</v>
      </c>
      <c r="Z40">
        <v>41.38</v>
      </c>
      <c r="AA40">
        <v>82</v>
      </c>
      <c r="AB40">
        <v>57.78</v>
      </c>
      <c r="AC40">
        <v>42.07</v>
      </c>
      <c r="AD40">
        <v>603.92999999999995</v>
      </c>
      <c r="AE40">
        <v>664.39</v>
      </c>
      <c r="AF40">
        <v>45.23</v>
      </c>
      <c r="AG40">
        <v>58.65</v>
      </c>
      <c r="AH40">
        <v>47.79</v>
      </c>
      <c r="AI40">
        <v>50.77</v>
      </c>
    </row>
    <row r="41" spans="1:35" x14ac:dyDescent="0.45">
      <c r="A41" s="2">
        <v>45946</v>
      </c>
      <c r="B41">
        <v>34.020000000000003</v>
      </c>
      <c r="C41">
        <v>33.4</v>
      </c>
      <c r="D41">
        <v>17.36</v>
      </c>
      <c r="E41">
        <v>25.42</v>
      </c>
      <c r="F41">
        <v>32.83</v>
      </c>
      <c r="G41">
        <v>64.55</v>
      </c>
      <c r="H41">
        <v>25.58</v>
      </c>
      <c r="I41">
        <v>65.17</v>
      </c>
      <c r="J41">
        <v>67.05</v>
      </c>
      <c r="K41">
        <v>87.88</v>
      </c>
      <c r="L41">
        <v>29.24</v>
      </c>
      <c r="M41">
        <v>67.33</v>
      </c>
      <c r="N41">
        <v>63.87</v>
      </c>
      <c r="O41">
        <v>54.064999999999998</v>
      </c>
      <c r="P41">
        <v>63.4</v>
      </c>
      <c r="Q41">
        <v>19.1356</v>
      </c>
      <c r="R41">
        <v>1266.3800000000001</v>
      </c>
      <c r="S41">
        <v>32.340000000000003</v>
      </c>
      <c r="T41">
        <v>19.47</v>
      </c>
      <c r="U41">
        <v>19.64</v>
      </c>
      <c r="V41">
        <v>40.78</v>
      </c>
      <c r="W41">
        <v>45.42</v>
      </c>
      <c r="X41">
        <v>26.97</v>
      </c>
      <c r="Y41">
        <v>50.62</v>
      </c>
      <c r="Z41">
        <v>41.59</v>
      </c>
      <c r="AA41">
        <v>81.55</v>
      </c>
      <c r="AB41">
        <v>57.47</v>
      </c>
      <c r="AC41">
        <v>41.99</v>
      </c>
      <c r="AD41">
        <v>599.99</v>
      </c>
      <c r="AE41">
        <v>660.64</v>
      </c>
      <c r="AF41">
        <v>45.15</v>
      </c>
      <c r="AG41">
        <v>58.49</v>
      </c>
      <c r="AH41">
        <v>47.8</v>
      </c>
      <c r="AI41">
        <v>50.88</v>
      </c>
    </row>
    <row r="42" spans="1:35" x14ac:dyDescent="0.45">
      <c r="A42" s="2">
        <v>45945</v>
      </c>
      <c r="B42">
        <v>33.99</v>
      </c>
      <c r="C42">
        <v>33.409999999999997</v>
      </c>
      <c r="D42">
        <v>17.21</v>
      </c>
      <c r="E42">
        <v>25.44</v>
      </c>
      <c r="F42">
        <v>32.9</v>
      </c>
      <c r="G42">
        <v>64.099999999999994</v>
      </c>
      <c r="H42">
        <v>25.66</v>
      </c>
      <c r="I42">
        <v>64.989999999999995</v>
      </c>
      <c r="J42">
        <v>65.87</v>
      </c>
      <c r="K42">
        <v>85.17</v>
      </c>
      <c r="L42">
        <v>29.32</v>
      </c>
      <c r="M42">
        <v>66.03</v>
      </c>
      <c r="N42">
        <v>64.67</v>
      </c>
      <c r="O42">
        <v>53.76</v>
      </c>
      <c r="P42">
        <v>63.25</v>
      </c>
      <c r="Q42">
        <v>19.070699999999999</v>
      </c>
      <c r="R42">
        <v>1286.98</v>
      </c>
      <c r="S42">
        <v>32.56</v>
      </c>
      <c r="T42">
        <v>19.47</v>
      </c>
      <c r="U42">
        <v>19.420000000000002</v>
      </c>
      <c r="V42">
        <v>40.89</v>
      </c>
      <c r="W42">
        <v>45.14</v>
      </c>
      <c r="X42">
        <v>26.89</v>
      </c>
      <c r="Y42">
        <v>50.96</v>
      </c>
      <c r="Z42">
        <v>41.53</v>
      </c>
      <c r="AA42">
        <v>81.290000000000006</v>
      </c>
      <c r="AB42">
        <v>56.64</v>
      </c>
      <c r="AC42">
        <v>42.02</v>
      </c>
      <c r="AD42">
        <v>602.22</v>
      </c>
      <c r="AE42">
        <v>665.17</v>
      </c>
      <c r="AF42">
        <v>44.42</v>
      </c>
      <c r="AG42">
        <v>58.27</v>
      </c>
      <c r="AH42">
        <v>47.58</v>
      </c>
      <c r="AI42">
        <v>50.47</v>
      </c>
    </row>
    <row r="43" spans="1:35" x14ac:dyDescent="0.45">
      <c r="A43" s="2">
        <v>45944</v>
      </c>
      <c r="B43">
        <v>33.549999999999997</v>
      </c>
      <c r="C43">
        <v>32.799999999999997</v>
      </c>
      <c r="D43">
        <v>17.22</v>
      </c>
      <c r="E43">
        <v>25.45</v>
      </c>
      <c r="F43">
        <v>32.22</v>
      </c>
      <c r="G43">
        <v>63.3</v>
      </c>
      <c r="H43">
        <v>25.72</v>
      </c>
      <c r="I43">
        <v>63.7</v>
      </c>
      <c r="J43">
        <v>64.84</v>
      </c>
      <c r="K43">
        <v>82.69</v>
      </c>
      <c r="L43">
        <v>29.1</v>
      </c>
      <c r="M43">
        <v>65.31</v>
      </c>
      <c r="N43">
        <v>64.83</v>
      </c>
      <c r="O43">
        <v>52.78</v>
      </c>
      <c r="P43">
        <v>62.58</v>
      </c>
      <c r="Q43">
        <v>19.204999999999998</v>
      </c>
      <c r="R43">
        <v>1313.99</v>
      </c>
      <c r="S43">
        <v>32.35</v>
      </c>
      <c r="T43">
        <v>19.57</v>
      </c>
      <c r="U43">
        <v>19.690000000000001</v>
      </c>
      <c r="V43">
        <v>40.75</v>
      </c>
      <c r="W43">
        <v>45.066499999999998</v>
      </c>
      <c r="X43">
        <v>26.7</v>
      </c>
      <c r="Y43">
        <v>50.53</v>
      </c>
      <c r="Z43">
        <v>41.67</v>
      </c>
      <c r="AA43">
        <v>80.040000000000006</v>
      </c>
      <c r="AB43">
        <v>56.33</v>
      </c>
      <c r="AC43">
        <v>42.06</v>
      </c>
      <c r="AD43">
        <v>598</v>
      </c>
      <c r="AE43">
        <v>662.23</v>
      </c>
      <c r="AF43">
        <v>44.13</v>
      </c>
      <c r="AG43">
        <v>57.76</v>
      </c>
      <c r="AH43">
        <v>47.45</v>
      </c>
      <c r="AI43">
        <v>50.79</v>
      </c>
    </row>
    <row r="44" spans="1:35" x14ac:dyDescent="0.45">
      <c r="A44" s="2">
        <v>45943</v>
      </c>
      <c r="B44">
        <v>33.94</v>
      </c>
      <c r="C44">
        <v>32.119999999999997</v>
      </c>
      <c r="D44">
        <v>17.57</v>
      </c>
      <c r="E44">
        <v>25.3</v>
      </c>
      <c r="F44">
        <v>32.409999999999997</v>
      </c>
      <c r="G44">
        <v>63.41</v>
      </c>
      <c r="H44">
        <v>25.71</v>
      </c>
      <c r="I44">
        <v>64.56</v>
      </c>
      <c r="J44">
        <v>65.47</v>
      </c>
      <c r="K44">
        <v>83.62</v>
      </c>
      <c r="L44">
        <v>29.18</v>
      </c>
      <c r="M44">
        <v>66.010000000000005</v>
      </c>
      <c r="N44">
        <v>65.61</v>
      </c>
      <c r="O44">
        <v>52.97</v>
      </c>
      <c r="P44">
        <v>63.3</v>
      </c>
      <c r="Q44">
        <v>19.254999999999999</v>
      </c>
      <c r="R44">
        <v>1304.92</v>
      </c>
      <c r="S44">
        <v>33.04</v>
      </c>
      <c r="T44">
        <v>19.16</v>
      </c>
      <c r="U44">
        <v>19.59</v>
      </c>
      <c r="V44">
        <v>40.69</v>
      </c>
      <c r="W44">
        <v>45.45</v>
      </c>
      <c r="X44">
        <v>26.66</v>
      </c>
      <c r="Y44">
        <v>50.59</v>
      </c>
      <c r="Z44">
        <v>41.78</v>
      </c>
      <c r="AA44">
        <v>79.290000000000006</v>
      </c>
      <c r="AB44">
        <v>56.08</v>
      </c>
      <c r="AC44">
        <v>41.99</v>
      </c>
      <c r="AD44">
        <v>602.01</v>
      </c>
      <c r="AE44">
        <v>663.04</v>
      </c>
      <c r="AF44">
        <v>43.35</v>
      </c>
      <c r="AG44">
        <v>57.75</v>
      </c>
      <c r="AH44">
        <v>47.32</v>
      </c>
      <c r="AI44">
        <v>50.5</v>
      </c>
    </row>
    <row r="45" spans="1:35" x14ac:dyDescent="0.45">
      <c r="A45" s="2">
        <v>45940</v>
      </c>
      <c r="B45">
        <v>32.92</v>
      </c>
      <c r="C45">
        <v>31.5</v>
      </c>
      <c r="D45">
        <v>17.309999999999999</v>
      </c>
      <c r="E45">
        <v>24.87</v>
      </c>
      <c r="F45">
        <v>31.78</v>
      </c>
      <c r="G45">
        <v>60.91</v>
      </c>
      <c r="H45">
        <v>25.33</v>
      </c>
      <c r="I45">
        <v>61.62</v>
      </c>
      <c r="J45">
        <v>64.39</v>
      </c>
      <c r="K45">
        <v>80.72</v>
      </c>
      <c r="L45">
        <v>28.79</v>
      </c>
      <c r="M45">
        <v>63.32</v>
      </c>
      <c r="N45">
        <v>65.45</v>
      </c>
      <c r="O45">
        <v>52.77</v>
      </c>
      <c r="P45">
        <v>61.39</v>
      </c>
      <c r="Q45">
        <v>19.23</v>
      </c>
      <c r="R45">
        <v>1305.24</v>
      </c>
      <c r="S45">
        <v>32.840000000000003</v>
      </c>
      <c r="T45">
        <v>19</v>
      </c>
      <c r="U45">
        <v>18.98</v>
      </c>
      <c r="V45">
        <v>39.81</v>
      </c>
      <c r="W45">
        <v>45.805</v>
      </c>
      <c r="X45">
        <v>26.44</v>
      </c>
      <c r="Y45">
        <v>49.86</v>
      </c>
      <c r="Z45">
        <v>41.52</v>
      </c>
      <c r="AA45">
        <v>78.36</v>
      </c>
      <c r="AB45">
        <v>56.1</v>
      </c>
      <c r="AC45">
        <v>41.73</v>
      </c>
      <c r="AD45">
        <v>589.5</v>
      </c>
      <c r="AE45">
        <v>653.02</v>
      </c>
      <c r="AF45">
        <v>43.29</v>
      </c>
      <c r="AG45">
        <v>56.64</v>
      </c>
      <c r="AH45">
        <v>46.92</v>
      </c>
      <c r="AI45">
        <v>50.31</v>
      </c>
    </row>
    <row r="46" spans="1:35" x14ac:dyDescent="0.45">
      <c r="A46" s="2">
        <v>45939</v>
      </c>
      <c r="B46">
        <v>34.44</v>
      </c>
      <c r="C46">
        <v>32.520000000000003</v>
      </c>
      <c r="D46">
        <v>17.649999999999999</v>
      </c>
      <c r="E46">
        <v>25.2</v>
      </c>
      <c r="F46">
        <v>32.28</v>
      </c>
      <c r="G46">
        <v>62.65</v>
      </c>
      <c r="H46">
        <v>25.98</v>
      </c>
      <c r="I46">
        <v>64.83</v>
      </c>
      <c r="J46">
        <v>65.42</v>
      </c>
      <c r="K46">
        <v>83.43</v>
      </c>
      <c r="L46">
        <v>29.67</v>
      </c>
      <c r="M46">
        <v>65.06</v>
      </c>
      <c r="N46">
        <v>65.7</v>
      </c>
      <c r="O46">
        <v>52.81</v>
      </c>
      <c r="P46">
        <v>65.12</v>
      </c>
      <c r="Q46">
        <v>19.329999999999998</v>
      </c>
      <c r="R46">
        <v>1285.6400000000001</v>
      </c>
      <c r="S46">
        <v>33.369999999999997</v>
      </c>
      <c r="T46">
        <v>19.25</v>
      </c>
      <c r="U46">
        <v>18.75</v>
      </c>
      <c r="V46">
        <v>40.68</v>
      </c>
      <c r="W46">
        <v>46.575000000000003</v>
      </c>
      <c r="X46">
        <v>26.92</v>
      </c>
      <c r="Y46">
        <v>50.53</v>
      </c>
      <c r="Z46">
        <v>42.09</v>
      </c>
      <c r="AA46">
        <v>81.55</v>
      </c>
      <c r="AB46">
        <v>56.36</v>
      </c>
      <c r="AC46">
        <v>42.07</v>
      </c>
      <c r="AD46">
        <v>610.70000000000005</v>
      </c>
      <c r="AE46">
        <v>671.16</v>
      </c>
      <c r="AF46">
        <v>43.89</v>
      </c>
      <c r="AG46">
        <v>57.89</v>
      </c>
      <c r="AH46">
        <v>47.2</v>
      </c>
      <c r="AI46">
        <v>51.13</v>
      </c>
    </row>
    <row r="47" spans="1:35" x14ac:dyDescent="0.45">
      <c r="A47" s="2">
        <v>45938</v>
      </c>
      <c r="B47">
        <v>34.21</v>
      </c>
      <c r="C47">
        <v>32.79</v>
      </c>
      <c r="D47">
        <v>17.45</v>
      </c>
      <c r="E47">
        <v>25.67</v>
      </c>
      <c r="F47">
        <v>32.619999999999997</v>
      </c>
      <c r="G47">
        <v>63.53</v>
      </c>
      <c r="H47">
        <v>26.02</v>
      </c>
      <c r="I47">
        <v>65.650000000000006</v>
      </c>
      <c r="J47">
        <v>65.73</v>
      </c>
      <c r="K47">
        <v>84.19</v>
      </c>
      <c r="L47">
        <v>29.87</v>
      </c>
      <c r="M47">
        <v>66.8</v>
      </c>
      <c r="N47">
        <v>65.62</v>
      </c>
      <c r="O47">
        <v>52.63</v>
      </c>
      <c r="P47">
        <v>66.13</v>
      </c>
      <c r="Q47">
        <v>19.309999999999999</v>
      </c>
      <c r="R47">
        <v>1293.6099999999999</v>
      </c>
      <c r="S47">
        <v>33.615000000000002</v>
      </c>
      <c r="T47">
        <v>19.29</v>
      </c>
      <c r="U47">
        <v>18.43</v>
      </c>
      <c r="V47">
        <v>40.549999999999997</v>
      </c>
      <c r="W47">
        <v>47.094999999999999</v>
      </c>
      <c r="X47">
        <v>27.23</v>
      </c>
      <c r="Y47">
        <v>51.14</v>
      </c>
      <c r="Z47">
        <v>42.34</v>
      </c>
      <c r="AA47">
        <v>81.75</v>
      </c>
      <c r="AB47">
        <v>56.83</v>
      </c>
      <c r="AC47">
        <v>42.68</v>
      </c>
      <c r="AD47">
        <v>611.44000000000005</v>
      </c>
      <c r="AE47">
        <v>673.11</v>
      </c>
      <c r="AF47">
        <v>44.3</v>
      </c>
      <c r="AG47">
        <v>58.41</v>
      </c>
      <c r="AH47">
        <v>47.88</v>
      </c>
      <c r="AI47">
        <v>52.29</v>
      </c>
    </row>
    <row r="48" spans="1:35" x14ac:dyDescent="0.45">
      <c r="A48" s="2">
        <v>45937</v>
      </c>
      <c r="B48">
        <v>34.26</v>
      </c>
      <c r="C48">
        <v>32.270000000000003</v>
      </c>
      <c r="D48">
        <v>17.43</v>
      </c>
      <c r="E48">
        <v>25.36</v>
      </c>
      <c r="F48">
        <v>32.58</v>
      </c>
      <c r="G48">
        <v>61.87</v>
      </c>
      <c r="H48">
        <v>25.99</v>
      </c>
      <c r="I48">
        <v>64.81</v>
      </c>
      <c r="J48">
        <v>65.040000000000006</v>
      </c>
      <c r="K48">
        <v>83.35</v>
      </c>
      <c r="L48">
        <v>29.68</v>
      </c>
      <c r="M48">
        <v>64.790000000000006</v>
      </c>
      <c r="N48">
        <v>65.33</v>
      </c>
      <c r="O48">
        <v>52.88</v>
      </c>
      <c r="P48">
        <v>65.81</v>
      </c>
      <c r="Q48">
        <v>19.260000000000002</v>
      </c>
      <c r="R48">
        <v>1288.29</v>
      </c>
      <c r="S48">
        <v>33.69</v>
      </c>
      <c r="T48">
        <v>19.13</v>
      </c>
      <c r="U48">
        <v>18.23</v>
      </c>
      <c r="V48">
        <v>40.590000000000003</v>
      </c>
      <c r="W48">
        <v>47.05</v>
      </c>
      <c r="X48">
        <v>27.14</v>
      </c>
      <c r="Y48">
        <v>50.94</v>
      </c>
      <c r="Z48">
        <v>42.07</v>
      </c>
      <c r="AA48">
        <v>81.96</v>
      </c>
      <c r="AB48">
        <v>56.55</v>
      </c>
      <c r="AC48">
        <v>42.45</v>
      </c>
      <c r="AD48">
        <v>604.51</v>
      </c>
      <c r="AE48">
        <v>669.12</v>
      </c>
      <c r="AF48">
        <v>43.79</v>
      </c>
      <c r="AG48">
        <v>58.56</v>
      </c>
      <c r="AH48">
        <v>47.82</v>
      </c>
      <c r="AI48">
        <v>51.94</v>
      </c>
    </row>
    <row r="49" spans="1:35" x14ac:dyDescent="0.45">
      <c r="A49" s="2">
        <v>45936</v>
      </c>
      <c r="B49">
        <v>34.369999999999997</v>
      </c>
      <c r="C49">
        <v>32.049999999999997</v>
      </c>
      <c r="D49">
        <v>17.420000000000002</v>
      </c>
      <c r="E49">
        <v>25.1</v>
      </c>
      <c r="F49">
        <v>32.51</v>
      </c>
      <c r="G49">
        <v>62.71</v>
      </c>
      <c r="H49">
        <v>26.09</v>
      </c>
      <c r="I49">
        <v>65.03</v>
      </c>
      <c r="J49">
        <v>65.44</v>
      </c>
      <c r="K49">
        <v>84.78</v>
      </c>
      <c r="L49">
        <v>30.31</v>
      </c>
      <c r="M49">
        <v>65.319999999999993</v>
      </c>
      <c r="N49">
        <v>65.38</v>
      </c>
      <c r="O49">
        <v>52.76</v>
      </c>
      <c r="P49">
        <v>66.64</v>
      </c>
      <c r="Q49">
        <v>19.215</v>
      </c>
      <c r="R49">
        <v>1275.03</v>
      </c>
      <c r="S49">
        <v>33.47</v>
      </c>
      <c r="T49">
        <v>19.04</v>
      </c>
      <c r="U49">
        <v>18.434999999999999</v>
      </c>
      <c r="V49">
        <v>40.770000000000003</v>
      </c>
      <c r="W49">
        <v>47.134999999999998</v>
      </c>
      <c r="X49">
        <v>27.36</v>
      </c>
      <c r="Y49">
        <v>51.3</v>
      </c>
      <c r="Z49">
        <v>42.42</v>
      </c>
      <c r="AA49">
        <v>83.27</v>
      </c>
      <c r="AB49">
        <v>56.72</v>
      </c>
      <c r="AC49">
        <v>42.58</v>
      </c>
      <c r="AD49">
        <v>607.71</v>
      </c>
      <c r="AE49">
        <v>671.61</v>
      </c>
      <c r="AF49">
        <v>44.19</v>
      </c>
      <c r="AG49">
        <v>59.68</v>
      </c>
      <c r="AH49">
        <v>48.26</v>
      </c>
      <c r="AI49">
        <v>52.26</v>
      </c>
    </row>
    <row r="50" spans="1:35" x14ac:dyDescent="0.45">
      <c r="A50" s="2">
        <v>45933</v>
      </c>
      <c r="B50">
        <v>34.39</v>
      </c>
      <c r="C50">
        <v>32.32</v>
      </c>
      <c r="D50">
        <v>17.43</v>
      </c>
      <c r="E50">
        <v>25.59</v>
      </c>
      <c r="F50">
        <v>32.92</v>
      </c>
      <c r="G50">
        <v>62.31</v>
      </c>
      <c r="H50">
        <v>26.2</v>
      </c>
      <c r="I50">
        <v>64.64</v>
      </c>
      <c r="J50">
        <v>66.81</v>
      </c>
      <c r="K50">
        <v>83.85</v>
      </c>
      <c r="L50">
        <v>30.33</v>
      </c>
      <c r="M50">
        <v>65.06</v>
      </c>
      <c r="N50">
        <v>66.17</v>
      </c>
      <c r="O50">
        <v>52.45</v>
      </c>
      <c r="P50">
        <v>66.55</v>
      </c>
      <c r="Q50">
        <v>19.295000000000002</v>
      </c>
      <c r="R50">
        <v>1274.17</v>
      </c>
      <c r="S50">
        <v>33.74</v>
      </c>
      <c r="T50">
        <v>19.11</v>
      </c>
      <c r="U50">
        <v>17.53</v>
      </c>
      <c r="V50">
        <v>40.49</v>
      </c>
      <c r="W50">
        <v>47.188299999999998</v>
      </c>
      <c r="X50">
        <v>27.43</v>
      </c>
      <c r="Y50">
        <v>51.24</v>
      </c>
      <c r="Z50">
        <v>42.43</v>
      </c>
      <c r="AA50">
        <v>81.78</v>
      </c>
      <c r="AB50">
        <v>56.66</v>
      </c>
      <c r="AC50">
        <v>42.64</v>
      </c>
      <c r="AD50">
        <v>603.17999999999995</v>
      </c>
      <c r="AE50">
        <v>669.21</v>
      </c>
      <c r="AF50">
        <v>44.91</v>
      </c>
      <c r="AG50">
        <v>59.62</v>
      </c>
      <c r="AH50">
        <v>48.2</v>
      </c>
      <c r="AI50">
        <v>52.61</v>
      </c>
    </row>
    <row r="51" spans="1:35" x14ac:dyDescent="0.45">
      <c r="A51" s="2">
        <v>45932</v>
      </c>
      <c r="B51">
        <v>34.5182</v>
      </c>
      <c r="C51">
        <v>32.4</v>
      </c>
      <c r="D51">
        <v>17.440000000000001</v>
      </c>
      <c r="E51">
        <v>25.22</v>
      </c>
      <c r="F51">
        <v>32.81</v>
      </c>
      <c r="G51">
        <v>61.33</v>
      </c>
      <c r="H51">
        <v>26.27</v>
      </c>
      <c r="I51">
        <v>64</v>
      </c>
      <c r="J51">
        <v>66.900000000000006</v>
      </c>
      <c r="K51">
        <v>83.53</v>
      </c>
      <c r="L51">
        <v>30.24</v>
      </c>
      <c r="M51">
        <v>64.209999999999994</v>
      </c>
      <c r="N51">
        <v>65.25</v>
      </c>
      <c r="O51">
        <v>52.3</v>
      </c>
      <c r="P51">
        <v>66.989999999999995</v>
      </c>
      <c r="Q51">
        <v>19.274999999999999</v>
      </c>
      <c r="R51">
        <v>1288.07</v>
      </c>
      <c r="S51">
        <v>34.450000000000003</v>
      </c>
      <c r="T51">
        <v>19.079999999999998</v>
      </c>
      <c r="U51">
        <v>17.515000000000001</v>
      </c>
      <c r="V51">
        <v>40.479999999999997</v>
      </c>
      <c r="W51">
        <v>46.68</v>
      </c>
      <c r="X51">
        <v>27.18</v>
      </c>
      <c r="Y51">
        <v>50.59</v>
      </c>
      <c r="Z51">
        <v>42.47</v>
      </c>
      <c r="AA51">
        <v>80.150000000000006</v>
      </c>
      <c r="AB51">
        <v>56.25</v>
      </c>
      <c r="AC51">
        <v>42.26</v>
      </c>
      <c r="AD51">
        <v>605.73</v>
      </c>
      <c r="AE51">
        <v>669.22</v>
      </c>
      <c r="AF51">
        <v>44.77</v>
      </c>
      <c r="AG51">
        <v>59.51</v>
      </c>
      <c r="AH51">
        <v>47.94</v>
      </c>
      <c r="AI51">
        <v>52.33</v>
      </c>
    </row>
    <row r="52" spans="1:35" x14ac:dyDescent="0.45">
      <c r="A52" s="2">
        <v>45931</v>
      </c>
      <c r="B52">
        <v>34.369500000000002</v>
      </c>
      <c r="C52">
        <v>32.71</v>
      </c>
      <c r="D52">
        <v>17.46</v>
      </c>
      <c r="E52">
        <v>25.2</v>
      </c>
      <c r="F52">
        <v>32.6</v>
      </c>
      <c r="G52">
        <v>61.05</v>
      </c>
      <c r="H52">
        <v>26.21</v>
      </c>
      <c r="I52">
        <v>64.14</v>
      </c>
      <c r="J52">
        <v>66.78</v>
      </c>
      <c r="K52">
        <v>81.89</v>
      </c>
      <c r="L52">
        <v>30.58</v>
      </c>
      <c r="M52">
        <v>64.75</v>
      </c>
      <c r="N52">
        <v>65.56</v>
      </c>
      <c r="O52">
        <v>52.39</v>
      </c>
      <c r="P52">
        <v>66.25</v>
      </c>
      <c r="Q52">
        <v>19.39</v>
      </c>
      <c r="R52">
        <v>1278.74</v>
      </c>
      <c r="S52">
        <v>34.96</v>
      </c>
      <c r="T52">
        <v>18.989999999999998</v>
      </c>
      <c r="U52">
        <v>18.04</v>
      </c>
      <c r="V52">
        <v>40.25</v>
      </c>
      <c r="W52">
        <v>46.711599999999997</v>
      </c>
      <c r="X52">
        <v>27.15</v>
      </c>
      <c r="Y52">
        <v>50.57</v>
      </c>
      <c r="Z52">
        <v>42.13</v>
      </c>
      <c r="AA52">
        <v>80.209999999999994</v>
      </c>
      <c r="AB52">
        <v>55.94</v>
      </c>
      <c r="AC52">
        <v>42.5</v>
      </c>
      <c r="AD52">
        <v>603.25</v>
      </c>
      <c r="AE52">
        <v>668.45</v>
      </c>
      <c r="AF52">
        <v>44.49</v>
      </c>
      <c r="AG52">
        <v>58.84</v>
      </c>
      <c r="AH52">
        <v>47.61</v>
      </c>
      <c r="AI52">
        <v>52.41</v>
      </c>
    </row>
    <row r="53" spans="1:35" x14ac:dyDescent="0.45">
      <c r="A53" s="2">
        <v>45930</v>
      </c>
      <c r="B53">
        <v>34.340000000000003</v>
      </c>
      <c r="C53">
        <v>32.96</v>
      </c>
      <c r="D53">
        <v>17.55</v>
      </c>
      <c r="E53">
        <v>24.84</v>
      </c>
      <c r="F53">
        <v>32.200000000000003</v>
      </c>
      <c r="G53">
        <v>61.5</v>
      </c>
      <c r="H53">
        <v>25.92</v>
      </c>
      <c r="I53">
        <v>63.62</v>
      </c>
      <c r="J53">
        <v>68.209999999999994</v>
      </c>
      <c r="K53">
        <v>80.099999999999994</v>
      </c>
      <c r="L53">
        <v>31</v>
      </c>
      <c r="M53">
        <v>64.099999999999994</v>
      </c>
      <c r="N53">
        <v>64.400000000000006</v>
      </c>
      <c r="O53">
        <v>52.06</v>
      </c>
      <c r="P53">
        <v>65.849999999999994</v>
      </c>
      <c r="Q53">
        <v>19.53</v>
      </c>
      <c r="R53">
        <v>1288.26</v>
      </c>
      <c r="S53">
        <v>34.229999999999997</v>
      </c>
      <c r="T53">
        <v>18.89</v>
      </c>
      <c r="U53">
        <v>17.84</v>
      </c>
      <c r="V53">
        <v>40.58</v>
      </c>
      <c r="W53">
        <v>45.933399999999999</v>
      </c>
      <c r="X53">
        <v>27</v>
      </c>
      <c r="Y53">
        <v>50.55</v>
      </c>
      <c r="Z53">
        <v>41.61</v>
      </c>
      <c r="AA53">
        <v>80.209999999999994</v>
      </c>
      <c r="AB53">
        <v>55.24</v>
      </c>
      <c r="AC53">
        <v>41.97</v>
      </c>
      <c r="AD53">
        <v>600.37</v>
      </c>
      <c r="AE53">
        <v>666.18</v>
      </c>
      <c r="AF53">
        <v>43.93</v>
      </c>
      <c r="AG53">
        <v>58.01</v>
      </c>
      <c r="AH53">
        <v>47.2</v>
      </c>
      <c r="AI53">
        <v>51.95</v>
      </c>
    </row>
    <row r="54" spans="1:35" x14ac:dyDescent="0.45">
      <c r="A54" s="2">
        <v>45929</v>
      </c>
      <c r="B54">
        <v>34.200000000000003</v>
      </c>
      <c r="C54">
        <v>32.85</v>
      </c>
      <c r="D54">
        <v>17.690000000000001</v>
      </c>
      <c r="E54">
        <v>25.04</v>
      </c>
      <c r="F54">
        <v>32.11</v>
      </c>
      <c r="G54">
        <v>60.803600000000003</v>
      </c>
      <c r="H54">
        <v>25.78</v>
      </c>
      <c r="I54">
        <v>63.08</v>
      </c>
      <c r="J54">
        <v>67.459999999999994</v>
      </c>
      <c r="K54">
        <v>80.239999999999995</v>
      </c>
      <c r="L54">
        <v>30.99</v>
      </c>
      <c r="M54">
        <v>63.42</v>
      </c>
      <c r="N54">
        <v>64.27</v>
      </c>
      <c r="O54">
        <v>52.16</v>
      </c>
      <c r="P54">
        <v>65.53</v>
      </c>
      <c r="Q54">
        <v>19.425000000000001</v>
      </c>
      <c r="R54">
        <v>1278.4100000000001</v>
      </c>
      <c r="S54">
        <v>34.57</v>
      </c>
      <c r="T54">
        <v>18.82</v>
      </c>
      <c r="U54">
        <v>17.690000000000001</v>
      </c>
      <c r="V54">
        <v>40.15</v>
      </c>
      <c r="W54">
        <v>45.484999999999999</v>
      </c>
      <c r="X54">
        <v>26.98</v>
      </c>
      <c r="Y54">
        <v>50.46</v>
      </c>
      <c r="Z54">
        <v>41.31</v>
      </c>
      <c r="AA54">
        <v>80.510000000000005</v>
      </c>
      <c r="AB54">
        <v>54.57</v>
      </c>
      <c r="AC54">
        <v>41.63</v>
      </c>
      <c r="AD54">
        <v>598.73</v>
      </c>
      <c r="AE54">
        <v>663.68</v>
      </c>
      <c r="AF54">
        <v>43.78</v>
      </c>
      <c r="AG54">
        <v>57.67</v>
      </c>
      <c r="AH54">
        <v>47.22</v>
      </c>
      <c r="AI54">
        <v>51.5</v>
      </c>
    </row>
    <row r="55" spans="1:35" x14ac:dyDescent="0.45">
      <c r="A55" s="2">
        <v>45926</v>
      </c>
      <c r="B55">
        <v>33.54</v>
      </c>
      <c r="C55">
        <v>33.17</v>
      </c>
      <c r="D55">
        <v>17.600000000000001</v>
      </c>
      <c r="E55">
        <v>25.12</v>
      </c>
      <c r="F55">
        <v>32.17</v>
      </c>
      <c r="G55">
        <v>59.3</v>
      </c>
      <c r="H55">
        <v>25.73</v>
      </c>
      <c r="I55">
        <v>62.74</v>
      </c>
      <c r="J55">
        <v>67.14</v>
      </c>
      <c r="K55">
        <v>78.87</v>
      </c>
      <c r="L55">
        <v>30.73</v>
      </c>
      <c r="M55">
        <v>63.3</v>
      </c>
      <c r="N55">
        <v>63.82</v>
      </c>
      <c r="O55">
        <v>52.25</v>
      </c>
      <c r="P55">
        <v>64.319999999999993</v>
      </c>
      <c r="Q55">
        <v>19.420000000000002</v>
      </c>
      <c r="R55">
        <v>1273.2</v>
      </c>
      <c r="S55">
        <v>34.770000000000003</v>
      </c>
      <c r="T55">
        <v>18.98</v>
      </c>
      <c r="U55">
        <v>17.55</v>
      </c>
      <c r="V55">
        <v>39.950000000000003</v>
      </c>
      <c r="W55">
        <v>45.365000000000002</v>
      </c>
      <c r="X55">
        <v>26.67</v>
      </c>
      <c r="Y55">
        <v>50.02</v>
      </c>
      <c r="Z55">
        <v>41.2</v>
      </c>
      <c r="AA55">
        <v>80.44</v>
      </c>
      <c r="AB55">
        <v>54.26</v>
      </c>
      <c r="AC55">
        <v>41.58</v>
      </c>
      <c r="AD55">
        <v>595.97</v>
      </c>
      <c r="AE55">
        <v>661.82</v>
      </c>
      <c r="AF55">
        <v>43.59</v>
      </c>
      <c r="AG55">
        <v>57.12</v>
      </c>
      <c r="AH55">
        <v>47.2</v>
      </c>
      <c r="AI55">
        <v>51.54</v>
      </c>
    </row>
    <row r="56" spans="1:35" x14ac:dyDescent="0.45">
      <c r="A56" s="2">
        <v>45925</v>
      </c>
      <c r="B56">
        <v>33.880000000000003</v>
      </c>
      <c r="C56">
        <v>33.21</v>
      </c>
      <c r="D56">
        <v>17.41</v>
      </c>
      <c r="E56">
        <v>25.09</v>
      </c>
      <c r="F56">
        <v>31.57</v>
      </c>
      <c r="G56">
        <v>59.78</v>
      </c>
      <c r="H56">
        <v>25.27</v>
      </c>
      <c r="I56">
        <v>63.06</v>
      </c>
      <c r="J56">
        <v>66.180000000000007</v>
      </c>
      <c r="K56">
        <v>79.89</v>
      </c>
      <c r="L56">
        <v>30.58</v>
      </c>
      <c r="M56">
        <v>61.67</v>
      </c>
      <c r="N56">
        <v>63.96</v>
      </c>
      <c r="O56">
        <v>52.49</v>
      </c>
      <c r="P56">
        <v>64.760000000000005</v>
      </c>
      <c r="Q56">
        <v>19.37</v>
      </c>
      <c r="R56">
        <v>1282.54</v>
      </c>
      <c r="S56">
        <v>35.19</v>
      </c>
      <c r="T56">
        <v>18.84</v>
      </c>
      <c r="U56">
        <v>17.670000000000002</v>
      </c>
      <c r="V56">
        <v>39.840000000000003</v>
      </c>
      <c r="W56">
        <v>45.196899999999999</v>
      </c>
      <c r="X56">
        <v>26.47</v>
      </c>
      <c r="Y56">
        <v>50.05</v>
      </c>
      <c r="Z56">
        <v>40.75</v>
      </c>
      <c r="AA56">
        <v>80.459999999999994</v>
      </c>
      <c r="AB56">
        <v>53.86</v>
      </c>
      <c r="AC56">
        <v>41.04</v>
      </c>
      <c r="AD56">
        <v>593.53</v>
      </c>
      <c r="AE56">
        <v>658.05</v>
      </c>
      <c r="AF56">
        <v>43.05</v>
      </c>
      <c r="AG56">
        <v>57.02</v>
      </c>
      <c r="AH56">
        <v>46.62</v>
      </c>
      <c r="AI56">
        <v>50.94</v>
      </c>
    </row>
    <row r="57" spans="1:35" x14ac:dyDescent="0.45">
      <c r="A57" s="2">
        <v>45924</v>
      </c>
      <c r="B57">
        <v>33.680599999999998</v>
      </c>
      <c r="C57">
        <v>33.630000000000003</v>
      </c>
      <c r="D57">
        <v>17.68</v>
      </c>
      <c r="E57">
        <v>25.69</v>
      </c>
      <c r="F57">
        <v>32.090000000000003</v>
      </c>
      <c r="G57">
        <v>59.89</v>
      </c>
      <c r="H57">
        <v>25.33</v>
      </c>
      <c r="I57">
        <v>63.57</v>
      </c>
      <c r="J57">
        <v>66.47</v>
      </c>
      <c r="K57">
        <v>80.040000000000006</v>
      </c>
      <c r="L57">
        <v>31.05</v>
      </c>
      <c r="M57">
        <v>61.97</v>
      </c>
      <c r="N57">
        <v>65</v>
      </c>
      <c r="O57">
        <v>52.74</v>
      </c>
      <c r="P57">
        <v>64.58</v>
      </c>
      <c r="Q57">
        <v>19.565000000000001</v>
      </c>
      <c r="R57">
        <v>1292.72</v>
      </c>
      <c r="S57">
        <v>35.299999999999997</v>
      </c>
      <c r="T57">
        <v>18.68</v>
      </c>
      <c r="U57">
        <v>17.579999999999998</v>
      </c>
      <c r="V57">
        <v>40.54</v>
      </c>
      <c r="W57">
        <v>45.596299999999999</v>
      </c>
      <c r="X57">
        <v>26.47</v>
      </c>
      <c r="Y57">
        <v>50.24</v>
      </c>
      <c r="Z57">
        <v>41.24</v>
      </c>
      <c r="AA57">
        <v>80.849999999999994</v>
      </c>
      <c r="AB57">
        <v>54.51</v>
      </c>
      <c r="AC57">
        <v>41.35</v>
      </c>
      <c r="AD57">
        <v>596.1</v>
      </c>
      <c r="AE57">
        <v>661.1</v>
      </c>
      <c r="AF57">
        <v>43.41</v>
      </c>
      <c r="AG57">
        <v>57.27</v>
      </c>
      <c r="AH57">
        <v>47.01</v>
      </c>
      <c r="AI57">
        <v>51.29</v>
      </c>
    </row>
    <row r="58" spans="1:35" x14ac:dyDescent="0.45">
      <c r="A58" s="2">
        <v>45923</v>
      </c>
      <c r="B58">
        <v>33.47</v>
      </c>
      <c r="C58">
        <v>33.68</v>
      </c>
      <c r="D58">
        <v>17.760000000000002</v>
      </c>
      <c r="E58">
        <v>26.16</v>
      </c>
      <c r="F58">
        <v>32.04</v>
      </c>
      <c r="G58">
        <v>58.88</v>
      </c>
      <c r="H58">
        <v>25.74</v>
      </c>
      <c r="I58">
        <v>64.290000000000006</v>
      </c>
      <c r="J58">
        <v>67.430000000000007</v>
      </c>
      <c r="K58">
        <v>81.45</v>
      </c>
      <c r="L58">
        <v>31.32</v>
      </c>
      <c r="M58">
        <v>62.87</v>
      </c>
      <c r="N58">
        <v>65.23</v>
      </c>
      <c r="O58">
        <v>53.06</v>
      </c>
      <c r="P58">
        <v>63.66</v>
      </c>
      <c r="Q58">
        <v>19.785</v>
      </c>
      <c r="R58">
        <v>1297.01</v>
      </c>
      <c r="S58">
        <v>35.06</v>
      </c>
      <c r="T58">
        <v>19.14</v>
      </c>
      <c r="U58">
        <v>17.29</v>
      </c>
      <c r="V58">
        <v>40.78</v>
      </c>
      <c r="W58">
        <v>45.865900000000003</v>
      </c>
      <c r="X58">
        <v>26.87</v>
      </c>
      <c r="Y58">
        <v>50.53</v>
      </c>
      <c r="Z58">
        <v>41.27</v>
      </c>
      <c r="AA58">
        <v>81.09</v>
      </c>
      <c r="AB58">
        <v>55.24</v>
      </c>
      <c r="AC58">
        <v>41.47</v>
      </c>
      <c r="AD58">
        <v>598.20000000000005</v>
      </c>
      <c r="AE58">
        <v>663.21</v>
      </c>
      <c r="AF58">
        <v>43.89</v>
      </c>
      <c r="AG58">
        <v>57.62</v>
      </c>
      <c r="AH58">
        <v>47.85</v>
      </c>
      <c r="AI58">
        <v>51.51</v>
      </c>
    </row>
    <row r="59" spans="1:35" x14ac:dyDescent="0.45">
      <c r="A59" s="2">
        <v>45922</v>
      </c>
      <c r="B59">
        <v>33.67</v>
      </c>
      <c r="C59">
        <v>33.5</v>
      </c>
      <c r="D59">
        <v>17.73</v>
      </c>
      <c r="E59">
        <v>26.6</v>
      </c>
      <c r="F59">
        <v>32</v>
      </c>
      <c r="G59">
        <v>58.59</v>
      </c>
      <c r="H59">
        <v>25.79</v>
      </c>
      <c r="I59">
        <v>64.02</v>
      </c>
      <c r="J59">
        <v>66.900000000000006</v>
      </c>
      <c r="K59">
        <v>81.56</v>
      </c>
      <c r="L59">
        <v>30.79</v>
      </c>
      <c r="M59">
        <v>62.46</v>
      </c>
      <c r="N59">
        <v>64.760000000000005</v>
      </c>
      <c r="O59">
        <v>53.5</v>
      </c>
      <c r="P59">
        <v>64.430000000000007</v>
      </c>
      <c r="Q59">
        <v>19.940000000000001</v>
      </c>
      <c r="R59">
        <v>1306.69</v>
      </c>
      <c r="S59">
        <v>35.58</v>
      </c>
      <c r="T59">
        <v>19.55</v>
      </c>
      <c r="U59">
        <v>17.53</v>
      </c>
      <c r="V59">
        <v>38.18</v>
      </c>
      <c r="W59">
        <v>46.287199999999999</v>
      </c>
      <c r="X59">
        <v>26.92</v>
      </c>
      <c r="Y59">
        <v>50.88</v>
      </c>
      <c r="Z59">
        <v>41.24</v>
      </c>
      <c r="AA59">
        <v>81.25</v>
      </c>
      <c r="AB59">
        <v>55.57</v>
      </c>
      <c r="AC59">
        <v>41.61</v>
      </c>
      <c r="AD59">
        <v>602.20000000000005</v>
      </c>
      <c r="AE59">
        <v>666.84</v>
      </c>
      <c r="AF59">
        <v>43.78</v>
      </c>
      <c r="AG59">
        <v>57.36</v>
      </c>
      <c r="AH59">
        <v>47.63</v>
      </c>
      <c r="AI59">
        <v>51.74</v>
      </c>
    </row>
    <row r="60" spans="1:35" x14ac:dyDescent="0.45">
      <c r="A60" s="2">
        <v>45919</v>
      </c>
      <c r="B60">
        <v>33.450000000000003</v>
      </c>
      <c r="C60">
        <v>33.590000000000003</v>
      </c>
      <c r="D60">
        <v>17.79</v>
      </c>
      <c r="E60">
        <v>26.8</v>
      </c>
      <c r="F60">
        <v>31.76</v>
      </c>
      <c r="G60">
        <v>57.811199999999999</v>
      </c>
      <c r="H60">
        <v>25.59</v>
      </c>
      <c r="I60">
        <v>63.38</v>
      </c>
      <c r="J60">
        <v>66.099999999999994</v>
      </c>
      <c r="K60">
        <v>80.05</v>
      </c>
      <c r="L60">
        <v>30.93</v>
      </c>
      <c r="M60">
        <v>62.54</v>
      </c>
      <c r="N60">
        <v>64.14</v>
      </c>
      <c r="O60">
        <v>53.94</v>
      </c>
      <c r="P60">
        <v>64.44</v>
      </c>
      <c r="Q60">
        <v>19.940000000000001</v>
      </c>
      <c r="R60">
        <v>1308.19</v>
      </c>
      <c r="S60">
        <v>35.380000000000003</v>
      </c>
      <c r="T60">
        <v>19.47</v>
      </c>
      <c r="U60">
        <v>17.68</v>
      </c>
      <c r="V60">
        <v>37.83</v>
      </c>
      <c r="W60">
        <v>46.41</v>
      </c>
      <c r="X60">
        <v>26.89</v>
      </c>
      <c r="Y60">
        <v>50.73</v>
      </c>
      <c r="Z60">
        <v>41.22</v>
      </c>
      <c r="AA60">
        <v>80.790000000000006</v>
      </c>
      <c r="AB60">
        <v>55.26</v>
      </c>
      <c r="AC60">
        <v>41.36</v>
      </c>
      <c r="AD60">
        <v>599.35</v>
      </c>
      <c r="AE60">
        <v>663.7</v>
      </c>
      <c r="AF60">
        <v>43.68</v>
      </c>
      <c r="AG60">
        <v>56.84</v>
      </c>
      <c r="AH60">
        <v>47.43</v>
      </c>
      <c r="AI60">
        <v>51.37</v>
      </c>
    </row>
    <row r="61" spans="1:35" x14ac:dyDescent="0.45">
      <c r="A61" s="2">
        <v>45918</v>
      </c>
      <c r="B61">
        <v>33.479999999999997</v>
      </c>
      <c r="C61">
        <v>33.6</v>
      </c>
      <c r="D61">
        <v>17.72</v>
      </c>
      <c r="E61">
        <v>26.46</v>
      </c>
      <c r="F61">
        <v>32.07</v>
      </c>
      <c r="G61">
        <v>57.14</v>
      </c>
      <c r="H61">
        <v>25.6</v>
      </c>
      <c r="I61">
        <v>63.77</v>
      </c>
      <c r="J61">
        <v>65.95</v>
      </c>
      <c r="K61">
        <v>80.75</v>
      </c>
      <c r="L61">
        <v>30.82</v>
      </c>
      <c r="M61">
        <v>61.48</v>
      </c>
      <c r="N61">
        <v>64.3</v>
      </c>
      <c r="O61">
        <v>53.74</v>
      </c>
      <c r="P61">
        <v>64.75</v>
      </c>
      <c r="Q61">
        <v>19.940000000000001</v>
      </c>
      <c r="R61">
        <v>1299.78</v>
      </c>
      <c r="S61">
        <v>34.35</v>
      </c>
      <c r="T61">
        <v>19.36</v>
      </c>
      <c r="U61">
        <v>17.8</v>
      </c>
      <c r="V61">
        <v>37.770000000000003</v>
      </c>
      <c r="W61">
        <v>46.255000000000003</v>
      </c>
      <c r="X61">
        <v>26.89</v>
      </c>
      <c r="Y61">
        <v>50.18</v>
      </c>
      <c r="Z61">
        <v>41.45</v>
      </c>
      <c r="AA61">
        <v>81.489999999999995</v>
      </c>
      <c r="AB61">
        <v>55.21</v>
      </c>
      <c r="AC61">
        <v>41.66</v>
      </c>
      <c r="AD61">
        <v>595.32000000000005</v>
      </c>
      <c r="AE61">
        <v>662.26</v>
      </c>
      <c r="AF61">
        <v>43.84</v>
      </c>
      <c r="AG61">
        <v>56.97</v>
      </c>
      <c r="AH61">
        <v>47.56</v>
      </c>
      <c r="AI61">
        <v>51.44</v>
      </c>
    </row>
    <row r="62" spans="1:35" x14ac:dyDescent="0.45">
      <c r="A62" s="2">
        <v>45917</v>
      </c>
      <c r="B62">
        <v>33.96</v>
      </c>
      <c r="C62">
        <v>33.4</v>
      </c>
      <c r="D62">
        <v>17.98</v>
      </c>
      <c r="E62">
        <v>26.55</v>
      </c>
      <c r="F62">
        <v>32.32</v>
      </c>
      <c r="G62">
        <v>57.874499999999998</v>
      </c>
      <c r="H62">
        <v>25.95</v>
      </c>
      <c r="I62">
        <v>63.21</v>
      </c>
      <c r="J62">
        <v>66.53</v>
      </c>
      <c r="K62">
        <v>79.83</v>
      </c>
      <c r="L62">
        <v>30.94</v>
      </c>
      <c r="M62">
        <v>60.86</v>
      </c>
      <c r="N62">
        <v>64.099999999999994</v>
      </c>
      <c r="O62">
        <v>54.02</v>
      </c>
      <c r="P62">
        <v>65.8</v>
      </c>
      <c r="Q62">
        <v>19.850000000000001</v>
      </c>
      <c r="R62">
        <v>1293.6199999999999</v>
      </c>
      <c r="S62">
        <v>34.75</v>
      </c>
      <c r="T62">
        <v>19.16</v>
      </c>
      <c r="U62">
        <v>17.88</v>
      </c>
      <c r="V62">
        <v>37.43</v>
      </c>
      <c r="W62">
        <v>47.045000000000002</v>
      </c>
      <c r="X62">
        <v>27.14</v>
      </c>
      <c r="Y62">
        <v>49.98</v>
      </c>
      <c r="Z62">
        <v>41.06</v>
      </c>
      <c r="AA62">
        <v>81.17</v>
      </c>
      <c r="AB62">
        <v>55.29</v>
      </c>
      <c r="AC62">
        <v>41.79</v>
      </c>
      <c r="AD62">
        <v>590</v>
      </c>
      <c r="AE62">
        <v>659.18</v>
      </c>
      <c r="AF62">
        <v>43.53</v>
      </c>
      <c r="AG62">
        <v>55.8782</v>
      </c>
      <c r="AH62">
        <v>47.17</v>
      </c>
      <c r="AI62">
        <v>51.33</v>
      </c>
    </row>
    <row r="63" spans="1:35" x14ac:dyDescent="0.45">
      <c r="A63" s="2">
        <v>45916</v>
      </c>
      <c r="B63">
        <v>33.770000000000003</v>
      </c>
      <c r="C63">
        <v>33.76</v>
      </c>
      <c r="D63">
        <v>17.850000000000001</v>
      </c>
      <c r="E63">
        <v>26.22</v>
      </c>
      <c r="F63">
        <v>32.51</v>
      </c>
      <c r="G63">
        <v>57.915399999999998</v>
      </c>
      <c r="H63">
        <v>25.54</v>
      </c>
      <c r="I63">
        <v>63.32</v>
      </c>
      <c r="J63">
        <v>66.8</v>
      </c>
      <c r="K63">
        <v>80.69</v>
      </c>
      <c r="L63">
        <v>30.69</v>
      </c>
      <c r="M63">
        <v>61</v>
      </c>
      <c r="N63">
        <v>64.77</v>
      </c>
      <c r="O63">
        <v>53.87</v>
      </c>
      <c r="P63">
        <v>64.86</v>
      </c>
      <c r="Q63">
        <v>19.77</v>
      </c>
      <c r="R63">
        <v>1288.03</v>
      </c>
      <c r="S63">
        <v>34.82</v>
      </c>
      <c r="T63">
        <v>19.32</v>
      </c>
      <c r="U63">
        <v>18.059999999999999</v>
      </c>
      <c r="V63">
        <v>36.9</v>
      </c>
      <c r="W63">
        <v>47.020400000000002</v>
      </c>
      <c r="X63">
        <v>27.38</v>
      </c>
      <c r="Y63">
        <v>50.08</v>
      </c>
      <c r="Z63">
        <v>41.15</v>
      </c>
      <c r="AA63">
        <v>81.349999999999994</v>
      </c>
      <c r="AB63">
        <v>55.48</v>
      </c>
      <c r="AC63">
        <v>41.89</v>
      </c>
      <c r="AD63">
        <v>591.17999999999995</v>
      </c>
      <c r="AE63">
        <v>660</v>
      </c>
      <c r="AF63">
        <v>43.82</v>
      </c>
      <c r="AG63">
        <v>55.71</v>
      </c>
      <c r="AH63">
        <v>47.46</v>
      </c>
      <c r="AI63">
        <v>52.15</v>
      </c>
    </row>
    <row r="64" spans="1:35" x14ac:dyDescent="0.45">
      <c r="A64" s="2">
        <v>45915</v>
      </c>
      <c r="B64">
        <v>33.81</v>
      </c>
      <c r="C64">
        <v>33.799999999999997</v>
      </c>
      <c r="D64">
        <v>17.96</v>
      </c>
      <c r="E64">
        <v>25.71</v>
      </c>
      <c r="F64">
        <v>32.81</v>
      </c>
      <c r="G64">
        <v>58.435400000000001</v>
      </c>
      <c r="H64">
        <v>25.55</v>
      </c>
      <c r="I64">
        <v>63.02</v>
      </c>
      <c r="J64">
        <v>66.77</v>
      </c>
      <c r="K64">
        <v>79.19</v>
      </c>
      <c r="L64">
        <v>30.51</v>
      </c>
      <c r="M64">
        <v>60.93</v>
      </c>
      <c r="N64">
        <v>65.23</v>
      </c>
      <c r="O64">
        <v>53.43</v>
      </c>
      <c r="P64">
        <v>64.430000000000007</v>
      </c>
      <c r="Q64">
        <v>19.55</v>
      </c>
      <c r="R64">
        <v>1278.05</v>
      </c>
      <c r="S64">
        <v>34.24</v>
      </c>
      <c r="T64">
        <v>19.2</v>
      </c>
      <c r="U64">
        <v>18.399999999999999</v>
      </c>
      <c r="V64">
        <v>36.71</v>
      </c>
      <c r="W64">
        <v>47.107199999999999</v>
      </c>
      <c r="X64">
        <v>27.57</v>
      </c>
      <c r="Y64">
        <v>50.13</v>
      </c>
      <c r="Z64">
        <v>41.42</v>
      </c>
      <c r="AA64">
        <v>81.349999999999994</v>
      </c>
      <c r="AB64">
        <v>55.56</v>
      </c>
      <c r="AC64">
        <v>42.09</v>
      </c>
      <c r="AD64">
        <v>591.67999999999995</v>
      </c>
      <c r="AE64">
        <v>660.91</v>
      </c>
      <c r="AF64">
        <v>43.89</v>
      </c>
      <c r="AG64">
        <v>55.75</v>
      </c>
      <c r="AH64">
        <v>47.61</v>
      </c>
      <c r="AI64">
        <v>52.39</v>
      </c>
    </row>
    <row r="65" spans="1:35" x14ac:dyDescent="0.45">
      <c r="A65" s="2">
        <v>45912</v>
      </c>
      <c r="B65">
        <v>33.6</v>
      </c>
      <c r="C65">
        <v>33.22</v>
      </c>
      <c r="D65">
        <v>17.829999999999998</v>
      </c>
      <c r="E65">
        <v>25.8</v>
      </c>
      <c r="F65">
        <v>32.28</v>
      </c>
      <c r="G65">
        <v>57.768000000000001</v>
      </c>
      <c r="H65">
        <v>25.47</v>
      </c>
      <c r="I65">
        <v>62.83</v>
      </c>
      <c r="J65">
        <v>66.12</v>
      </c>
      <c r="K65">
        <v>78.66</v>
      </c>
      <c r="L65">
        <v>30.03</v>
      </c>
      <c r="M65">
        <v>60.57</v>
      </c>
      <c r="N65">
        <v>65.17</v>
      </c>
      <c r="O65">
        <v>53.15</v>
      </c>
      <c r="P65">
        <v>63.95</v>
      </c>
      <c r="Q65">
        <v>19.54</v>
      </c>
      <c r="R65">
        <v>1276.08</v>
      </c>
      <c r="S65">
        <v>32.270000000000003</v>
      </c>
      <c r="T65">
        <v>19.170000000000002</v>
      </c>
      <c r="U65">
        <v>17.97</v>
      </c>
      <c r="V65">
        <v>36.72</v>
      </c>
      <c r="W65">
        <v>46.74</v>
      </c>
      <c r="X65">
        <v>27.24</v>
      </c>
      <c r="Y65">
        <v>49.6</v>
      </c>
      <c r="Z65">
        <v>41.31</v>
      </c>
      <c r="AA65">
        <v>80.760000000000005</v>
      </c>
      <c r="AB65">
        <v>55.65</v>
      </c>
      <c r="AC65">
        <v>41.94</v>
      </c>
      <c r="AD65">
        <v>586.66</v>
      </c>
      <c r="AE65">
        <v>657.41</v>
      </c>
      <c r="AF65">
        <v>43.49</v>
      </c>
      <c r="AG65">
        <v>54.66</v>
      </c>
      <c r="AH65">
        <v>47.24</v>
      </c>
      <c r="AI65">
        <v>51.72</v>
      </c>
    </row>
    <row r="66" spans="1:35" x14ac:dyDescent="0.45">
      <c r="A66" s="2">
        <v>45911</v>
      </c>
      <c r="B66">
        <v>33.94</v>
      </c>
      <c r="C66">
        <v>34.020000000000003</v>
      </c>
      <c r="D66">
        <v>17.64</v>
      </c>
      <c r="E66">
        <v>26</v>
      </c>
      <c r="F66">
        <v>32.6</v>
      </c>
      <c r="G66">
        <v>57.547199999999997</v>
      </c>
      <c r="H66">
        <v>25.33</v>
      </c>
      <c r="I66">
        <v>62.74</v>
      </c>
      <c r="J66">
        <v>65.709999999999994</v>
      </c>
      <c r="K66">
        <v>77.86</v>
      </c>
      <c r="L66">
        <v>30.05</v>
      </c>
      <c r="M66">
        <v>60.56</v>
      </c>
      <c r="N66">
        <v>64.22</v>
      </c>
      <c r="O66">
        <v>53.24</v>
      </c>
      <c r="P66">
        <v>64.209999999999994</v>
      </c>
      <c r="Q66">
        <v>19.579999999999998</v>
      </c>
      <c r="R66">
        <v>1266.1099999999999</v>
      </c>
      <c r="S66">
        <v>32.32</v>
      </c>
      <c r="T66">
        <v>19.010000000000002</v>
      </c>
      <c r="U66">
        <v>18.03</v>
      </c>
      <c r="V66">
        <v>36.799999999999997</v>
      </c>
      <c r="W66">
        <v>47.225000000000001</v>
      </c>
      <c r="X66">
        <v>27.41</v>
      </c>
      <c r="Y66">
        <v>49.92</v>
      </c>
      <c r="Z66">
        <v>41.39</v>
      </c>
      <c r="AA66">
        <v>81.319999999999993</v>
      </c>
      <c r="AB66">
        <v>56.12</v>
      </c>
      <c r="AC66">
        <v>42.19</v>
      </c>
      <c r="AD66">
        <v>584.08000000000004</v>
      </c>
      <c r="AE66">
        <v>657.63</v>
      </c>
      <c r="AF66">
        <v>43.53</v>
      </c>
      <c r="AG66">
        <v>54.46</v>
      </c>
      <c r="AH66">
        <v>47.33</v>
      </c>
      <c r="AI66">
        <v>51.6</v>
      </c>
    </row>
    <row r="67" spans="1:35" x14ac:dyDescent="0.45">
      <c r="A67" s="2">
        <v>45910</v>
      </c>
      <c r="B67">
        <v>32.840000000000003</v>
      </c>
      <c r="C67">
        <v>32.89</v>
      </c>
      <c r="D67">
        <v>17.329999999999998</v>
      </c>
      <c r="E67">
        <v>25.92</v>
      </c>
      <c r="F67">
        <v>31.83</v>
      </c>
      <c r="G67">
        <v>56.45</v>
      </c>
      <c r="H67">
        <v>25.17</v>
      </c>
      <c r="I67">
        <v>62.56</v>
      </c>
      <c r="J67">
        <v>64.28</v>
      </c>
      <c r="K67">
        <v>76.650000000000006</v>
      </c>
      <c r="L67">
        <v>29.79</v>
      </c>
      <c r="M67">
        <v>59.73</v>
      </c>
      <c r="N67">
        <v>63.64</v>
      </c>
      <c r="O67">
        <v>53.16</v>
      </c>
      <c r="P67">
        <v>62.54</v>
      </c>
      <c r="Q67">
        <v>19.53</v>
      </c>
      <c r="R67">
        <v>1264.8</v>
      </c>
      <c r="S67">
        <v>32.92</v>
      </c>
      <c r="T67">
        <v>18.850000000000001</v>
      </c>
      <c r="U67">
        <v>17.75</v>
      </c>
      <c r="V67">
        <v>36.799999999999997</v>
      </c>
      <c r="W67">
        <v>46.85</v>
      </c>
      <c r="X67">
        <v>27.11</v>
      </c>
      <c r="Y67">
        <v>49.42</v>
      </c>
      <c r="Z67">
        <v>41.07</v>
      </c>
      <c r="AA67">
        <v>80.36</v>
      </c>
      <c r="AB67">
        <v>55.62</v>
      </c>
      <c r="AC67">
        <v>41.74</v>
      </c>
      <c r="AD67">
        <v>580.70000000000005</v>
      </c>
      <c r="AE67">
        <v>652.21</v>
      </c>
      <c r="AF67">
        <v>42.9</v>
      </c>
      <c r="AG67">
        <v>53.79</v>
      </c>
      <c r="AH67">
        <v>47.1</v>
      </c>
      <c r="AI67">
        <v>50.93</v>
      </c>
    </row>
    <row r="68" spans="1:35" x14ac:dyDescent="0.45">
      <c r="A68" s="2">
        <v>45909</v>
      </c>
      <c r="B68">
        <v>32.94</v>
      </c>
      <c r="C68">
        <v>32.695</v>
      </c>
      <c r="D68">
        <v>17.059999999999999</v>
      </c>
      <c r="E68">
        <v>26.09</v>
      </c>
      <c r="F68">
        <v>32.380000000000003</v>
      </c>
      <c r="G68">
        <v>56</v>
      </c>
      <c r="H68">
        <v>25.17</v>
      </c>
      <c r="I68">
        <v>61.62</v>
      </c>
      <c r="J68">
        <v>64.260000000000005</v>
      </c>
      <c r="K68">
        <v>74.92</v>
      </c>
      <c r="L68">
        <v>29.54</v>
      </c>
      <c r="M68">
        <v>59.03</v>
      </c>
      <c r="N68">
        <v>63.6</v>
      </c>
      <c r="O68">
        <v>52.71</v>
      </c>
      <c r="P68">
        <v>62.97</v>
      </c>
      <c r="Q68">
        <v>19.37</v>
      </c>
      <c r="R68">
        <v>1252.55</v>
      </c>
      <c r="S68">
        <v>32.68</v>
      </c>
      <c r="T68">
        <v>18.91</v>
      </c>
      <c r="U68">
        <v>17.670000000000002</v>
      </c>
      <c r="V68">
        <v>36.76</v>
      </c>
      <c r="W68">
        <v>46.655000000000001</v>
      </c>
      <c r="X68">
        <v>26.89</v>
      </c>
      <c r="Y68">
        <v>49.27</v>
      </c>
      <c r="Z68">
        <v>41.48</v>
      </c>
      <c r="AA68">
        <v>80.06</v>
      </c>
      <c r="AB68">
        <v>56.02</v>
      </c>
      <c r="AC68">
        <v>41.75</v>
      </c>
      <c r="AD68">
        <v>580.51</v>
      </c>
      <c r="AE68">
        <v>650.33000000000004</v>
      </c>
      <c r="AF68">
        <v>43.06</v>
      </c>
      <c r="AG68">
        <v>54.12</v>
      </c>
      <c r="AH68">
        <v>47.3</v>
      </c>
      <c r="AI68">
        <v>50.86</v>
      </c>
    </row>
    <row r="69" spans="1:35" x14ac:dyDescent="0.45">
      <c r="A69" s="2">
        <v>45908</v>
      </c>
      <c r="B69">
        <v>33.14</v>
      </c>
      <c r="C69">
        <v>33.229999999999997</v>
      </c>
      <c r="D69">
        <v>17.5</v>
      </c>
      <c r="E69">
        <v>26.09</v>
      </c>
      <c r="F69">
        <v>32.880000000000003</v>
      </c>
      <c r="G69">
        <v>56.647500000000001</v>
      </c>
      <c r="H69">
        <v>25.12</v>
      </c>
      <c r="I69">
        <v>60.98</v>
      </c>
      <c r="J69">
        <v>64.150000000000006</v>
      </c>
      <c r="K69">
        <v>74.19</v>
      </c>
      <c r="L69">
        <v>29.58</v>
      </c>
      <c r="M69">
        <v>59.34</v>
      </c>
      <c r="N69">
        <v>63.86</v>
      </c>
      <c r="O69">
        <v>52.89</v>
      </c>
      <c r="P69">
        <v>62.3</v>
      </c>
      <c r="Q69">
        <v>19.63</v>
      </c>
      <c r="R69">
        <v>1259.31</v>
      </c>
      <c r="S69">
        <v>32.54</v>
      </c>
      <c r="T69">
        <v>18.940000000000001</v>
      </c>
      <c r="U69">
        <v>17.37</v>
      </c>
      <c r="V69">
        <v>36.69</v>
      </c>
      <c r="W69">
        <v>46.74</v>
      </c>
      <c r="X69">
        <v>27</v>
      </c>
      <c r="Y69">
        <v>49.3</v>
      </c>
      <c r="Z69">
        <v>41.69</v>
      </c>
      <c r="AA69">
        <v>80.959999999999994</v>
      </c>
      <c r="AB69">
        <v>56.33</v>
      </c>
      <c r="AC69">
        <v>41.71</v>
      </c>
      <c r="AD69">
        <v>578.87</v>
      </c>
      <c r="AE69">
        <v>648.83000000000004</v>
      </c>
      <c r="AF69">
        <v>42.99</v>
      </c>
      <c r="AG69">
        <v>54.17</v>
      </c>
      <c r="AH69">
        <v>47.42</v>
      </c>
      <c r="AI69">
        <v>50.64</v>
      </c>
    </row>
    <row r="70" spans="1:35" x14ac:dyDescent="0.45">
      <c r="A70" s="2">
        <v>45905</v>
      </c>
      <c r="B70">
        <v>33.020000000000003</v>
      </c>
      <c r="C70">
        <v>33.83</v>
      </c>
      <c r="D70">
        <v>17.93</v>
      </c>
      <c r="E70">
        <v>26.06</v>
      </c>
      <c r="F70">
        <v>32.14</v>
      </c>
      <c r="G70">
        <v>56.5</v>
      </c>
      <c r="H70">
        <v>25.03</v>
      </c>
      <c r="I70">
        <v>60.21</v>
      </c>
      <c r="J70">
        <v>63.83</v>
      </c>
      <c r="K70">
        <v>73.63</v>
      </c>
      <c r="L70">
        <v>29.63</v>
      </c>
      <c r="M70">
        <v>57.92</v>
      </c>
      <c r="N70">
        <v>63.4</v>
      </c>
      <c r="O70">
        <v>52.48</v>
      </c>
      <c r="P70">
        <v>61.35</v>
      </c>
      <c r="Q70">
        <v>19.690000000000001</v>
      </c>
      <c r="R70">
        <v>1248.78</v>
      </c>
      <c r="S70">
        <v>33.33</v>
      </c>
      <c r="T70">
        <v>19.16</v>
      </c>
      <c r="U70">
        <v>17.97</v>
      </c>
      <c r="V70">
        <v>37.200000000000003</v>
      </c>
      <c r="W70">
        <v>46.13</v>
      </c>
      <c r="X70">
        <v>26.93</v>
      </c>
      <c r="Y70">
        <v>49.17</v>
      </c>
      <c r="Z70">
        <v>41.34</v>
      </c>
      <c r="AA70">
        <v>79.180000000000007</v>
      </c>
      <c r="AB70">
        <v>56.25</v>
      </c>
      <c r="AC70">
        <v>41.55</v>
      </c>
      <c r="AD70">
        <v>576.05999999999995</v>
      </c>
      <c r="AE70">
        <v>647.24</v>
      </c>
      <c r="AF70">
        <v>42.56</v>
      </c>
      <c r="AG70">
        <v>53.47</v>
      </c>
      <c r="AH70">
        <v>47.01</v>
      </c>
      <c r="AI70">
        <v>50.46</v>
      </c>
    </row>
    <row r="71" spans="1:35" x14ac:dyDescent="0.45">
      <c r="A71" s="2">
        <v>45904</v>
      </c>
      <c r="B71">
        <v>32.229999999999997</v>
      </c>
      <c r="C71">
        <v>33.4</v>
      </c>
      <c r="D71">
        <v>17.77</v>
      </c>
      <c r="E71">
        <v>25.78</v>
      </c>
      <c r="F71">
        <v>32.130000000000003</v>
      </c>
      <c r="G71">
        <v>55.73</v>
      </c>
      <c r="H71">
        <v>24.97</v>
      </c>
      <c r="I71">
        <v>59.3</v>
      </c>
      <c r="J71">
        <v>63.07</v>
      </c>
      <c r="K71">
        <v>73.069999999999993</v>
      </c>
      <c r="L71">
        <v>29.17</v>
      </c>
      <c r="M71">
        <v>56.57</v>
      </c>
      <c r="N71">
        <v>63.26</v>
      </c>
      <c r="O71">
        <v>52.59</v>
      </c>
      <c r="P71">
        <v>60.3</v>
      </c>
      <c r="Q71">
        <v>19.7</v>
      </c>
      <c r="R71">
        <v>1244.48</v>
      </c>
      <c r="S71">
        <v>33.729999999999997</v>
      </c>
      <c r="T71">
        <v>19.2</v>
      </c>
      <c r="U71">
        <v>18.43</v>
      </c>
      <c r="V71">
        <v>37.35</v>
      </c>
      <c r="W71">
        <v>45.37</v>
      </c>
      <c r="X71">
        <v>26.9</v>
      </c>
      <c r="Y71">
        <v>49.12</v>
      </c>
      <c r="Z71">
        <v>41.34</v>
      </c>
      <c r="AA71">
        <v>78.73</v>
      </c>
      <c r="AB71">
        <v>55.71</v>
      </c>
      <c r="AC71">
        <v>41.39</v>
      </c>
      <c r="AD71">
        <v>575.23</v>
      </c>
      <c r="AE71">
        <v>649.12</v>
      </c>
      <c r="AF71">
        <v>42.56</v>
      </c>
      <c r="AG71">
        <v>52.87</v>
      </c>
      <c r="AH71">
        <v>46.26</v>
      </c>
      <c r="AI71">
        <v>50.65</v>
      </c>
    </row>
    <row r="72" spans="1:35" x14ac:dyDescent="0.45">
      <c r="A72" s="2">
        <v>45903</v>
      </c>
      <c r="B72">
        <v>32.94</v>
      </c>
      <c r="C72">
        <v>33.049999999999997</v>
      </c>
      <c r="D72">
        <v>17.809999999999999</v>
      </c>
      <c r="E72">
        <v>25.58</v>
      </c>
      <c r="F72">
        <v>31.52</v>
      </c>
      <c r="G72">
        <v>56.01</v>
      </c>
      <c r="H72">
        <v>24.87</v>
      </c>
      <c r="I72">
        <v>58.73</v>
      </c>
      <c r="J72">
        <v>62.8</v>
      </c>
      <c r="K72">
        <v>72.91</v>
      </c>
      <c r="L72">
        <v>28.99</v>
      </c>
      <c r="M72">
        <v>57.7</v>
      </c>
      <c r="N72">
        <v>63.4</v>
      </c>
      <c r="O72">
        <v>52.62</v>
      </c>
      <c r="P72">
        <v>61.33</v>
      </c>
      <c r="Q72">
        <v>19.86</v>
      </c>
      <c r="R72">
        <v>1236.6099999999999</v>
      </c>
      <c r="S72">
        <v>33.51</v>
      </c>
      <c r="T72">
        <v>19.03</v>
      </c>
      <c r="U72">
        <v>18.25</v>
      </c>
      <c r="V72">
        <v>37.11</v>
      </c>
      <c r="W72">
        <v>45.494999999999997</v>
      </c>
      <c r="X72">
        <v>26.6</v>
      </c>
      <c r="Y72">
        <v>48.87</v>
      </c>
      <c r="Z72">
        <v>41.05</v>
      </c>
      <c r="AA72">
        <v>77.930000000000007</v>
      </c>
      <c r="AB72">
        <v>55.08</v>
      </c>
      <c r="AC72">
        <v>41.18</v>
      </c>
      <c r="AD72">
        <v>570.07000000000005</v>
      </c>
      <c r="AE72">
        <v>643.74</v>
      </c>
      <c r="AF72">
        <v>42.54</v>
      </c>
      <c r="AG72">
        <v>52.22</v>
      </c>
      <c r="AH72">
        <v>46.18</v>
      </c>
      <c r="AI72">
        <v>50.38</v>
      </c>
    </row>
    <row r="73" spans="1:35" x14ac:dyDescent="0.45">
      <c r="A73" s="2">
        <v>45902</v>
      </c>
      <c r="B73">
        <v>33.200000000000003</v>
      </c>
      <c r="C73">
        <v>32.729999999999997</v>
      </c>
      <c r="D73">
        <v>17.739999999999998</v>
      </c>
      <c r="E73">
        <v>25.68</v>
      </c>
      <c r="F73">
        <v>31.29</v>
      </c>
      <c r="G73">
        <v>54.91</v>
      </c>
      <c r="H73">
        <v>24.73</v>
      </c>
      <c r="I73">
        <v>58.05</v>
      </c>
      <c r="J73">
        <v>62.91</v>
      </c>
      <c r="K73">
        <v>71.92</v>
      </c>
      <c r="L73">
        <v>29</v>
      </c>
      <c r="M73">
        <v>57.25</v>
      </c>
      <c r="N73">
        <v>62.28</v>
      </c>
      <c r="O73">
        <v>52.35</v>
      </c>
      <c r="P73">
        <v>61.64</v>
      </c>
      <c r="Q73">
        <v>19.73</v>
      </c>
      <c r="R73">
        <v>1250.0899999999999</v>
      </c>
      <c r="S73">
        <v>33.97</v>
      </c>
      <c r="T73">
        <v>19.14</v>
      </c>
      <c r="U73">
        <v>18.14</v>
      </c>
      <c r="V73">
        <v>37.21</v>
      </c>
      <c r="W73">
        <v>45.380099999999999</v>
      </c>
      <c r="X73">
        <v>26.77</v>
      </c>
      <c r="Y73">
        <v>48.59</v>
      </c>
      <c r="Z73">
        <v>41.04</v>
      </c>
      <c r="AA73">
        <v>78.150000000000006</v>
      </c>
      <c r="AB73">
        <v>54.67</v>
      </c>
      <c r="AC73">
        <v>40.9</v>
      </c>
      <c r="AD73">
        <v>565.62</v>
      </c>
      <c r="AE73">
        <v>640.27</v>
      </c>
      <c r="AF73">
        <v>42.29</v>
      </c>
      <c r="AG73">
        <v>51.94</v>
      </c>
      <c r="AH73">
        <v>45.89</v>
      </c>
      <c r="AI73">
        <v>50.4</v>
      </c>
    </row>
    <row r="74" spans="1:35" x14ac:dyDescent="0.45">
      <c r="A74" s="2">
        <v>45898</v>
      </c>
      <c r="B74">
        <v>33.47</v>
      </c>
      <c r="C74">
        <v>32.81</v>
      </c>
      <c r="D74">
        <v>17.670000000000002</v>
      </c>
      <c r="E74">
        <v>26.15</v>
      </c>
      <c r="F74">
        <v>31.7</v>
      </c>
      <c r="G74">
        <v>53.8</v>
      </c>
      <c r="H74">
        <v>24.87</v>
      </c>
      <c r="I74">
        <v>58.82</v>
      </c>
      <c r="J74">
        <v>61.94</v>
      </c>
      <c r="K74">
        <v>72.239999999999995</v>
      </c>
      <c r="L74">
        <v>29.5</v>
      </c>
      <c r="M74">
        <v>57.67</v>
      </c>
      <c r="N74">
        <v>63.09</v>
      </c>
      <c r="O74">
        <v>51.98</v>
      </c>
      <c r="P74">
        <v>61.31</v>
      </c>
      <c r="Q74">
        <v>20</v>
      </c>
      <c r="R74">
        <v>1248.03</v>
      </c>
      <c r="S74">
        <v>35.29</v>
      </c>
      <c r="T74">
        <v>19.38</v>
      </c>
      <c r="U74">
        <v>18.29</v>
      </c>
      <c r="V74">
        <v>37.36</v>
      </c>
      <c r="W74">
        <v>44.86</v>
      </c>
      <c r="X74">
        <v>27.08</v>
      </c>
      <c r="Y74">
        <v>48.79</v>
      </c>
      <c r="Z74">
        <v>41.88</v>
      </c>
      <c r="AA74">
        <v>78.28</v>
      </c>
      <c r="AB74">
        <v>55.33</v>
      </c>
      <c r="AC74">
        <v>41.46</v>
      </c>
      <c r="AD74">
        <v>570.4</v>
      </c>
      <c r="AE74">
        <v>645.04999999999995</v>
      </c>
      <c r="AF74">
        <v>42.59</v>
      </c>
      <c r="AG74">
        <v>53</v>
      </c>
      <c r="AH74">
        <v>46.39</v>
      </c>
      <c r="AI74">
        <v>51.05</v>
      </c>
    </row>
    <row r="75" spans="1:35" x14ac:dyDescent="0.45">
      <c r="A75" s="2">
        <v>45897</v>
      </c>
      <c r="B75">
        <v>33.159999999999997</v>
      </c>
      <c r="C75">
        <v>32.58</v>
      </c>
      <c r="D75">
        <v>18.190000000000001</v>
      </c>
      <c r="E75">
        <v>26.39</v>
      </c>
      <c r="F75">
        <v>32.07</v>
      </c>
      <c r="G75">
        <v>53.418799999999997</v>
      </c>
      <c r="H75">
        <v>25.13</v>
      </c>
      <c r="I75">
        <v>59.9</v>
      </c>
      <c r="J75">
        <v>62.52</v>
      </c>
      <c r="K75">
        <v>73.64</v>
      </c>
      <c r="L75">
        <v>29.49</v>
      </c>
      <c r="M75">
        <v>57.15</v>
      </c>
      <c r="N75">
        <v>63.94</v>
      </c>
      <c r="O75">
        <v>52.54</v>
      </c>
      <c r="P75">
        <v>60.45</v>
      </c>
      <c r="Q75">
        <v>19.96</v>
      </c>
      <c r="R75">
        <v>1251.26</v>
      </c>
      <c r="S75">
        <v>35.54</v>
      </c>
      <c r="T75">
        <v>19.53</v>
      </c>
      <c r="U75">
        <v>18.315000000000001</v>
      </c>
      <c r="V75">
        <v>37.47</v>
      </c>
      <c r="W75">
        <v>44.87</v>
      </c>
      <c r="X75">
        <v>27.09</v>
      </c>
      <c r="Y75">
        <v>48.46</v>
      </c>
      <c r="Z75">
        <v>42.02</v>
      </c>
      <c r="AA75">
        <v>79.290000000000006</v>
      </c>
      <c r="AB75">
        <v>55.33</v>
      </c>
      <c r="AC75">
        <v>41.57</v>
      </c>
      <c r="AD75">
        <v>577.08000000000004</v>
      </c>
      <c r="AE75">
        <v>648.91999999999996</v>
      </c>
      <c r="AF75">
        <v>42.9</v>
      </c>
      <c r="AG75">
        <v>53.5</v>
      </c>
      <c r="AH75">
        <v>46.63</v>
      </c>
      <c r="AI75">
        <v>51.19</v>
      </c>
    </row>
    <row r="76" spans="1:35" x14ac:dyDescent="0.45">
      <c r="A76" s="2">
        <v>45896</v>
      </c>
      <c r="B76">
        <v>32.26</v>
      </c>
      <c r="C76">
        <v>32.549999999999997</v>
      </c>
      <c r="D76">
        <v>18.16</v>
      </c>
      <c r="E76">
        <v>26.56</v>
      </c>
      <c r="F76">
        <v>32.340000000000003</v>
      </c>
      <c r="G76">
        <v>52.967199999999998</v>
      </c>
      <c r="H76">
        <v>25.05</v>
      </c>
      <c r="I76">
        <v>59.77</v>
      </c>
      <c r="J76">
        <v>61.94</v>
      </c>
      <c r="K76">
        <v>72.47</v>
      </c>
      <c r="L76">
        <v>29.02</v>
      </c>
      <c r="M76">
        <v>57.38</v>
      </c>
      <c r="N76">
        <v>64.489999999999995</v>
      </c>
      <c r="O76">
        <v>52.68</v>
      </c>
      <c r="P76">
        <v>60.02</v>
      </c>
      <c r="Q76">
        <v>20.13</v>
      </c>
      <c r="R76">
        <v>1262.67</v>
      </c>
      <c r="S76">
        <v>35.51</v>
      </c>
      <c r="T76">
        <v>19.68</v>
      </c>
      <c r="U76">
        <v>18.02</v>
      </c>
      <c r="V76">
        <v>37.68</v>
      </c>
      <c r="W76">
        <v>44.67</v>
      </c>
      <c r="X76">
        <v>27</v>
      </c>
      <c r="Y76">
        <v>48.37</v>
      </c>
      <c r="Z76">
        <v>41.89</v>
      </c>
      <c r="AA76">
        <v>78.63</v>
      </c>
      <c r="AB76">
        <v>55.24</v>
      </c>
      <c r="AC76">
        <v>41.66</v>
      </c>
      <c r="AD76">
        <v>573.49</v>
      </c>
      <c r="AE76">
        <v>646.63</v>
      </c>
      <c r="AF76">
        <v>42.56</v>
      </c>
      <c r="AG76">
        <v>53.59</v>
      </c>
      <c r="AH76">
        <v>46.46</v>
      </c>
      <c r="AI76">
        <v>50.91</v>
      </c>
    </row>
    <row r="77" spans="1:35" x14ac:dyDescent="0.45">
      <c r="A77" s="2">
        <v>45895</v>
      </c>
      <c r="B77">
        <v>32.909999999999997</v>
      </c>
      <c r="C77">
        <v>32.44</v>
      </c>
      <c r="D77">
        <v>18.38</v>
      </c>
      <c r="E77">
        <v>26.12</v>
      </c>
      <c r="F77">
        <v>32.86</v>
      </c>
      <c r="G77">
        <v>53.39</v>
      </c>
      <c r="H77">
        <v>25.13</v>
      </c>
      <c r="I77">
        <v>59.5</v>
      </c>
      <c r="J77">
        <v>61.44</v>
      </c>
      <c r="K77">
        <v>72.39</v>
      </c>
      <c r="L77">
        <v>28.61</v>
      </c>
      <c r="M77">
        <v>58.1</v>
      </c>
      <c r="N77">
        <v>64.98</v>
      </c>
      <c r="O77">
        <v>52.55</v>
      </c>
      <c r="P77">
        <v>61.62</v>
      </c>
      <c r="Q77">
        <v>20.14</v>
      </c>
      <c r="R77">
        <v>1253.3900000000001</v>
      </c>
      <c r="S77">
        <v>35.97</v>
      </c>
      <c r="T77">
        <v>19.75</v>
      </c>
      <c r="U77">
        <v>17.96</v>
      </c>
      <c r="V77">
        <v>38.020000000000003</v>
      </c>
      <c r="W77">
        <v>45.19</v>
      </c>
      <c r="X77">
        <v>26.97</v>
      </c>
      <c r="Y77">
        <v>48.02</v>
      </c>
      <c r="Z77">
        <v>42.13</v>
      </c>
      <c r="AA77">
        <v>78.92</v>
      </c>
      <c r="AB77">
        <v>55.11</v>
      </c>
      <c r="AC77">
        <v>41.74</v>
      </c>
      <c r="AD77">
        <v>572.61</v>
      </c>
      <c r="AE77">
        <v>645.16</v>
      </c>
      <c r="AF77">
        <v>42.58</v>
      </c>
      <c r="AG77">
        <v>53.77</v>
      </c>
      <c r="AH77">
        <v>46.64</v>
      </c>
      <c r="AI77">
        <v>51.42</v>
      </c>
    </row>
    <row r="78" spans="1:35" x14ac:dyDescent="0.45">
      <c r="A78" s="2">
        <v>45894</v>
      </c>
      <c r="B78">
        <v>32.909999999999997</v>
      </c>
      <c r="C78">
        <v>32.71</v>
      </c>
      <c r="D78">
        <v>18.61</v>
      </c>
      <c r="E78">
        <v>26.69</v>
      </c>
      <c r="F78">
        <v>32.590000000000003</v>
      </c>
      <c r="G78">
        <v>52.93</v>
      </c>
      <c r="H78">
        <v>25.5</v>
      </c>
      <c r="I78">
        <v>59.26</v>
      </c>
      <c r="J78">
        <v>61.71</v>
      </c>
      <c r="K78">
        <v>72.73</v>
      </c>
      <c r="L78">
        <v>28.74</v>
      </c>
      <c r="M78">
        <v>58.35</v>
      </c>
      <c r="N78">
        <v>65.62</v>
      </c>
      <c r="O78">
        <v>53.23</v>
      </c>
      <c r="P78">
        <v>61.54</v>
      </c>
      <c r="Q78">
        <v>20.002600000000001</v>
      </c>
      <c r="R78">
        <v>1244.79</v>
      </c>
      <c r="S78">
        <v>35.93</v>
      </c>
      <c r="T78">
        <v>19.829999999999998</v>
      </c>
      <c r="U78">
        <v>17.22</v>
      </c>
      <c r="V78">
        <v>38.08</v>
      </c>
      <c r="W78">
        <v>45.62</v>
      </c>
      <c r="X78">
        <v>26.83</v>
      </c>
      <c r="Y78">
        <v>47.55</v>
      </c>
      <c r="Z78">
        <v>42.12</v>
      </c>
      <c r="AA78">
        <v>79.05</v>
      </c>
      <c r="AB78">
        <v>54.97</v>
      </c>
      <c r="AC78">
        <v>41.79</v>
      </c>
      <c r="AD78">
        <v>570.32000000000005</v>
      </c>
      <c r="AE78">
        <v>642.47</v>
      </c>
      <c r="AF78">
        <v>42.96</v>
      </c>
      <c r="AG78">
        <v>53.84</v>
      </c>
      <c r="AH78">
        <v>46.57</v>
      </c>
      <c r="AI78">
        <v>51.76</v>
      </c>
    </row>
    <row r="79" spans="1:35" x14ac:dyDescent="0.45">
      <c r="A79" s="2">
        <v>45891</v>
      </c>
      <c r="B79">
        <v>32.71</v>
      </c>
      <c r="C79">
        <v>32.799999999999997</v>
      </c>
      <c r="D79">
        <v>18.649999999999999</v>
      </c>
      <c r="E79">
        <v>26.63</v>
      </c>
      <c r="F79">
        <v>32.700000000000003</v>
      </c>
      <c r="G79">
        <v>53.23</v>
      </c>
      <c r="H79">
        <v>25.72</v>
      </c>
      <c r="I79">
        <v>59.66</v>
      </c>
      <c r="J79">
        <v>62.8</v>
      </c>
      <c r="K79">
        <v>73.510000000000005</v>
      </c>
      <c r="L79">
        <v>28.61</v>
      </c>
      <c r="M79">
        <v>58.8</v>
      </c>
      <c r="N79">
        <v>65.995000000000005</v>
      </c>
      <c r="O79">
        <v>53.58</v>
      </c>
      <c r="P79">
        <v>61.57</v>
      </c>
      <c r="Q79">
        <v>20.189599999999999</v>
      </c>
      <c r="R79">
        <v>1248.1300000000001</v>
      </c>
      <c r="S79">
        <v>35.69</v>
      </c>
      <c r="T79">
        <v>19.96</v>
      </c>
      <c r="U79">
        <v>17.36</v>
      </c>
      <c r="V79">
        <v>38.130000000000003</v>
      </c>
      <c r="W79">
        <v>45.782899999999998</v>
      </c>
      <c r="X79">
        <v>27.26</v>
      </c>
      <c r="Y79">
        <v>48.03</v>
      </c>
      <c r="Z79">
        <v>42.66</v>
      </c>
      <c r="AA79">
        <v>80.02</v>
      </c>
      <c r="AB79">
        <v>55.64</v>
      </c>
      <c r="AC79">
        <v>42.08</v>
      </c>
      <c r="AD79">
        <v>571.97</v>
      </c>
      <c r="AE79">
        <v>645.30999999999995</v>
      </c>
      <c r="AF79">
        <v>44.18</v>
      </c>
      <c r="AG79">
        <v>54.188000000000002</v>
      </c>
      <c r="AH79">
        <v>47.24</v>
      </c>
      <c r="AI79">
        <v>52.34</v>
      </c>
    </row>
    <row r="80" spans="1:35" x14ac:dyDescent="0.45">
      <c r="A80" s="2">
        <v>45890</v>
      </c>
      <c r="B80">
        <v>31.62</v>
      </c>
      <c r="C80">
        <v>31.9</v>
      </c>
      <c r="D80">
        <v>18.440000000000001</v>
      </c>
      <c r="E80">
        <v>26.15</v>
      </c>
      <c r="F80">
        <v>33.380000000000003</v>
      </c>
      <c r="G80">
        <v>52.009</v>
      </c>
      <c r="H80">
        <v>25.19</v>
      </c>
      <c r="I80">
        <v>58.57</v>
      </c>
      <c r="J80">
        <v>61.55</v>
      </c>
      <c r="K80">
        <v>71.22</v>
      </c>
      <c r="L80">
        <v>27.66</v>
      </c>
      <c r="M80">
        <v>56.91</v>
      </c>
      <c r="N80">
        <v>65.2</v>
      </c>
      <c r="O80">
        <v>53.57</v>
      </c>
      <c r="P80">
        <v>60</v>
      </c>
      <c r="Q80">
        <v>20.065000000000001</v>
      </c>
      <c r="R80">
        <v>1235.76</v>
      </c>
      <c r="S80">
        <v>35.51</v>
      </c>
      <c r="T80">
        <v>19.753</v>
      </c>
      <c r="U80">
        <v>17.600000000000001</v>
      </c>
      <c r="V80">
        <v>37.94</v>
      </c>
      <c r="W80">
        <v>45.58</v>
      </c>
      <c r="X80">
        <v>26.86</v>
      </c>
      <c r="Y80">
        <v>47.28</v>
      </c>
      <c r="Z80">
        <v>42.08</v>
      </c>
      <c r="AA80">
        <v>78.7</v>
      </c>
      <c r="AB80">
        <v>54.94</v>
      </c>
      <c r="AC80">
        <v>41.66</v>
      </c>
      <c r="AD80">
        <v>563.28</v>
      </c>
      <c r="AE80">
        <v>635.54999999999995</v>
      </c>
      <c r="AF80">
        <v>43.55</v>
      </c>
      <c r="AG80">
        <v>53.08</v>
      </c>
      <c r="AH80">
        <v>46.08</v>
      </c>
      <c r="AI80">
        <v>51.53</v>
      </c>
    </row>
    <row r="81" spans="1:35" x14ac:dyDescent="0.45">
      <c r="A81" s="2">
        <v>45889</v>
      </c>
      <c r="B81">
        <v>31.74</v>
      </c>
      <c r="C81">
        <v>32.04</v>
      </c>
      <c r="D81">
        <v>18.600000000000001</v>
      </c>
      <c r="E81">
        <v>26.35</v>
      </c>
      <c r="F81">
        <v>33.78</v>
      </c>
      <c r="G81">
        <v>51.75</v>
      </c>
      <c r="H81">
        <v>25.19</v>
      </c>
      <c r="I81">
        <v>58.78</v>
      </c>
      <c r="J81">
        <v>61.17</v>
      </c>
      <c r="K81">
        <v>71.36</v>
      </c>
      <c r="L81">
        <v>27.69</v>
      </c>
      <c r="M81">
        <v>57.11</v>
      </c>
      <c r="N81">
        <v>65.400000000000006</v>
      </c>
      <c r="O81">
        <v>53.8</v>
      </c>
      <c r="P81">
        <v>59.92</v>
      </c>
      <c r="Q81">
        <v>20.079999999999998</v>
      </c>
      <c r="R81">
        <v>1242.31</v>
      </c>
      <c r="S81">
        <v>35.04</v>
      </c>
      <c r="T81">
        <v>19.8</v>
      </c>
      <c r="U81">
        <v>17.690000000000001</v>
      </c>
      <c r="V81">
        <v>37.89</v>
      </c>
      <c r="W81">
        <v>45.674999999999997</v>
      </c>
      <c r="X81">
        <v>26.7</v>
      </c>
      <c r="Y81">
        <v>47.11</v>
      </c>
      <c r="Z81">
        <v>42.39</v>
      </c>
      <c r="AA81">
        <v>79.64</v>
      </c>
      <c r="AB81">
        <v>55.52</v>
      </c>
      <c r="AC81">
        <v>41.72</v>
      </c>
      <c r="AD81">
        <v>565.9</v>
      </c>
      <c r="AE81">
        <v>638.11</v>
      </c>
      <c r="AF81">
        <v>43.97</v>
      </c>
      <c r="AG81">
        <v>53.58</v>
      </c>
      <c r="AH81">
        <v>46.45</v>
      </c>
      <c r="AI81">
        <v>51.69</v>
      </c>
    </row>
    <row r="82" spans="1:35" x14ac:dyDescent="0.45">
      <c r="A82" s="2">
        <v>45888</v>
      </c>
      <c r="B82">
        <v>31.02</v>
      </c>
      <c r="C82">
        <v>32.19</v>
      </c>
      <c r="D82">
        <v>18.309999999999999</v>
      </c>
      <c r="E82">
        <v>26.25</v>
      </c>
      <c r="F82">
        <v>33.79</v>
      </c>
      <c r="G82">
        <v>51.68</v>
      </c>
      <c r="H82">
        <v>25.18</v>
      </c>
      <c r="I82">
        <v>60.09</v>
      </c>
      <c r="J82">
        <v>61.25</v>
      </c>
      <c r="K82">
        <v>71.44</v>
      </c>
      <c r="L82">
        <v>27.36</v>
      </c>
      <c r="M82">
        <v>56.67</v>
      </c>
      <c r="N82">
        <v>65.150000000000006</v>
      </c>
      <c r="O82">
        <v>53.65</v>
      </c>
      <c r="P82">
        <v>59.59</v>
      </c>
      <c r="Q82">
        <v>20.239999999999998</v>
      </c>
      <c r="R82">
        <v>1259.42</v>
      </c>
      <c r="S82">
        <v>34.5</v>
      </c>
      <c r="T82">
        <v>19.8383</v>
      </c>
      <c r="U82">
        <v>17.899999999999999</v>
      </c>
      <c r="V82">
        <v>37.840000000000003</v>
      </c>
      <c r="W82">
        <v>45.604999999999997</v>
      </c>
      <c r="X82">
        <v>26.61</v>
      </c>
      <c r="Y82">
        <v>47</v>
      </c>
      <c r="Z82">
        <v>42.39</v>
      </c>
      <c r="AA82">
        <v>80.02</v>
      </c>
      <c r="AB82">
        <v>54.9</v>
      </c>
      <c r="AC82">
        <v>41.29</v>
      </c>
      <c r="AD82">
        <v>569.28</v>
      </c>
      <c r="AE82">
        <v>639.80999999999995</v>
      </c>
      <c r="AF82">
        <v>43.82</v>
      </c>
      <c r="AG82">
        <v>53.215000000000003</v>
      </c>
      <c r="AH82">
        <v>46.56</v>
      </c>
      <c r="AI82">
        <v>51.62</v>
      </c>
    </row>
    <row r="83" spans="1:35" x14ac:dyDescent="0.45">
      <c r="A83" s="2">
        <v>45887</v>
      </c>
      <c r="B83">
        <v>31.32</v>
      </c>
      <c r="C83">
        <v>32.549999999999997</v>
      </c>
      <c r="D83">
        <v>18.43</v>
      </c>
      <c r="E83">
        <v>26.34</v>
      </c>
      <c r="F83">
        <v>33.64</v>
      </c>
      <c r="G83">
        <v>52.382100000000001</v>
      </c>
      <c r="H83">
        <v>25.13</v>
      </c>
      <c r="I83">
        <v>61.04</v>
      </c>
      <c r="J83">
        <v>61.19</v>
      </c>
      <c r="K83">
        <v>72.8</v>
      </c>
      <c r="L83">
        <v>28.29</v>
      </c>
      <c r="M83">
        <v>57.11</v>
      </c>
      <c r="N83">
        <v>65.58</v>
      </c>
      <c r="O83">
        <v>53.5</v>
      </c>
      <c r="P83">
        <v>60.04</v>
      </c>
      <c r="Q83">
        <v>20.38</v>
      </c>
      <c r="R83">
        <v>1266.67</v>
      </c>
      <c r="S83">
        <v>34.47</v>
      </c>
      <c r="T83">
        <v>19.965</v>
      </c>
      <c r="U83">
        <v>17.84</v>
      </c>
      <c r="V83">
        <v>37.83</v>
      </c>
      <c r="W83">
        <v>45.844999999999999</v>
      </c>
      <c r="X83">
        <v>26.84</v>
      </c>
      <c r="Y83">
        <v>47.35</v>
      </c>
      <c r="Z83">
        <v>42.45</v>
      </c>
      <c r="AA83">
        <v>80.3</v>
      </c>
      <c r="AB83">
        <v>54.35</v>
      </c>
      <c r="AC83">
        <v>41.29</v>
      </c>
      <c r="AD83">
        <v>577.11</v>
      </c>
      <c r="AE83">
        <v>643.29999999999995</v>
      </c>
      <c r="AF83">
        <v>43.55</v>
      </c>
      <c r="AG83">
        <v>53.13</v>
      </c>
      <c r="AH83">
        <v>46.28</v>
      </c>
      <c r="AI83">
        <v>51.54</v>
      </c>
    </row>
    <row r="84" spans="1:35" x14ac:dyDescent="0.45">
      <c r="A84" s="2">
        <v>45884</v>
      </c>
      <c r="B84">
        <v>30.97</v>
      </c>
      <c r="C84">
        <v>32.4</v>
      </c>
      <c r="D84">
        <v>18.5</v>
      </c>
      <c r="E84">
        <v>26.39</v>
      </c>
      <c r="F84">
        <v>33.450000000000003</v>
      </c>
      <c r="G84">
        <v>52.191600000000001</v>
      </c>
      <c r="H84">
        <v>24.98</v>
      </c>
      <c r="I84">
        <v>60.42</v>
      </c>
      <c r="J84">
        <v>61.34</v>
      </c>
      <c r="K84">
        <v>73.39</v>
      </c>
      <c r="L84">
        <v>28.2</v>
      </c>
      <c r="M84">
        <v>57.62</v>
      </c>
      <c r="N84">
        <v>66.89</v>
      </c>
      <c r="O84">
        <v>52.71</v>
      </c>
      <c r="P84">
        <v>59.68</v>
      </c>
      <c r="Q84">
        <v>20.54</v>
      </c>
      <c r="R84">
        <v>1277.43</v>
      </c>
      <c r="S84">
        <v>34.24</v>
      </c>
      <c r="T84">
        <v>19.905000000000001</v>
      </c>
      <c r="U84">
        <v>17.71</v>
      </c>
      <c r="V84">
        <v>37.549999999999997</v>
      </c>
      <c r="W84">
        <v>45.683999999999997</v>
      </c>
      <c r="X84">
        <v>26.83</v>
      </c>
      <c r="Y84">
        <v>47.27</v>
      </c>
      <c r="Z84">
        <v>42.58</v>
      </c>
      <c r="AA84">
        <v>80.150000000000006</v>
      </c>
      <c r="AB84">
        <v>54.5</v>
      </c>
      <c r="AC84">
        <v>41.27</v>
      </c>
      <c r="AD84">
        <v>577.34</v>
      </c>
      <c r="AE84">
        <v>643.44000000000005</v>
      </c>
      <c r="AF84">
        <v>43.89</v>
      </c>
      <c r="AG84">
        <v>53.16</v>
      </c>
      <c r="AH84">
        <v>46.61</v>
      </c>
      <c r="AI84">
        <v>51.79</v>
      </c>
    </row>
    <row r="85" spans="1:35" x14ac:dyDescent="0.45">
      <c r="A85" s="2">
        <v>45883</v>
      </c>
      <c r="B85">
        <v>30.72</v>
      </c>
      <c r="C85">
        <v>32.270000000000003</v>
      </c>
      <c r="D85">
        <v>18.63</v>
      </c>
      <c r="E85">
        <v>26.28</v>
      </c>
      <c r="F85">
        <v>33.270000000000003</v>
      </c>
      <c r="G85">
        <v>51.95</v>
      </c>
      <c r="H85">
        <v>25.03</v>
      </c>
      <c r="I85">
        <v>60.65</v>
      </c>
      <c r="J85">
        <v>60.99</v>
      </c>
      <c r="K85">
        <v>73.66</v>
      </c>
      <c r="L85">
        <v>27.89</v>
      </c>
      <c r="M85">
        <v>57.64</v>
      </c>
      <c r="N85">
        <v>66.53</v>
      </c>
      <c r="O85">
        <v>52.41</v>
      </c>
      <c r="P85">
        <v>59.3</v>
      </c>
      <c r="Q85">
        <v>20.52</v>
      </c>
      <c r="R85">
        <v>1259.07</v>
      </c>
      <c r="S85">
        <v>34.11</v>
      </c>
      <c r="T85">
        <v>19.98</v>
      </c>
      <c r="U85">
        <v>17.760000000000002</v>
      </c>
      <c r="V85">
        <v>37.590000000000003</v>
      </c>
      <c r="W85">
        <v>45.57</v>
      </c>
      <c r="X85">
        <v>26.74</v>
      </c>
      <c r="Y85">
        <v>47.33</v>
      </c>
      <c r="Z85">
        <v>42.5</v>
      </c>
      <c r="AA85">
        <v>78.8</v>
      </c>
      <c r="AB85">
        <v>54.1</v>
      </c>
      <c r="AC85">
        <v>41.5</v>
      </c>
      <c r="AD85">
        <v>579.89</v>
      </c>
      <c r="AE85">
        <v>644.95000000000005</v>
      </c>
      <c r="AF85">
        <v>43.5</v>
      </c>
      <c r="AG85">
        <v>53.3</v>
      </c>
      <c r="AH85">
        <v>46.06</v>
      </c>
      <c r="AI85">
        <v>51.56</v>
      </c>
    </row>
    <row r="86" spans="1:35" x14ac:dyDescent="0.45">
      <c r="A86" s="2">
        <v>45882</v>
      </c>
      <c r="B86">
        <v>31.01</v>
      </c>
      <c r="C86">
        <v>32.54</v>
      </c>
      <c r="D86">
        <v>18.829999999999998</v>
      </c>
      <c r="E86">
        <v>26.72</v>
      </c>
      <c r="F86">
        <v>34.07</v>
      </c>
      <c r="G86">
        <v>52.16</v>
      </c>
      <c r="H86">
        <v>25.27</v>
      </c>
      <c r="I86">
        <v>61.03</v>
      </c>
      <c r="J86">
        <v>61.99</v>
      </c>
      <c r="K86">
        <v>74.72</v>
      </c>
      <c r="L86">
        <v>28.18</v>
      </c>
      <c r="M86">
        <v>58.36</v>
      </c>
      <c r="N86">
        <v>66.81</v>
      </c>
      <c r="O86">
        <v>52.71</v>
      </c>
      <c r="P86">
        <v>60.56</v>
      </c>
      <c r="Q86">
        <v>20.56</v>
      </c>
      <c r="R86">
        <v>1265.1500000000001</v>
      </c>
      <c r="S86">
        <v>34.47</v>
      </c>
      <c r="T86">
        <v>19.93</v>
      </c>
      <c r="U86">
        <v>17.46</v>
      </c>
      <c r="V86">
        <v>37.44</v>
      </c>
      <c r="W86">
        <v>45.82</v>
      </c>
      <c r="X86">
        <v>26.91</v>
      </c>
      <c r="Y86">
        <v>47.64</v>
      </c>
      <c r="Z86">
        <v>42.38</v>
      </c>
      <c r="AA86">
        <v>79.27</v>
      </c>
      <c r="AB86">
        <v>54.2</v>
      </c>
      <c r="AC86">
        <v>41.36</v>
      </c>
      <c r="AD86">
        <v>580.34</v>
      </c>
      <c r="AE86">
        <v>644.89</v>
      </c>
      <c r="AF86">
        <v>43.31</v>
      </c>
      <c r="AG86">
        <v>53.36</v>
      </c>
      <c r="AH86">
        <v>46.02</v>
      </c>
      <c r="AI86">
        <v>51.1</v>
      </c>
    </row>
    <row r="87" spans="1:35" x14ac:dyDescent="0.45">
      <c r="A87" s="2">
        <v>45881</v>
      </c>
      <c r="B87">
        <v>30.73</v>
      </c>
      <c r="C87">
        <v>31.97</v>
      </c>
      <c r="D87">
        <v>18.61</v>
      </c>
      <c r="E87">
        <v>26.55</v>
      </c>
      <c r="F87">
        <v>33.99</v>
      </c>
      <c r="G87">
        <v>51.75</v>
      </c>
      <c r="H87">
        <v>24.94</v>
      </c>
      <c r="I87">
        <v>61.09</v>
      </c>
      <c r="J87">
        <v>62.33</v>
      </c>
      <c r="K87">
        <v>74.099999999999994</v>
      </c>
      <c r="L87">
        <v>28.39</v>
      </c>
      <c r="M87">
        <v>57.5</v>
      </c>
      <c r="N87">
        <v>66.349999999999994</v>
      </c>
      <c r="O87">
        <v>52.465000000000003</v>
      </c>
      <c r="P87">
        <v>58.73</v>
      </c>
      <c r="Q87">
        <v>20.27</v>
      </c>
      <c r="R87">
        <v>1264.47</v>
      </c>
      <c r="S87">
        <v>34.54</v>
      </c>
      <c r="T87">
        <v>20.149999999999999</v>
      </c>
      <c r="U87">
        <v>17.440000000000001</v>
      </c>
      <c r="V87">
        <v>37.49</v>
      </c>
      <c r="W87">
        <v>45.658999999999999</v>
      </c>
      <c r="X87">
        <v>26.96</v>
      </c>
      <c r="Y87">
        <v>47.51</v>
      </c>
      <c r="Z87">
        <v>42.15</v>
      </c>
      <c r="AA87">
        <v>79.23</v>
      </c>
      <c r="AB87">
        <v>53.81</v>
      </c>
      <c r="AC87">
        <v>41.03</v>
      </c>
      <c r="AD87">
        <v>580.04999999999995</v>
      </c>
      <c r="AE87">
        <v>642.69000000000005</v>
      </c>
      <c r="AF87">
        <v>42.89</v>
      </c>
      <c r="AG87">
        <v>52.967399999999998</v>
      </c>
      <c r="AH87">
        <v>45.99</v>
      </c>
      <c r="AI87">
        <v>50.64</v>
      </c>
    </row>
    <row r="88" spans="1:35" x14ac:dyDescent="0.45">
      <c r="A88" s="2">
        <v>45880</v>
      </c>
      <c r="B88">
        <v>30.295000000000002</v>
      </c>
      <c r="C88">
        <v>31.47</v>
      </c>
      <c r="D88">
        <v>17.98</v>
      </c>
      <c r="E88">
        <v>26.19</v>
      </c>
      <c r="F88">
        <v>33.44</v>
      </c>
      <c r="G88">
        <v>51.130899999999997</v>
      </c>
      <c r="H88">
        <v>24.6</v>
      </c>
      <c r="I88">
        <v>60.28</v>
      </c>
      <c r="J88">
        <v>61.54</v>
      </c>
      <c r="K88">
        <v>73.03</v>
      </c>
      <c r="L88">
        <v>27.64</v>
      </c>
      <c r="M88">
        <v>56.36</v>
      </c>
      <c r="N88">
        <v>65.680000000000007</v>
      </c>
      <c r="O88">
        <v>52.27</v>
      </c>
      <c r="P88">
        <v>57.82</v>
      </c>
      <c r="Q88">
        <v>20.034600000000001</v>
      </c>
      <c r="R88">
        <v>1246.96</v>
      </c>
      <c r="S88">
        <v>34.844799999999999</v>
      </c>
      <c r="T88">
        <v>20.079999999999998</v>
      </c>
      <c r="U88">
        <v>17.27</v>
      </c>
      <c r="V88">
        <v>37.43</v>
      </c>
      <c r="W88">
        <v>45.79</v>
      </c>
      <c r="X88">
        <v>26.65</v>
      </c>
      <c r="Y88">
        <v>47.28</v>
      </c>
      <c r="Z88">
        <v>41.94</v>
      </c>
      <c r="AA88">
        <v>77.790000000000006</v>
      </c>
      <c r="AB88">
        <v>53.2</v>
      </c>
      <c r="AC88">
        <v>40.64</v>
      </c>
      <c r="AD88">
        <v>572.85</v>
      </c>
      <c r="AE88">
        <v>635.91999999999996</v>
      </c>
      <c r="AF88">
        <v>42.35</v>
      </c>
      <c r="AG88">
        <v>52.37</v>
      </c>
      <c r="AH88">
        <v>45.23</v>
      </c>
      <c r="AI88">
        <v>49.99</v>
      </c>
    </row>
    <row r="89" spans="1:35" x14ac:dyDescent="0.45">
      <c r="A89" s="2">
        <v>45877</v>
      </c>
      <c r="B89">
        <v>30.27</v>
      </c>
      <c r="C89">
        <v>31.41</v>
      </c>
      <c r="D89">
        <v>17.829999999999998</v>
      </c>
      <c r="E89">
        <v>26.63</v>
      </c>
      <c r="F89">
        <v>33.97</v>
      </c>
      <c r="G89">
        <v>51.72</v>
      </c>
      <c r="H89">
        <v>24.51</v>
      </c>
      <c r="I89">
        <v>60.29</v>
      </c>
      <c r="J89">
        <v>61.64</v>
      </c>
      <c r="K89">
        <v>73.5</v>
      </c>
      <c r="L89">
        <v>27.81</v>
      </c>
      <c r="M89">
        <v>56.45</v>
      </c>
      <c r="N89">
        <v>65.069199999999995</v>
      </c>
      <c r="O89">
        <v>52.12</v>
      </c>
      <c r="P89">
        <v>58.19</v>
      </c>
      <c r="Q89">
        <v>19.93</v>
      </c>
      <c r="R89">
        <v>1229.4000000000001</v>
      </c>
      <c r="S89">
        <v>34.68</v>
      </c>
      <c r="T89">
        <v>20.14</v>
      </c>
      <c r="U89">
        <v>17.18</v>
      </c>
      <c r="V89">
        <v>37.83</v>
      </c>
      <c r="W89">
        <v>45.744999999999997</v>
      </c>
      <c r="X89">
        <v>26.63</v>
      </c>
      <c r="Y89">
        <v>47.34</v>
      </c>
      <c r="Z89">
        <v>42.34</v>
      </c>
      <c r="AA89">
        <v>77.930000000000007</v>
      </c>
      <c r="AB89">
        <v>53.6</v>
      </c>
      <c r="AC89">
        <v>40.53</v>
      </c>
      <c r="AD89">
        <v>574.54999999999995</v>
      </c>
      <c r="AE89">
        <v>637.17999999999995</v>
      </c>
      <c r="AF89">
        <v>42.68</v>
      </c>
      <c r="AG89">
        <v>52.52</v>
      </c>
      <c r="AH89">
        <v>45.88</v>
      </c>
      <c r="AI89">
        <v>50.16</v>
      </c>
    </row>
    <row r="90" spans="1:35" x14ac:dyDescent="0.45">
      <c r="A90" s="2">
        <v>45876</v>
      </c>
      <c r="B90">
        <v>30.3</v>
      </c>
      <c r="C90">
        <v>30.74</v>
      </c>
      <c r="D90">
        <v>17.72</v>
      </c>
      <c r="E90">
        <v>26.49</v>
      </c>
      <c r="F90">
        <v>33.53</v>
      </c>
      <c r="G90">
        <v>50.705500000000001</v>
      </c>
      <c r="H90">
        <v>24.38</v>
      </c>
      <c r="I90">
        <v>60.36</v>
      </c>
      <c r="J90">
        <v>61.65</v>
      </c>
      <c r="K90">
        <v>73.44</v>
      </c>
      <c r="L90">
        <v>28.05</v>
      </c>
      <c r="M90">
        <v>56.66</v>
      </c>
      <c r="N90">
        <v>64.58</v>
      </c>
      <c r="O90">
        <v>52.53</v>
      </c>
      <c r="P90">
        <v>58.2</v>
      </c>
      <c r="Q90">
        <v>19.946000000000002</v>
      </c>
      <c r="R90">
        <v>1218.33</v>
      </c>
      <c r="S90">
        <v>34.61</v>
      </c>
      <c r="T90">
        <v>20.100000000000001</v>
      </c>
      <c r="U90">
        <v>16.8</v>
      </c>
      <c r="V90">
        <v>37.83</v>
      </c>
      <c r="W90">
        <v>45.795000000000002</v>
      </c>
      <c r="X90">
        <v>26.6</v>
      </c>
      <c r="Y90">
        <v>47.34</v>
      </c>
      <c r="Z90">
        <v>42.33</v>
      </c>
      <c r="AA90">
        <v>76.62</v>
      </c>
      <c r="AB90">
        <v>53.68</v>
      </c>
      <c r="AC90">
        <v>40.49</v>
      </c>
      <c r="AD90">
        <v>569.24</v>
      </c>
      <c r="AE90">
        <v>632.25</v>
      </c>
      <c r="AF90">
        <v>42.49</v>
      </c>
      <c r="AG90">
        <v>52.2</v>
      </c>
      <c r="AH90">
        <v>45.6</v>
      </c>
      <c r="AI90">
        <v>49.95</v>
      </c>
    </row>
    <row r="91" spans="1:35" x14ac:dyDescent="0.45">
      <c r="A91" s="2">
        <v>45875</v>
      </c>
      <c r="B91">
        <v>30.33</v>
      </c>
      <c r="C91">
        <v>30.09</v>
      </c>
      <c r="D91">
        <v>17.66</v>
      </c>
      <c r="E91">
        <v>26.41</v>
      </c>
      <c r="F91">
        <v>32.840000000000003</v>
      </c>
      <c r="G91">
        <v>50.183300000000003</v>
      </c>
      <c r="H91">
        <v>24.4</v>
      </c>
      <c r="I91">
        <v>59.14</v>
      </c>
      <c r="J91">
        <v>60.76</v>
      </c>
      <c r="K91">
        <v>73.180000000000007</v>
      </c>
      <c r="L91">
        <v>27.45</v>
      </c>
      <c r="M91">
        <v>56.17</v>
      </c>
      <c r="N91">
        <v>64.2</v>
      </c>
      <c r="O91">
        <v>52.255000000000003</v>
      </c>
      <c r="P91">
        <v>58.36</v>
      </c>
      <c r="Q91">
        <v>19.850000000000001</v>
      </c>
      <c r="R91">
        <v>1242.3499999999999</v>
      </c>
      <c r="S91">
        <v>34.46</v>
      </c>
      <c r="T91">
        <v>20.25</v>
      </c>
      <c r="U91">
        <v>17.09</v>
      </c>
      <c r="V91">
        <v>38.04</v>
      </c>
      <c r="W91">
        <v>45.63</v>
      </c>
      <c r="X91">
        <v>26.66</v>
      </c>
      <c r="Y91">
        <v>47.73</v>
      </c>
      <c r="Z91">
        <v>41.84</v>
      </c>
      <c r="AA91">
        <v>76.03</v>
      </c>
      <c r="AB91">
        <v>52.98</v>
      </c>
      <c r="AC91">
        <v>40.380000000000003</v>
      </c>
      <c r="AD91">
        <v>567.32000000000005</v>
      </c>
      <c r="AE91">
        <v>632.78</v>
      </c>
      <c r="AF91">
        <v>42.02</v>
      </c>
      <c r="AG91">
        <v>51.43</v>
      </c>
      <c r="AH91">
        <v>44.82</v>
      </c>
      <c r="AI91">
        <v>49.52</v>
      </c>
    </row>
    <row r="92" spans="1:35" x14ac:dyDescent="0.45">
      <c r="A92" s="2">
        <v>45874</v>
      </c>
      <c r="B92">
        <v>30.17</v>
      </c>
      <c r="C92">
        <v>30.26</v>
      </c>
      <c r="D92">
        <v>17.62</v>
      </c>
      <c r="E92">
        <v>26.16</v>
      </c>
      <c r="F92">
        <v>31.79</v>
      </c>
      <c r="G92">
        <v>49.7</v>
      </c>
      <c r="H92">
        <v>24.24</v>
      </c>
      <c r="I92">
        <v>58.92</v>
      </c>
      <c r="J92">
        <v>60.19</v>
      </c>
      <c r="K92">
        <v>72.89</v>
      </c>
      <c r="L92">
        <v>27.02</v>
      </c>
      <c r="M92">
        <v>55.4</v>
      </c>
      <c r="N92">
        <v>62.98</v>
      </c>
      <c r="O92">
        <v>52.41</v>
      </c>
      <c r="P92">
        <v>57.86</v>
      </c>
      <c r="Q92">
        <v>19.785</v>
      </c>
      <c r="R92">
        <v>1244.1400000000001</v>
      </c>
      <c r="S92">
        <v>34.29</v>
      </c>
      <c r="T92">
        <v>20.010000000000002</v>
      </c>
      <c r="U92">
        <v>16.670000000000002</v>
      </c>
      <c r="V92">
        <v>37.78</v>
      </c>
      <c r="W92">
        <v>45.255000000000003</v>
      </c>
      <c r="X92">
        <v>26.41</v>
      </c>
      <c r="Y92">
        <v>46.93</v>
      </c>
      <c r="Z92">
        <v>41.49</v>
      </c>
      <c r="AA92">
        <v>75.03</v>
      </c>
      <c r="AB92">
        <v>53.48</v>
      </c>
      <c r="AC92">
        <v>40.229999999999997</v>
      </c>
      <c r="AD92">
        <v>560.27</v>
      </c>
      <c r="AE92">
        <v>627.97</v>
      </c>
      <c r="AF92">
        <v>41.83</v>
      </c>
      <c r="AG92">
        <v>51.33</v>
      </c>
      <c r="AH92">
        <v>44.45</v>
      </c>
      <c r="AI92">
        <v>48.74</v>
      </c>
    </row>
    <row r="93" spans="1:35" x14ac:dyDescent="0.45">
      <c r="A93" s="2">
        <v>45873</v>
      </c>
      <c r="B93">
        <v>29.9</v>
      </c>
      <c r="C93">
        <v>30.24</v>
      </c>
      <c r="D93">
        <v>17.59</v>
      </c>
      <c r="E93">
        <v>26.35</v>
      </c>
      <c r="F93">
        <v>31.94</v>
      </c>
      <c r="G93">
        <v>49.27</v>
      </c>
      <c r="H93">
        <v>24.13</v>
      </c>
      <c r="I93">
        <v>58.84</v>
      </c>
      <c r="J93">
        <v>59.23</v>
      </c>
      <c r="K93">
        <v>72.33</v>
      </c>
      <c r="L93">
        <v>26.93</v>
      </c>
      <c r="M93">
        <v>55.05</v>
      </c>
      <c r="N93">
        <v>62.02</v>
      </c>
      <c r="O93">
        <v>52.48</v>
      </c>
      <c r="P93">
        <v>57.47</v>
      </c>
      <c r="Q93">
        <v>19.71</v>
      </c>
      <c r="R93">
        <v>1233.68</v>
      </c>
      <c r="S93">
        <v>34.32</v>
      </c>
      <c r="T93">
        <v>20.21</v>
      </c>
      <c r="U93">
        <v>16.579999999999998</v>
      </c>
      <c r="V93">
        <v>37.630000000000003</v>
      </c>
      <c r="W93">
        <v>44.93</v>
      </c>
      <c r="X93">
        <v>26.28</v>
      </c>
      <c r="Y93">
        <v>46.58</v>
      </c>
      <c r="Z93">
        <v>41.3</v>
      </c>
      <c r="AA93">
        <v>75.290000000000006</v>
      </c>
      <c r="AB93">
        <v>53.31</v>
      </c>
      <c r="AC93">
        <v>40.21</v>
      </c>
      <c r="AD93">
        <v>564.1</v>
      </c>
      <c r="AE93">
        <v>631.16999999999996</v>
      </c>
      <c r="AF93">
        <v>41.86</v>
      </c>
      <c r="AG93">
        <v>51.35</v>
      </c>
      <c r="AH93">
        <v>44.3</v>
      </c>
      <c r="AI93">
        <v>48.57</v>
      </c>
    </row>
    <row r="94" spans="1:35" x14ac:dyDescent="0.45">
      <c r="A94" s="2">
        <v>45870</v>
      </c>
      <c r="B94">
        <v>29.6</v>
      </c>
      <c r="C94">
        <v>29.98</v>
      </c>
      <c r="D94">
        <v>17.61</v>
      </c>
      <c r="E94">
        <v>25.78</v>
      </c>
      <c r="F94">
        <v>31.7</v>
      </c>
      <c r="G94">
        <v>48.35</v>
      </c>
      <c r="H94">
        <v>23.98</v>
      </c>
      <c r="I94">
        <v>58.39</v>
      </c>
      <c r="J94">
        <v>59.6</v>
      </c>
      <c r="K94">
        <v>70.650000000000006</v>
      </c>
      <c r="L94">
        <v>26.65</v>
      </c>
      <c r="M94">
        <v>53.43</v>
      </c>
      <c r="N94">
        <v>60.34</v>
      </c>
      <c r="O94">
        <v>52.72</v>
      </c>
      <c r="P94">
        <v>56.52</v>
      </c>
      <c r="Q94">
        <v>19.664999999999999</v>
      </c>
      <c r="R94">
        <v>1217.1500000000001</v>
      </c>
      <c r="S94">
        <v>33.92</v>
      </c>
      <c r="T94">
        <v>19.95</v>
      </c>
      <c r="U94">
        <v>15.95</v>
      </c>
      <c r="V94">
        <v>37.32</v>
      </c>
      <c r="W94">
        <v>44.69</v>
      </c>
      <c r="X94">
        <v>25.91</v>
      </c>
      <c r="Y94">
        <v>45.86</v>
      </c>
      <c r="Z94">
        <v>40.75</v>
      </c>
      <c r="AA94">
        <v>74.069999999999993</v>
      </c>
      <c r="AB94">
        <v>52.43</v>
      </c>
      <c r="AC94">
        <v>39.94</v>
      </c>
      <c r="AD94">
        <v>553.88</v>
      </c>
      <c r="AE94">
        <v>621.72</v>
      </c>
      <c r="AF94">
        <v>41.43</v>
      </c>
      <c r="AG94">
        <v>50.85</v>
      </c>
      <c r="AH94">
        <v>43.68</v>
      </c>
      <c r="AI94">
        <v>47.83</v>
      </c>
    </row>
    <row r="95" spans="1:35" x14ac:dyDescent="0.45">
      <c r="A95" s="2">
        <v>45869</v>
      </c>
      <c r="B95">
        <v>29.68</v>
      </c>
      <c r="C95">
        <v>29.83</v>
      </c>
      <c r="D95">
        <v>17.27</v>
      </c>
      <c r="E95">
        <v>25.42</v>
      </c>
      <c r="F95">
        <v>31.75</v>
      </c>
      <c r="G95">
        <v>48.65</v>
      </c>
      <c r="H95">
        <v>23.49</v>
      </c>
      <c r="I95">
        <v>58.36</v>
      </c>
      <c r="J95">
        <v>60.14</v>
      </c>
      <c r="K95">
        <v>72.81</v>
      </c>
      <c r="L95">
        <v>26.55</v>
      </c>
      <c r="M95">
        <v>53.05</v>
      </c>
      <c r="N95">
        <v>60.51</v>
      </c>
      <c r="O95">
        <v>52.64</v>
      </c>
      <c r="P95">
        <v>57.43</v>
      </c>
      <c r="Q95">
        <v>19.655000000000001</v>
      </c>
      <c r="R95">
        <v>1212.49</v>
      </c>
      <c r="S95">
        <v>33.85</v>
      </c>
      <c r="T95">
        <v>20.039899999999999</v>
      </c>
      <c r="U95">
        <v>16.010000000000002</v>
      </c>
      <c r="V95">
        <v>37.56</v>
      </c>
      <c r="W95">
        <v>45.05</v>
      </c>
      <c r="X95">
        <v>26.02</v>
      </c>
      <c r="Y95">
        <v>46.18</v>
      </c>
      <c r="Z95">
        <v>41.15</v>
      </c>
      <c r="AA95">
        <v>73.62</v>
      </c>
      <c r="AB95">
        <v>52.72</v>
      </c>
      <c r="AC95">
        <v>39.81</v>
      </c>
      <c r="AD95">
        <v>565.01</v>
      </c>
      <c r="AE95">
        <v>632.08000000000004</v>
      </c>
      <c r="AF95">
        <v>41.94</v>
      </c>
      <c r="AG95">
        <v>51.26</v>
      </c>
      <c r="AH95">
        <v>43.86</v>
      </c>
      <c r="AI95">
        <v>48.25</v>
      </c>
    </row>
    <row r="96" spans="1:35" x14ac:dyDescent="0.45">
      <c r="A96" s="2">
        <v>45868</v>
      </c>
      <c r="B96">
        <v>30.24</v>
      </c>
      <c r="C96">
        <v>29.48</v>
      </c>
      <c r="D96">
        <v>17.579999999999998</v>
      </c>
      <c r="E96">
        <v>26.175000000000001</v>
      </c>
      <c r="F96">
        <v>32.21</v>
      </c>
      <c r="G96">
        <v>47.99</v>
      </c>
      <c r="H96">
        <v>23.84</v>
      </c>
      <c r="I96">
        <v>58.35</v>
      </c>
      <c r="J96">
        <v>60.17</v>
      </c>
      <c r="K96">
        <v>73.680000000000007</v>
      </c>
      <c r="L96">
        <v>26.88</v>
      </c>
      <c r="M96">
        <v>53.99</v>
      </c>
      <c r="N96">
        <v>60.44</v>
      </c>
      <c r="O96">
        <v>52.7</v>
      </c>
      <c r="P96">
        <v>57.89</v>
      </c>
      <c r="Q96">
        <v>19.66</v>
      </c>
      <c r="R96">
        <v>1219.6199999999999</v>
      </c>
      <c r="S96">
        <v>33.659999999999997</v>
      </c>
      <c r="T96">
        <v>20.260000000000002</v>
      </c>
      <c r="U96">
        <v>16.03</v>
      </c>
      <c r="V96">
        <v>37.619999999999997</v>
      </c>
      <c r="W96">
        <v>45.19</v>
      </c>
      <c r="X96">
        <v>26.15</v>
      </c>
      <c r="Y96">
        <v>46.38</v>
      </c>
      <c r="Z96">
        <v>41.63</v>
      </c>
      <c r="AA96">
        <v>73.98</v>
      </c>
      <c r="AB96">
        <v>53.48</v>
      </c>
      <c r="AC96">
        <v>40.04</v>
      </c>
      <c r="AD96">
        <v>568.02</v>
      </c>
      <c r="AE96">
        <v>634.46</v>
      </c>
      <c r="AF96">
        <v>42.47</v>
      </c>
      <c r="AG96">
        <v>52.2</v>
      </c>
      <c r="AH96">
        <v>44.54</v>
      </c>
      <c r="AI96">
        <v>49.13</v>
      </c>
    </row>
    <row r="97" spans="1:35" x14ac:dyDescent="0.45">
      <c r="A97" s="2">
        <v>45867</v>
      </c>
      <c r="B97">
        <v>30.44</v>
      </c>
      <c r="C97">
        <v>29.83</v>
      </c>
      <c r="D97">
        <v>17.8</v>
      </c>
      <c r="E97">
        <v>26.37</v>
      </c>
      <c r="F97">
        <v>32.25</v>
      </c>
      <c r="G97">
        <v>49.44</v>
      </c>
      <c r="H97">
        <v>24.04</v>
      </c>
      <c r="I97">
        <v>58.62</v>
      </c>
      <c r="J97">
        <v>60.93</v>
      </c>
      <c r="K97">
        <v>73.489999999999995</v>
      </c>
      <c r="L97">
        <v>26.76</v>
      </c>
      <c r="M97">
        <v>54.54</v>
      </c>
      <c r="N97">
        <v>60.98</v>
      </c>
      <c r="O97">
        <v>53.49</v>
      </c>
      <c r="P97">
        <v>58.56</v>
      </c>
      <c r="Q97">
        <v>19.600000000000001</v>
      </c>
      <c r="R97">
        <v>1191.75</v>
      </c>
      <c r="S97">
        <v>33.28</v>
      </c>
      <c r="T97">
        <v>20.145</v>
      </c>
      <c r="U97">
        <v>15.9</v>
      </c>
      <c r="V97">
        <v>37.39</v>
      </c>
      <c r="W97">
        <v>45.834299999999999</v>
      </c>
      <c r="X97">
        <v>26.37</v>
      </c>
      <c r="Y97">
        <v>46.79</v>
      </c>
      <c r="Z97">
        <v>41.89</v>
      </c>
      <c r="AA97">
        <v>73.88</v>
      </c>
      <c r="AB97">
        <v>54.12</v>
      </c>
      <c r="AC97">
        <v>40.39</v>
      </c>
      <c r="AD97">
        <v>567.26</v>
      </c>
      <c r="AE97">
        <v>635.26</v>
      </c>
      <c r="AF97">
        <v>42.91</v>
      </c>
      <c r="AG97">
        <v>52.69</v>
      </c>
      <c r="AH97">
        <v>44.96</v>
      </c>
      <c r="AI97">
        <v>49.06</v>
      </c>
    </row>
    <row r="98" spans="1:35" x14ac:dyDescent="0.45">
      <c r="A98" s="2">
        <v>45866</v>
      </c>
      <c r="B98">
        <v>30.29</v>
      </c>
      <c r="C98">
        <v>29.78</v>
      </c>
      <c r="D98">
        <v>17.75</v>
      </c>
      <c r="E98">
        <v>26.55</v>
      </c>
      <c r="F98">
        <v>32.130000000000003</v>
      </c>
      <c r="G98">
        <v>49.15</v>
      </c>
      <c r="H98">
        <v>24.05</v>
      </c>
      <c r="I98">
        <v>59.06</v>
      </c>
      <c r="J98">
        <v>60.06</v>
      </c>
      <c r="K98">
        <v>72.709999999999994</v>
      </c>
      <c r="L98">
        <v>26.52</v>
      </c>
      <c r="M98">
        <v>54.22</v>
      </c>
      <c r="N98">
        <v>60.45</v>
      </c>
      <c r="O98">
        <v>53.23</v>
      </c>
      <c r="P98">
        <v>58.7</v>
      </c>
      <c r="Q98">
        <v>19.600000000000001</v>
      </c>
      <c r="R98">
        <v>1208.1300000000001</v>
      </c>
      <c r="S98">
        <v>33.43</v>
      </c>
      <c r="T98">
        <v>20.32</v>
      </c>
      <c r="U98">
        <v>16.78</v>
      </c>
      <c r="V98">
        <v>37.61</v>
      </c>
      <c r="W98">
        <v>45.64</v>
      </c>
      <c r="X98">
        <v>26.22</v>
      </c>
      <c r="Y98">
        <v>46.72</v>
      </c>
      <c r="Z98">
        <v>41.67</v>
      </c>
      <c r="AA98">
        <v>74.27</v>
      </c>
      <c r="AB98">
        <v>54.16</v>
      </c>
      <c r="AC98">
        <v>40.119999999999997</v>
      </c>
      <c r="AD98">
        <v>568.14</v>
      </c>
      <c r="AE98">
        <v>636.94000000000005</v>
      </c>
      <c r="AF98">
        <v>42.8</v>
      </c>
      <c r="AG98">
        <v>52.91</v>
      </c>
      <c r="AH98">
        <v>45.78</v>
      </c>
      <c r="AI98">
        <v>48.78</v>
      </c>
    </row>
    <row r="99" spans="1:35" x14ac:dyDescent="0.45">
      <c r="A99" s="2">
        <v>45863</v>
      </c>
      <c r="B99">
        <v>30.31</v>
      </c>
      <c r="C99">
        <v>30.34</v>
      </c>
      <c r="D99">
        <v>17.600000000000001</v>
      </c>
      <c r="E99">
        <v>26.752199999999998</v>
      </c>
      <c r="F99">
        <v>33.35</v>
      </c>
      <c r="G99">
        <v>49.61</v>
      </c>
      <c r="H99">
        <v>24.19</v>
      </c>
      <c r="I99">
        <v>59.43</v>
      </c>
      <c r="J99">
        <v>61.05</v>
      </c>
      <c r="K99">
        <v>73.209999999999994</v>
      </c>
      <c r="L99">
        <v>26.94</v>
      </c>
      <c r="M99">
        <v>54.74</v>
      </c>
      <c r="N99">
        <v>62.15</v>
      </c>
      <c r="O99">
        <v>53.8</v>
      </c>
      <c r="P99">
        <v>58.93</v>
      </c>
      <c r="Q99">
        <v>19.63</v>
      </c>
      <c r="R99">
        <v>1206.58</v>
      </c>
      <c r="S99">
        <v>33.79</v>
      </c>
      <c r="T99">
        <v>20.350000000000001</v>
      </c>
      <c r="U99">
        <v>16.47</v>
      </c>
      <c r="V99">
        <v>37.72</v>
      </c>
      <c r="W99">
        <v>46.051099999999998</v>
      </c>
      <c r="X99">
        <v>26.48</v>
      </c>
      <c r="Y99">
        <v>47.01</v>
      </c>
      <c r="Z99">
        <v>42.81</v>
      </c>
      <c r="AA99">
        <v>75.680000000000007</v>
      </c>
      <c r="AB99">
        <v>55.16</v>
      </c>
      <c r="AC99">
        <v>40.64</v>
      </c>
      <c r="AD99">
        <v>566.37</v>
      </c>
      <c r="AE99">
        <v>637.1</v>
      </c>
      <c r="AF99">
        <v>43.72</v>
      </c>
      <c r="AG99">
        <v>53.5</v>
      </c>
      <c r="AH99">
        <v>46.38</v>
      </c>
      <c r="AI99">
        <v>49.56</v>
      </c>
    </row>
    <row r="100" spans="1:35" x14ac:dyDescent="0.45">
      <c r="A100" s="2">
        <v>45862</v>
      </c>
      <c r="B100">
        <v>30.45</v>
      </c>
      <c r="C100">
        <v>30.49</v>
      </c>
      <c r="D100">
        <v>17.809999999999999</v>
      </c>
      <c r="E100">
        <v>27</v>
      </c>
      <c r="F100">
        <v>33.29</v>
      </c>
      <c r="G100">
        <v>49.98</v>
      </c>
      <c r="H100">
        <v>24.3</v>
      </c>
      <c r="I100">
        <v>59.39</v>
      </c>
      <c r="J100">
        <v>60.85</v>
      </c>
      <c r="K100">
        <v>73.31</v>
      </c>
      <c r="L100">
        <v>27.13</v>
      </c>
      <c r="M100">
        <v>55.44</v>
      </c>
      <c r="N100">
        <v>62</v>
      </c>
      <c r="O100">
        <v>54.06</v>
      </c>
      <c r="P100">
        <v>59.18</v>
      </c>
      <c r="Q100">
        <v>19.61</v>
      </c>
      <c r="R100">
        <v>1198.1099999999999</v>
      </c>
      <c r="S100">
        <v>33.950000000000003</v>
      </c>
      <c r="T100">
        <v>20.11</v>
      </c>
      <c r="U100">
        <v>15.994999999999999</v>
      </c>
      <c r="V100">
        <v>37.68</v>
      </c>
      <c r="W100">
        <v>45.98</v>
      </c>
      <c r="X100">
        <v>26.58</v>
      </c>
      <c r="Y100">
        <v>46.97</v>
      </c>
      <c r="Z100">
        <v>42.7</v>
      </c>
      <c r="AA100">
        <v>76.55</v>
      </c>
      <c r="AB100">
        <v>55.12</v>
      </c>
      <c r="AC100">
        <v>40.770000000000003</v>
      </c>
      <c r="AD100">
        <v>565.01</v>
      </c>
      <c r="AE100">
        <v>634.41999999999996</v>
      </c>
      <c r="AF100">
        <v>43.4</v>
      </c>
      <c r="AG100">
        <v>53.93</v>
      </c>
      <c r="AH100">
        <v>45.9</v>
      </c>
      <c r="AI100">
        <v>49.12</v>
      </c>
    </row>
    <row r="101" spans="1:35" x14ac:dyDescent="0.45">
      <c r="A101" s="2">
        <v>45861</v>
      </c>
      <c r="B101">
        <v>30.35</v>
      </c>
      <c r="C101">
        <v>30.41</v>
      </c>
      <c r="D101">
        <v>17.809999999999999</v>
      </c>
      <c r="E101">
        <v>27.09</v>
      </c>
      <c r="F101">
        <v>33.450000000000003</v>
      </c>
      <c r="G101">
        <v>50.3</v>
      </c>
      <c r="H101">
        <v>24.21</v>
      </c>
      <c r="I101">
        <v>59.8</v>
      </c>
      <c r="J101">
        <v>60.47</v>
      </c>
      <c r="K101">
        <v>73.849999999999994</v>
      </c>
      <c r="L101">
        <v>27.48</v>
      </c>
      <c r="M101">
        <v>56.27</v>
      </c>
      <c r="N101">
        <v>62.58</v>
      </c>
      <c r="O101">
        <v>54.73</v>
      </c>
      <c r="P101">
        <v>59.25</v>
      </c>
      <c r="Q101">
        <v>19.54</v>
      </c>
      <c r="R101">
        <v>1157.6300000000001</v>
      </c>
      <c r="S101">
        <v>33.86</v>
      </c>
      <c r="T101">
        <v>20.105</v>
      </c>
      <c r="U101">
        <v>16</v>
      </c>
      <c r="V101">
        <v>37.97</v>
      </c>
      <c r="W101">
        <v>46.134999999999998</v>
      </c>
      <c r="X101">
        <v>26.82</v>
      </c>
      <c r="Y101">
        <v>47.17</v>
      </c>
      <c r="Z101">
        <v>43.21</v>
      </c>
      <c r="AA101">
        <v>76.489999999999995</v>
      </c>
      <c r="AB101">
        <v>56.2</v>
      </c>
      <c r="AC101">
        <v>40.9</v>
      </c>
      <c r="AD101">
        <v>563.80999999999995</v>
      </c>
      <c r="AE101">
        <v>634.21</v>
      </c>
      <c r="AF101">
        <v>44.4</v>
      </c>
      <c r="AG101">
        <v>54.25</v>
      </c>
      <c r="AH101">
        <v>46.3</v>
      </c>
      <c r="AI101">
        <v>49.84</v>
      </c>
    </row>
    <row r="102" spans="1:35" x14ac:dyDescent="0.45">
      <c r="A102" s="2">
        <v>45860</v>
      </c>
      <c r="B102">
        <v>30.364999999999998</v>
      </c>
      <c r="C102">
        <v>30.39</v>
      </c>
      <c r="D102">
        <v>17.559999999999999</v>
      </c>
      <c r="E102">
        <v>26.52</v>
      </c>
      <c r="F102">
        <v>32.93</v>
      </c>
      <c r="G102">
        <v>49.55</v>
      </c>
      <c r="H102">
        <v>23.99</v>
      </c>
      <c r="I102">
        <v>58.72</v>
      </c>
      <c r="J102">
        <v>59.03</v>
      </c>
      <c r="K102">
        <v>72.89</v>
      </c>
      <c r="L102">
        <v>27</v>
      </c>
      <c r="M102">
        <v>55.74</v>
      </c>
      <c r="N102">
        <v>61.43</v>
      </c>
      <c r="O102">
        <v>54.61</v>
      </c>
      <c r="P102">
        <v>58.664999999999999</v>
      </c>
      <c r="Q102">
        <v>19.34</v>
      </c>
      <c r="R102">
        <v>1161.01</v>
      </c>
      <c r="S102">
        <v>33.869999999999997</v>
      </c>
      <c r="T102">
        <v>19.795000000000002</v>
      </c>
      <c r="U102">
        <v>15.82</v>
      </c>
      <c r="V102">
        <v>37.5</v>
      </c>
      <c r="W102">
        <v>46.155000000000001</v>
      </c>
      <c r="X102">
        <v>26.55</v>
      </c>
      <c r="Y102">
        <v>47.09</v>
      </c>
      <c r="Z102">
        <v>42.42</v>
      </c>
      <c r="AA102">
        <v>72.98</v>
      </c>
      <c r="AB102">
        <v>54.96</v>
      </c>
      <c r="AC102">
        <v>40.43</v>
      </c>
      <c r="AD102">
        <v>561.25</v>
      </c>
      <c r="AE102">
        <v>628.86</v>
      </c>
      <c r="AF102">
        <v>43.16</v>
      </c>
      <c r="AG102">
        <v>53.37</v>
      </c>
      <c r="AH102">
        <v>45.21</v>
      </c>
      <c r="AI102">
        <v>48.55</v>
      </c>
    </row>
    <row r="103" spans="1:35" x14ac:dyDescent="0.45">
      <c r="A103" s="2">
        <v>45859</v>
      </c>
      <c r="B103">
        <v>29.98</v>
      </c>
      <c r="C103">
        <v>30.3</v>
      </c>
      <c r="D103">
        <v>17.73</v>
      </c>
      <c r="E103">
        <v>26.34</v>
      </c>
      <c r="F103">
        <v>32.9</v>
      </c>
      <c r="G103">
        <v>48.93</v>
      </c>
      <c r="H103">
        <v>24.03</v>
      </c>
      <c r="I103">
        <v>59.36</v>
      </c>
      <c r="J103">
        <v>59.24</v>
      </c>
      <c r="K103">
        <v>73.87</v>
      </c>
      <c r="L103">
        <v>27.08</v>
      </c>
      <c r="M103">
        <v>55.7</v>
      </c>
      <c r="N103">
        <v>61.53</v>
      </c>
      <c r="O103">
        <v>54.75</v>
      </c>
      <c r="P103">
        <v>57.81</v>
      </c>
      <c r="Q103">
        <v>19.12</v>
      </c>
      <c r="R103">
        <v>1143.31</v>
      </c>
      <c r="S103">
        <v>33.93</v>
      </c>
      <c r="T103">
        <v>19.899999999999999</v>
      </c>
      <c r="U103">
        <v>15.35</v>
      </c>
      <c r="V103">
        <v>37.82</v>
      </c>
      <c r="W103">
        <v>46.367600000000003</v>
      </c>
      <c r="X103">
        <v>26.37</v>
      </c>
      <c r="Y103">
        <v>46.71</v>
      </c>
      <c r="Z103">
        <v>42.42</v>
      </c>
      <c r="AA103">
        <v>72.61</v>
      </c>
      <c r="AB103">
        <v>54.51</v>
      </c>
      <c r="AC103">
        <v>40.01</v>
      </c>
      <c r="AD103">
        <v>564.16999999999996</v>
      </c>
      <c r="AE103">
        <v>628.77</v>
      </c>
      <c r="AF103">
        <v>43.03</v>
      </c>
      <c r="AG103">
        <v>53.41</v>
      </c>
      <c r="AH103">
        <v>45.25</v>
      </c>
      <c r="AI103">
        <v>48.03</v>
      </c>
    </row>
    <row r="104" spans="1:35" x14ac:dyDescent="0.45">
      <c r="A104" s="2">
        <v>45856</v>
      </c>
      <c r="B104">
        <v>29.73</v>
      </c>
      <c r="C104">
        <v>30.16</v>
      </c>
      <c r="D104">
        <v>17.690000000000001</v>
      </c>
      <c r="E104">
        <v>26.11</v>
      </c>
      <c r="F104">
        <v>32.86</v>
      </c>
      <c r="G104">
        <v>48.32</v>
      </c>
      <c r="H104">
        <v>23.93</v>
      </c>
      <c r="I104">
        <v>59.24</v>
      </c>
      <c r="J104">
        <v>59.46</v>
      </c>
      <c r="K104">
        <v>72.39</v>
      </c>
      <c r="L104">
        <v>26.85</v>
      </c>
      <c r="M104">
        <v>54.81</v>
      </c>
      <c r="N104">
        <v>61.2</v>
      </c>
      <c r="O104">
        <v>54.5</v>
      </c>
      <c r="P104">
        <v>57.45</v>
      </c>
      <c r="Q104">
        <v>18.91</v>
      </c>
      <c r="R104">
        <v>1121.1300000000001</v>
      </c>
      <c r="S104">
        <v>32.994999999999997</v>
      </c>
      <c r="T104">
        <v>19.98</v>
      </c>
      <c r="U104">
        <v>15.574999999999999</v>
      </c>
      <c r="V104">
        <v>38.130000000000003</v>
      </c>
      <c r="W104">
        <v>45.695</v>
      </c>
      <c r="X104">
        <v>26.45</v>
      </c>
      <c r="Y104">
        <v>46.59</v>
      </c>
      <c r="Z104">
        <v>42.13</v>
      </c>
      <c r="AA104">
        <v>71.81</v>
      </c>
      <c r="AB104">
        <v>54.48</v>
      </c>
      <c r="AC104">
        <v>39.799999999999997</v>
      </c>
      <c r="AD104">
        <v>561.26</v>
      </c>
      <c r="AE104">
        <v>627.58000000000004</v>
      </c>
      <c r="AF104">
        <v>42.92</v>
      </c>
      <c r="AG104">
        <v>53.46</v>
      </c>
      <c r="AH104">
        <v>44.65</v>
      </c>
      <c r="AI104">
        <v>47.79</v>
      </c>
    </row>
    <row r="105" spans="1:35" x14ac:dyDescent="0.45">
      <c r="A105" s="2">
        <v>45855</v>
      </c>
      <c r="B105">
        <v>29.6</v>
      </c>
      <c r="C105">
        <v>30.23</v>
      </c>
      <c r="D105">
        <v>17.760000000000002</v>
      </c>
      <c r="E105">
        <v>26.08</v>
      </c>
      <c r="F105">
        <v>32.340000000000003</v>
      </c>
      <c r="G105">
        <v>48.2014</v>
      </c>
      <c r="H105">
        <v>23.93</v>
      </c>
      <c r="I105">
        <v>59.48</v>
      </c>
      <c r="J105">
        <v>59.79</v>
      </c>
      <c r="K105">
        <v>73.06</v>
      </c>
      <c r="L105">
        <v>27.69</v>
      </c>
      <c r="M105">
        <v>53.57</v>
      </c>
      <c r="N105">
        <v>61.52</v>
      </c>
      <c r="O105">
        <v>55.01</v>
      </c>
      <c r="P105">
        <v>56.92</v>
      </c>
      <c r="Q105">
        <v>18.96</v>
      </c>
      <c r="R105">
        <v>1110.4000000000001</v>
      </c>
      <c r="S105">
        <v>33.15</v>
      </c>
      <c r="T105">
        <v>20.05</v>
      </c>
      <c r="U105">
        <v>15.67</v>
      </c>
      <c r="V105">
        <v>38.17</v>
      </c>
      <c r="W105">
        <v>45.872</v>
      </c>
      <c r="X105">
        <v>26.28</v>
      </c>
      <c r="Y105">
        <v>46.71</v>
      </c>
      <c r="Z105">
        <v>42.35</v>
      </c>
      <c r="AA105">
        <v>72.39</v>
      </c>
      <c r="AB105">
        <v>54.36</v>
      </c>
      <c r="AC105">
        <v>39.83</v>
      </c>
      <c r="AD105">
        <v>561.79999999999995</v>
      </c>
      <c r="AE105">
        <v>628.04</v>
      </c>
      <c r="AF105">
        <v>42.98</v>
      </c>
      <c r="AG105">
        <v>53.51</v>
      </c>
      <c r="AH105">
        <v>44.98</v>
      </c>
      <c r="AI105">
        <v>47.75</v>
      </c>
    </row>
    <row r="106" spans="1:35" x14ac:dyDescent="0.45">
      <c r="A106" s="2">
        <v>45854</v>
      </c>
      <c r="B106">
        <v>29.26</v>
      </c>
      <c r="C106">
        <v>29.77</v>
      </c>
      <c r="D106">
        <v>17.7</v>
      </c>
      <c r="E106">
        <v>26.35</v>
      </c>
      <c r="F106">
        <v>31.97</v>
      </c>
      <c r="G106">
        <v>48.003799999999998</v>
      </c>
      <c r="H106">
        <v>23.71</v>
      </c>
      <c r="I106">
        <v>58.98</v>
      </c>
      <c r="J106">
        <v>59.77</v>
      </c>
      <c r="K106">
        <v>73.08</v>
      </c>
      <c r="L106">
        <v>27.57</v>
      </c>
      <c r="M106">
        <v>53.43</v>
      </c>
      <c r="N106">
        <v>60.8</v>
      </c>
      <c r="O106">
        <v>55.27</v>
      </c>
      <c r="P106">
        <v>56.51</v>
      </c>
      <c r="Q106">
        <v>18.779</v>
      </c>
      <c r="R106">
        <v>1115.6500000000001</v>
      </c>
      <c r="S106">
        <v>32.5</v>
      </c>
      <c r="T106">
        <v>19.86</v>
      </c>
      <c r="U106">
        <v>15.41</v>
      </c>
      <c r="V106">
        <v>38.1</v>
      </c>
      <c r="W106">
        <v>45.56</v>
      </c>
      <c r="X106">
        <v>26.19</v>
      </c>
      <c r="Y106">
        <v>46.47</v>
      </c>
      <c r="Z106">
        <v>42.18</v>
      </c>
      <c r="AA106">
        <v>72.02</v>
      </c>
      <c r="AB106">
        <v>54.55</v>
      </c>
      <c r="AC106">
        <v>39.85</v>
      </c>
      <c r="AD106">
        <v>557.29</v>
      </c>
      <c r="AE106">
        <v>624.22</v>
      </c>
      <c r="AF106">
        <v>42.74</v>
      </c>
      <c r="AG106">
        <v>53.47</v>
      </c>
      <c r="AH106">
        <v>44.63</v>
      </c>
      <c r="AI106">
        <v>47.76</v>
      </c>
    </row>
    <row r="107" spans="1:35" x14ac:dyDescent="0.45">
      <c r="A107" s="2">
        <v>45853</v>
      </c>
      <c r="B107">
        <v>29.29</v>
      </c>
      <c r="C107">
        <v>29.89</v>
      </c>
      <c r="D107">
        <v>17.72</v>
      </c>
      <c r="E107">
        <v>26.96</v>
      </c>
      <c r="F107">
        <v>31.66</v>
      </c>
      <c r="G107">
        <v>48.12</v>
      </c>
      <c r="H107">
        <v>23.8</v>
      </c>
      <c r="I107">
        <v>58.27</v>
      </c>
      <c r="J107">
        <v>59.38</v>
      </c>
      <c r="K107">
        <v>73.069999999999993</v>
      </c>
      <c r="L107">
        <v>27.47</v>
      </c>
      <c r="M107">
        <v>52.86</v>
      </c>
      <c r="N107">
        <v>60.25</v>
      </c>
      <c r="O107">
        <v>54.875</v>
      </c>
      <c r="P107">
        <v>56.68</v>
      </c>
      <c r="Q107">
        <v>18.690000000000001</v>
      </c>
      <c r="R107">
        <v>1123</v>
      </c>
      <c r="S107">
        <v>32.840000000000003</v>
      </c>
      <c r="T107">
        <v>19.41</v>
      </c>
      <c r="U107">
        <v>15.04</v>
      </c>
      <c r="V107">
        <v>38.090000000000003</v>
      </c>
      <c r="W107">
        <v>44.89</v>
      </c>
      <c r="X107">
        <v>26.07</v>
      </c>
      <c r="Y107">
        <v>46.04</v>
      </c>
      <c r="Z107">
        <v>41.82</v>
      </c>
      <c r="AA107">
        <v>71.69</v>
      </c>
      <c r="AB107">
        <v>54.18</v>
      </c>
      <c r="AC107">
        <v>39.590000000000003</v>
      </c>
      <c r="AD107">
        <v>556.72</v>
      </c>
      <c r="AE107">
        <v>622.14</v>
      </c>
      <c r="AF107">
        <v>42.56</v>
      </c>
      <c r="AG107">
        <v>54.45</v>
      </c>
      <c r="AH107">
        <v>44.69</v>
      </c>
      <c r="AI107">
        <v>47.32</v>
      </c>
    </row>
    <row r="108" spans="1:35" x14ac:dyDescent="0.45">
      <c r="A108" s="2">
        <v>45852</v>
      </c>
      <c r="B108">
        <v>29.395</v>
      </c>
      <c r="C108">
        <v>30.21</v>
      </c>
      <c r="D108">
        <v>17.63</v>
      </c>
      <c r="E108">
        <v>27.36</v>
      </c>
      <c r="F108">
        <v>32.14</v>
      </c>
      <c r="G108">
        <v>48.69</v>
      </c>
      <c r="H108">
        <v>24.09</v>
      </c>
      <c r="I108">
        <v>57.81</v>
      </c>
      <c r="J108">
        <v>59.61</v>
      </c>
      <c r="K108">
        <v>73.2</v>
      </c>
      <c r="L108">
        <v>27.31</v>
      </c>
      <c r="M108">
        <v>52.99</v>
      </c>
      <c r="N108">
        <v>60.82</v>
      </c>
      <c r="O108">
        <v>54.92</v>
      </c>
      <c r="P108">
        <v>55.55</v>
      </c>
      <c r="Q108">
        <v>18.71</v>
      </c>
      <c r="R108">
        <v>1119.94</v>
      </c>
      <c r="S108">
        <v>32.97</v>
      </c>
      <c r="T108">
        <v>19.37</v>
      </c>
      <c r="U108">
        <v>15.24</v>
      </c>
      <c r="V108">
        <v>38.65</v>
      </c>
      <c r="W108">
        <v>45.49</v>
      </c>
      <c r="X108">
        <v>26.39</v>
      </c>
      <c r="Y108">
        <v>46.44</v>
      </c>
      <c r="Z108">
        <v>42.35</v>
      </c>
      <c r="AA108">
        <v>72.41</v>
      </c>
      <c r="AB108">
        <v>54.71</v>
      </c>
      <c r="AC108">
        <v>40.03</v>
      </c>
      <c r="AD108">
        <v>556.21</v>
      </c>
      <c r="AE108">
        <v>624.80999999999995</v>
      </c>
      <c r="AF108">
        <v>43.12</v>
      </c>
      <c r="AG108">
        <v>54.4</v>
      </c>
      <c r="AH108">
        <v>45.3</v>
      </c>
      <c r="AI108">
        <v>48.16</v>
      </c>
    </row>
    <row r="109" spans="1:35" x14ac:dyDescent="0.45">
      <c r="A109" s="2">
        <v>45849</v>
      </c>
      <c r="B109">
        <v>29.2</v>
      </c>
      <c r="C109">
        <v>30.51</v>
      </c>
      <c r="D109">
        <v>17.87</v>
      </c>
      <c r="E109">
        <v>27.13</v>
      </c>
      <c r="F109">
        <v>31.95</v>
      </c>
      <c r="G109">
        <v>48.83</v>
      </c>
      <c r="H109">
        <v>24.08</v>
      </c>
      <c r="I109">
        <v>58.3</v>
      </c>
      <c r="J109">
        <v>60.13</v>
      </c>
      <c r="K109">
        <v>72.56</v>
      </c>
      <c r="L109">
        <v>27.53</v>
      </c>
      <c r="M109">
        <v>52.98</v>
      </c>
      <c r="N109">
        <v>60.99</v>
      </c>
      <c r="O109">
        <v>54.88</v>
      </c>
      <c r="P109">
        <v>54.95</v>
      </c>
      <c r="Q109">
        <v>18.73</v>
      </c>
      <c r="R109">
        <v>1127.21</v>
      </c>
      <c r="S109">
        <v>33.17</v>
      </c>
      <c r="T109">
        <v>19.21</v>
      </c>
      <c r="U109">
        <v>15.22</v>
      </c>
      <c r="V109">
        <v>38.89</v>
      </c>
      <c r="W109">
        <v>45.76</v>
      </c>
      <c r="X109">
        <v>26.36</v>
      </c>
      <c r="Y109">
        <v>46.13</v>
      </c>
      <c r="Z109">
        <v>42.45</v>
      </c>
      <c r="AA109">
        <v>72.36</v>
      </c>
      <c r="AB109">
        <v>54.7</v>
      </c>
      <c r="AC109">
        <v>39.92</v>
      </c>
      <c r="AD109">
        <v>554.20000000000005</v>
      </c>
      <c r="AE109">
        <v>623.62</v>
      </c>
      <c r="AF109">
        <v>43.28</v>
      </c>
      <c r="AG109">
        <v>54.41</v>
      </c>
      <c r="AH109">
        <v>45.57</v>
      </c>
      <c r="AI109">
        <v>47.99</v>
      </c>
    </row>
    <row r="110" spans="1:35" x14ac:dyDescent="0.45">
      <c r="A110" s="2">
        <v>45848</v>
      </c>
      <c r="B110">
        <v>29.32</v>
      </c>
      <c r="C110">
        <v>31.1</v>
      </c>
      <c r="D110">
        <v>17.760000000000002</v>
      </c>
      <c r="E110">
        <v>27.19</v>
      </c>
      <c r="F110">
        <v>32.049999999999997</v>
      </c>
      <c r="G110">
        <v>49.12</v>
      </c>
      <c r="H110">
        <v>24.11</v>
      </c>
      <c r="I110">
        <v>58.38</v>
      </c>
      <c r="J110">
        <v>60.29</v>
      </c>
      <c r="K110">
        <v>73.14</v>
      </c>
      <c r="L110">
        <v>27.72</v>
      </c>
      <c r="M110">
        <v>53.95</v>
      </c>
      <c r="N110">
        <v>61.32</v>
      </c>
      <c r="O110">
        <v>55.27</v>
      </c>
      <c r="P110">
        <v>55.01</v>
      </c>
      <c r="Q110">
        <v>18.75</v>
      </c>
      <c r="R110">
        <v>1115.69</v>
      </c>
      <c r="S110">
        <v>33.25</v>
      </c>
      <c r="T110">
        <v>19.079999999999998</v>
      </c>
      <c r="U110">
        <v>15.12</v>
      </c>
      <c r="V110">
        <v>39</v>
      </c>
      <c r="W110">
        <v>46.01</v>
      </c>
      <c r="X110">
        <v>26.58</v>
      </c>
      <c r="Y110">
        <v>46.41</v>
      </c>
      <c r="Z110">
        <v>42.86</v>
      </c>
      <c r="AA110">
        <v>72.94</v>
      </c>
      <c r="AB110">
        <v>55.45</v>
      </c>
      <c r="AC110">
        <v>40.270000000000003</v>
      </c>
      <c r="AD110">
        <v>555.45000000000005</v>
      </c>
      <c r="AE110">
        <v>625.82000000000005</v>
      </c>
      <c r="AF110">
        <v>43.75</v>
      </c>
      <c r="AG110">
        <v>54.63</v>
      </c>
      <c r="AH110">
        <v>46.39</v>
      </c>
      <c r="AI110">
        <v>48.53</v>
      </c>
    </row>
    <row r="111" spans="1:35" x14ac:dyDescent="0.45">
      <c r="A111" s="2">
        <v>45847</v>
      </c>
      <c r="B111">
        <v>29.07</v>
      </c>
      <c r="C111">
        <v>31.04</v>
      </c>
      <c r="D111">
        <v>17.47</v>
      </c>
      <c r="E111">
        <v>27.15</v>
      </c>
      <c r="F111">
        <v>32.72</v>
      </c>
      <c r="G111">
        <v>48.81</v>
      </c>
      <c r="H111">
        <v>23.98</v>
      </c>
      <c r="I111">
        <v>58.03</v>
      </c>
      <c r="J111">
        <v>60.28</v>
      </c>
      <c r="K111">
        <v>72.08</v>
      </c>
      <c r="L111">
        <v>28.16</v>
      </c>
      <c r="M111">
        <v>54</v>
      </c>
      <c r="N111">
        <v>61.08</v>
      </c>
      <c r="O111">
        <v>55.66</v>
      </c>
      <c r="P111">
        <v>54.58</v>
      </c>
      <c r="Q111">
        <v>18.75</v>
      </c>
      <c r="R111">
        <v>1110.01</v>
      </c>
      <c r="S111">
        <v>32.79</v>
      </c>
      <c r="T111">
        <v>19.13</v>
      </c>
      <c r="U111">
        <v>14.89</v>
      </c>
      <c r="V111">
        <v>38.89</v>
      </c>
      <c r="W111">
        <v>46.07</v>
      </c>
      <c r="X111">
        <v>26.24</v>
      </c>
      <c r="Y111">
        <v>46.13</v>
      </c>
      <c r="Z111">
        <v>43.26</v>
      </c>
      <c r="AA111">
        <v>73.3</v>
      </c>
      <c r="AB111">
        <v>55.28</v>
      </c>
      <c r="AC111">
        <v>40.01</v>
      </c>
      <c r="AD111">
        <v>556.25</v>
      </c>
      <c r="AE111">
        <v>624.05999999999995</v>
      </c>
      <c r="AF111">
        <v>43.84</v>
      </c>
      <c r="AG111">
        <v>54.58</v>
      </c>
      <c r="AH111">
        <v>46.05</v>
      </c>
      <c r="AI111">
        <v>49.17</v>
      </c>
    </row>
    <row r="112" spans="1:35" x14ac:dyDescent="0.45">
      <c r="A112" s="2">
        <v>45846</v>
      </c>
      <c r="B112">
        <v>29.12</v>
      </c>
      <c r="C112">
        <v>31.41</v>
      </c>
      <c r="D112">
        <v>17.309999999999999</v>
      </c>
      <c r="E112">
        <v>26.78</v>
      </c>
      <c r="F112">
        <v>32.619999999999997</v>
      </c>
      <c r="G112">
        <v>49.3</v>
      </c>
      <c r="H112">
        <v>23.95</v>
      </c>
      <c r="I112">
        <v>57.66</v>
      </c>
      <c r="J112">
        <v>60.89</v>
      </c>
      <c r="K112">
        <v>72.08</v>
      </c>
      <c r="L112">
        <v>28.71</v>
      </c>
      <c r="M112">
        <v>53.81</v>
      </c>
      <c r="N112">
        <v>60.9</v>
      </c>
      <c r="O112">
        <v>55.69</v>
      </c>
      <c r="P112">
        <v>55.13</v>
      </c>
      <c r="Q112">
        <v>18.73</v>
      </c>
      <c r="R112">
        <v>1089.56</v>
      </c>
      <c r="S112">
        <v>32.119999999999997</v>
      </c>
      <c r="T112">
        <v>18.84</v>
      </c>
      <c r="U112">
        <v>14.51</v>
      </c>
      <c r="V112">
        <v>38.9</v>
      </c>
      <c r="W112">
        <v>45.98</v>
      </c>
      <c r="X112">
        <v>26.14</v>
      </c>
      <c r="Y112">
        <v>46</v>
      </c>
      <c r="Z112">
        <v>42.59</v>
      </c>
      <c r="AA112">
        <v>73.19</v>
      </c>
      <c r="AB112">
        <v>54.82</v>
      </c>
      <c r="AC112">
        <v>39.79</v>
      </c>
      <c r="AD112">
        <v>552.34</v>
      </c>
      <c r="AE112">
        <v>620.34</v>
      </c>
      <c r="AF112">
        <v>43.27</v>
      </c>
      <c r="AG112">
        <v>54.33</v>
      </c>
      <c r="AH112">
        <v>45.55</v>
      </c>
      <c r="AI112">
        <v>48.34</v>
      </c>
    </row>
    <row r="113" spans="1:35" x14ac:dyDescent="0.45">
      <c r="A113" s="2">
        <v>45845</v>
      </c>
      <c r="B113">
        <v>28.86</v>
      </c>
      <c r="C113">
        <v>31.02</v>
      </c>
      <c r="D113">
        <v>17.34</v>
      </c>
      <c r="E113">
        <v>26.72</v>
      </c>
      <c r="F113">
        <v>32.25</v>
      </c>
      <c r="G113">
        <v>49.62</v>
      </c>
      <c r="H113">
        <v>23.93</v>
      </c>
      <c r="I113">
        <v>57.63</v>
      </c>
      <c r="J113">
        <v>61.11</v>
      </c>
      <c r="K113">
        <v>70.069999999999993</v>
      </c>
      <c r="L113">
        <v>28.6</v>
      </c>
      <c r="M113">
        <v>53.84</v>
      </c>
      <c r="N113">
        <v>59.12</v>
      </c>
      <c r="O113">
        <v>55.36</v>
      </c>
      <c r="P113">
        <v>54.62</v>
      </c>
      <c r="Q113">
        <v>18.68</v>
      </c>
      <c r="R113">
        <v>1082.42</v>
      </c>
      <c r="S113">
        <v>32.44</v>
      </c>
      <c r="T113">
        <v>18.86</v>
      </c>
      <c r="U113">
        <v>14.18</v>
      </c>
      <c r="V113">
        <v>39.08</v>
      </c>
      <c r="W113">
        <v>45.5</v>
      </c>
      <c r="X113">
        <v>25.98</v>
      </c>
      <c r="Y113">
        <v>46.18</v>
      </c>
      <c r="Z113">
        <v>42.23</v>
      </c>
      <c r="AA113">
        <v>72.819999999999993</v>
      </c>
      <c r="AB113">
        <v>54.53</v>
      </c>
      <c r="AC113">
        <v>39.42</v>
      </c>
      <c r="AD113">
        <v>552.03</v>
      </c>
      <c r="AE113">
        <v>620.67999999999995</v>
      </c>
      <c r="AF113">
        <v>42.68</v>
      </c>
      <c r="AG113">
        <v>53.98</v>
      </c>
      <c r="AH113">
        <v>45.52</v>
      </c>
      <c r="AI113">
        <v>47.87</v>
      </c>
    </row>
    <row r="114" spans="1:35" x14ac:dyDescent="0.45">
      <c r="A114" s="2">
        <v>45841</v>
      </c>
      <c r="B114">
        <v>28.91</v>
      </c>
      <c r="C114">
        <v>31.82</v>
      </c>
      <c r="D114">
        <v>17.47</v>
      </c>
      <c r="E114">
        <v>27.08</v>
      </c>
      <c r="F114">
        <v>32.82</v>
      </c>
      <c r="G114">
        <v>50.06</v>
      </c>
      <c r="H114">
        <v>24.41</v>
      </c>
      <c r="I114">
        <v>59.44</v>
      </c>
      <c r="J114">
        <v>61.7</v>
      </c>
      <c r="K114">
        <v>72.7</v>
      </c>
      <c r="L114">
        <v>29.31</v>
      </c>
      <c r="M114">
        <v>54.79</v>
      </c>
      <c r="N114">
        <v>59.72</v>
      </c>
      <c r="O114">
        <v>55.79</v>
      </c>
      <c r="P114">
        <v>54.72</v>
      </c>
      <c r="Q114">
        <v>18.63</v>
      </c>
      <c r="R114">
        <v>1106.73</v>
      </c>
      <c r="S114">
        <v>33.04</v>
      </c>
      <c r="T114">
        <v>18.84</v>
      </c>
      <c r="U114">
        <v>13.96</v>
      </c>
      <c r="V114">
        <v>38.89</v>
      </c>
      <c r="W114">
        <v>45.96</v>
      </c>
      <c r="X114">
        <v>26.48</v>
      </c>
      <c r="Y114">
        <v>46.67</v>
      </c>
      <c r="Z114">
        <v>42.21</v>
      </c>
      <c r="AA114">
        <v>74.599999999999994</v>
      </c>
      <c r="AB114">
        <v>54.9</v>
      </c>
      <c r="AC114">
        <v>39.82</v>
      </c>
      <c r="AD114">
        <v>556.22</v>
      </c>
      <c r="AE114">
        <v>625.34</v>
      </c>
      <c r="AF114">
        <v>43.08</v>
      </c>
      <c r="AG114">
        <v>54.29</v>
      </c>
      <c r="AH114">
        <v>45.62</v>
      </c>
      <c r="AI114">
        <v>48.21</v>
      </c>
    </row>
    <row r="115" spans="1:35" x14ac:dyDescent="0.45">
      <c r="A115" s="2">
        <v>45840</v>
      </c>
      <c r="B115">
        <v>28.7</v>
      </c>
      <c r="C115">
        <v>31.85</v>
      </c>
      <c r="D115">
        <v>17.48</v>
      </c>
      <c r="E115">
        <v>27</v>
      </c>
      <c r="F115">
        <v>32.19</v>
      </c>
      <c r="G115">
        <v>49.75</v>
      </c>
      <c r="H115">
        <v>24.41</v>
      </c>
      <c r="I115">
        <v>58.75</v>
      </c>
      <c r="J115">
        <v>61.59</v>
      </c>
      <c r="K115">
        <v>71.95</v>
      </c>
      <c r="L115">
        <v>28.91</v>
      </c>
      <c r="M115">
        <v>54.31</v>
      </c>
      <c r="N115">
        <v>59.34</v>
      </c>
      <c r="O115">
        <v>55.6</v>
      </c>
      <c r="P115">
        <v>55</v>
      </c>
      <c r="Q115">
        <v>18.559999999999999</v>
      </c>
      <c r="R115">
        <v>1107.69</v>
      </c>
      <c r="S115">
        <v>33.07</v>
      </c>
      <c r="T115">
        <v>18.600000000000001</v>
      </c>
      <c r="U115">
        <v>13.76</v>
      </c>
      <c r="V115">
        <v>38.44</v>
      </c>
      <c r="W115">
        <v>46.265000000000001</v>
      </c>
      <c r="X115">
        <v>26.54</v>
      </c>
      <c r="Y115">
        <v>46.33</v>
      </c>
      <c r="Z115">
        <v>42.17</v>
      </c>
      <c r="AA115">
        <v>74.459999999999994</v>
      </c>
      <c r="AB115">
        <v>55.27</v>
      </c>
      <c r="AC115">
        <v>39.61</v>
      </c>
      <c r="AD115">
        <v>550.79999999999995</v>
      </c>
      <c r="AE115">
        <v>620.45000000000005</v>
      </c>
      <c r="AF115">
        <v>43.27</v>
      </c>
      <c r="AG115">
        <v>54.3</v>
      </c>
      <c r="AH115">
        <v>45.51</v>
      </c>
      <c r="AI115">
        <v>48.29</v>
      </c>
    </row>
    <row r="116" spans="1:35" x14ac:dyDescent="0.45">
      <c r="A116" s="2">
        <v>45839</v>
      </c>
      <c r="B116">
        <v>28.71</v>
      </c>
      <c r="C116">
        <v>31.51</v>
      </c>
      <c r="D116">
        <v>17.489999999999998</v>
      </c>
      <c r="E116">
        <v>27.14</v>
      </c>
      <c r="F116">
        <v>32.06</v>
      </c>
      <c r="G116">
        <v>48.857199999999999</v>
      </c>
      <c r="H116">
        <v>24.38</v>
      </c>
      <c r="I116">
        <v>57.58</v>
      </c>
      <c r="J116">
        <v>61.12</v>
      </c>
      <c r="K116">
        <v>71.64</v>
      </c>
      <c r="L116">
        <v>28.79</v>
      </c>
      <c r="M116">
        <v>54.21</v>
      </c>
      <c r="N116">
        <v>58.63</v>
      </c>
      <c r="O116">
        <v>55.84</v>
      </c>
      <c r="P116">
        <v>55.27</v>
      </c>
      <c r="Q116">
        <v>18.579999999999998</v>
      </c>
      <c r="R116">
        <v>1100.01</v>
      </c>
      <c r="S116">
        <v>32.479999999999997</v>
      </c>
      <c r="T116">
        <v>18.66</v>
      </c>
      <c r="U116">
        <v>13.72</v>
      </c>
      <c r="V116">
        <v>38.25</v>
      </c>
      <c r="W116">
        <v>45.96</v>
      </c>
      <c r="X116">
        <v>26.35</v>
      </c>
      <c r="Y116">
        <v>46.19</v>
      </c>
      <c r="Z116">
        <v>42.01</v>
      </c>
      <c r="AA116">
        <v>74.42</v>
      </c>
      <c r="AB116">
        <v>54.98</v>
      </c>
      <c r="AC116">
        <v>39.85</v>
      </c>
      <c r="AD116">
        <v>546.99</v>
      </c>
      <c r="AE116">
        <v>617.65</v>
      </c>
      <c r="AF116">
        <v>42.87</v>
      </c>
      <c r="AG116">
        <v>54.07</v>
      </c>
      <c r="AH116">
        <v>45.19</v>
      </c>
      <c r="AI116">
        <v>48.05</v>
      </c>
    </row>
    <row r="117" spans="1:35" x14ac:dyDescent="0.45">
      <c r="A117" s="2">
        <v>45838</v>
      </c>
      <c r="B117">
        <v>28.71</v>
      </c>
      <c r="C117">
        <v>31.45</v>
      </c>
      <c r="D117">
        <v>17.63</v>
      </c>
      <c r="E117">
        <v>27.12</v>
      </c>
      <c r="F117">
        <v>32.26</v>
      </c>
      <c r="G117">
        <v>48.59</v>
      </c>
      <c r="H117">
        <v>24.34</v>
      </c>
      <c r="I117">
        <v>57.4</v>
      </c>
      <c r="J117">
        <v>60.56</v>
      </c>
      <c r="K117">
        <v>71.78</v>
      </c>
      <c r="L117">
        <v>28.85</v>
      </c>
      <c r="M117">
        <v>53.75</v>
      </c>
      <c r="N117">
        <v>58.04</v>
      </c>
      <c r="O117">
        <v>55.68</v>
      </c>
      <c r="P117">
        <v>55.1</v>
      </c>
      <c r="Q117">
        <v>18.62</v>
      </c>
      <c r="R117">
        <v>1062.78</v>
      </c>
      <c r="S117">
        <v>32.26</v>
      </c>
      <c r="T117">
        <v>18.72</v>
      </c>
      <c r="U117">
        <v>13.75</v>
      </c>
      <c r="V117">
        <v>38.54</v>
      </c>
      <c r="W117">
        <v>45.61</v>
      </c>
      <c r="X117">
        <v>26.32</v>
      </c>
      <c r="Y117">
        <v>46.2</v>
      </c>
      <c r="Z117">
        <v>42.31</v>
      </c>
      <c r="AA117">
        <v>74.97</v>
      </c>
      <c r="AB117">
        <v>54.81</v>
      </c>
      <c r="AC117">
        <v>39.72</v>
      </c>
      <c r="AD117">
        <v>551.64</v>
      </c>
      <c r="AE117">
        <v>617.85</v>
      </c>
      <c r="AF117">
        <v>42.8</v>
      </c>
      <c r="AG117">
        <v>54.5</v>
      </c>
      <c r="AH117">
        <v>45.74</v>
      </c>
      <c r="AI117">
        <v>48.14</v>
      </c>
    </row>
    <row r="118" spans="1:35" x14ac:dyDescent="0.45">
      <c r="A118" s="2">
        <v>45835</v>
      </c>
      <c r="B118">
        <v>28.46</v>
      </c>
      <c r="C118">
        <v>31.05</v>
      </c>
      <c r="D118">
        <v>17.489999999999998</v>
      </c>
      <c r="E118">
        <v>27.23</v>
      </c>
      <c r="F118">
        <v>31.69</v>
      </c>
      <c r="G118">
        <v>48.49</v>
      </c>
      <c r="H118">
        <v>24.07</v>
      </c>
      <c r="I118">
        <v>57.85</v>
      </c>
      <c r="J118">
        <v>60.32</v>
      </c>
      <c r="K118">
        <v>70.739999999999995</v>
      </c>
      <c r="L118">
        <v>28.14</v>
      </c>
      <c r="M118">
        <v>52.64</v>
      </c>
      <c r="N118">
        <v>58.17</v>
      </c>
      <c r="O118">
        <v>55.86</v>
      </c>
      <c r="P118">
        <v>55.18</v>
      </c>
      <c r="Q118">
        <v>18.57</v>
      </c>
      <c r="R118">
        <v>1067.6300000000001</v>
      </c>
      <c r="S118">
        <v>30.49</v>
      </c>
      <c r="T118">
        <v>18.57</v>
      </c>
      <c r="U118">
        <v>13.73</v>
      </c>
      <c r="V118">
        <v>38.26</v>
      </c>
      <c r="W118">
        <v>45.37</v>
      </c>
      <c r="X118">
        <v>26.09</v>
      </c>
      <c r="Y118">
        <v>45.58</v>
      </c>
      <c r="Z118">
        <v>42.3</v>
      </c>
      <c r="AA118">
        <v>75.28</v>
      </c>
      <c r="AB118">
        <v>54.63</v>
      </c>
      <c r="AC118">
        <v>39.72</v>
      </c>
      <c r="AD118">
        <v>548.09</v>
      </c>
      <c r="AE118">
        <v>614.91</v>
      </c>
      <c r="AF118">
        <v>42.61</v>
      </c>
      <c r="AG118">
        <v>54.36</v>
      </c>
      <c r="AH118">
        <v>46.02</v>
      </c>
      <c r="AI118">
        <v>47.86</v>
      </c>
    </row>
    <row r="119" spans="1:35" x14ac:dyDescent="0.45">
      <c r="A119" s="2">
        <v>45834</v>
      </c>
      <c r="B119">
        <v>28.79</v>
      </c>
      <c r="C119">
        <v>31.26</v>
      </c>
      <c r="D119">
        <v>17.510000000000002</v>
      </c>
      <c r="E119">
        <v>26.85</v>
      </c>
      <c r="F119">
        <v>31.65</v>
      </c>
      <c r="G119">
        <v>49.107799999999997</v>
      </c>
      <c r="H119">
        <v>24.07</v>
      </c>
      <c r="I119">
        <v>57.85</v>
      </c>
      <c r="J119">
        <v>60.31</v>
      </c>
      <c r="K119">
        <v>71.94</v>
      </c>
      <c r="L119">
        <v>28.13</v>
      </c>
      <c r="M119">
        <v>52.98</v>
      </c>
      <c r="N119">
        <v>59.31</v>
      </c>
      <c r="O119">
        <v>55.71</v>
      </c>
      <c r="P119">
        <v>55.54</v>
      </c>
      <c r="Q119">
        <v>18.53</v>
      </c>
      <c r="R119">
        <v>1068.73</v>
      </c>
      <c r="S119">
        <v>30.19</v>
      </c>
      <c r="T119">
        <v>18.5</v>
      </c>
      <c r="U119">
        <v>13.61</v>
      </c>
      <c r="V119">
        <v>38.159999999999997</v>
      </c>
      <c r="W119">
        <v>45.32</v>
      </c>
      <c r="X119">
        <v>26.43</v>
      </c>
      <c r="Y119">
        <v>45.92</v>
      </c>
      <c r="Z119">
        <v>41.64</v>
      </c>
      <c r="AA119">
        <v>73.97</v>
      </c>
      <c r="AB119">
        <v>54.26</v>
      </c>
      <c r="AC119">
        <v>39.69</v>
      </c>
      <c r="AD119">
        <v>546.22</v>
      </c>
      <c r="AE119">
        <v>611.87</v>
      </c>
      <c r="AF119">
        <v>42.14</v>
      </c>
      <c r="AG119">
        <v>53.97</v>
      </c>
      <c r="AH119">
        <v>45.33</v>
      </c>
      <c r="AI119">
        <v>47.5</v>
      </c>
    </row>
    <row r="120" spans="1:35" x14ac:dyDescent="0.45">
      <c r="A120" s="2">
        <v>45833</v>
      </c>
      <c r="B120">
        <v>28.805</v>
      </c>
      <c r="C120">
        <v>30.86</v>
      </c>
      <c r="D120">
        <v>17.18</v>
      </c>
      <c r="E120">
        <v>26.81</v>
      </c>
      <c r="F120">
        <v>30.57</v>
      </c>
      <c r="G120">
        <v>47.315899999999999</v>
      </c>
      <c r="H120">
        <v>23.82</v>
      </c>
      <c r="I120">
        <v>57.31</v>
      </c>
      <c r="J120">
        <v>59.68</v>
      </c>
      <c r="K120">
        <v>72.37</v>
      </c>
      <c r="L120">
        <v>27.57</v>
      </c>
      <c r="M120">
        <v>52.89</v>
      </c>
      <c r="N120">
        <v>58.42</v>
      </c>
      <c r="O120">
        <v>55</v>
      </c>
      <c r="P120">
        <v>55.53</v>
      </c>
      <c r="Q120">
        <v>18.36</v>
      </c>
      <c r="R120">
        <v>1094.58</v>
      </c>
      <c r="S120">
        <v>30.68</v>
      </c>
      <c r="T120">
        <v>18.22</v>
      </c>
      <c r="U120">
        <v>13.54</v>
      </c>
      <c r="V120">
        <v>37.82</v>
      </c>
      <c r="W120">
        <v>44.6</v>
      </c>
      <c r="X120">
        <v>26.03</v>
      </c>
      <c r="Y120">
        <v>45.32</v>
      </c>
      <c r="Z120">
        <v>41.15</v>
      </c>
      <c r="AA120">
        <v>72.44</v>
      </c>
      <c r="AB120">
        <v>53.75</v>
      </c>
      <c r="AC120">
        <v>39.28</v>
      </c>
      <c r="AD120">
        <v>541.16</v>
      </c>
      <c r="AE120">
        <v>607.12</v>
      </c>
      <c r="AF120">
        <v>41.89</v>
      </c>
      <c r="AG120">
        <v>53.8</v>
      </c>
      <c r="AH120">
        <v>44.67</v>
      </c>
      <c r="AI120">
        <v>47.17</v>
      </c>
    </row>
    <row r="121" spans="1:35" x14ac:dyDescent="0.45">
      <c r="A121" s="2">
        <v>45832</v>
      </c>
      <c r="B121">
        <v>28.55</v>
      </c>
      <c r="C121">
        <v>30.96</v>
      </c>
      <c r="D121">
        <v>17.38</v>
      </c>
      <c r="E121">
        <v>26.61</v>
      </c>
      <c r="F121">
        <v>30.56</v>
      </c>
      <c r="G121">
        <v>47.313000000000002</v>
      </c>
      <c r="H121">
        <v>23.77</v>
      </c>
      <c r="I121">
        <v>56.82</v>
      </c>
      <c r="J121">
        <v>59.21</v>
      </c>
      <c r="K121">
        <v>72.650000000000006</v>
      </c>
      <c r="L121">
        <v>27.98</v>
      </c>
      <c r="M121">
        <v>53.46</v>
      </c>
      <c r="N121">
        <v>57.86</v>
      </c>
      <c r="O121">
        <v>54.8</v>
      </c>
      <c r="P121">
        <v>55.57</v>
      </c>
      <c r="Q121">
        <v>18.25</v>
      </c>
      <c r="R121">
        <v>1113.58</v>
      </c>
      <c r="S121">
        <v>30.86</v>
      </c>
      <c r="T121">
        <v>18.3</v>
      </c>
      <c r="U121">
        <v>13.62</v>
      </c>
      <c r="V121">
        <v>37.72</v>
      </c>
      <c r="W121">
        <v>44.79</v>
      </c>
      <c r="X121">
        <v>26.05</v>
      </c>
      <c r="Y121">
        <v>45.62</v>
      </c>
      <c r="Z121">
        <v>41.39</v>
      </c>
      <c r="AA121">
        <v>72.739999999999995</v>
      </c>
      <c r="AB121">
        <v>54.32</v>
      </c>
      <c r="AC121">
        <v>39.409999999999997</v>
      </c>
      <c r="AD121">
        <v>539.78</v>
      </c>
      <c r="AE121">
        <v>606.78</v>
      </c>
      <c r="AF121">
        <v>42.04</v>
      </c>
      <c r="AG121">
        <v>54.16</v>
      </c>
      <c r="AH121">
        <v>44.95</v>
      </c>
      <c r="AI121">
        <v>47.2</v>
      </c>
    </row>
    <row r="122" spans="1:35" x14ac:dyDescent="0.45">
      <c r="A122" s="2">
        <v>45831</v>
      </c>
      <c r="B122">
        <v>28.03</v>
      </c>
      <c r="C122">
        <v>30.03</v>
      </c>
      <c r="D122">
        <v>16.89</v>
      </c>
      <c r="E122">
        <v>25.96</v>
      </c>
      <c r="F122">
        <v>29.51</v>
      </c>
      <c r="G122">
        <v>46.97</v>
      </c>
      <c r="H122">
        <v>23.53</v>
      </c>
      <c r="I122">
        <v>55.18</v>
      </c>
      <c r="J122">
        <v>57.94</v>
      </c>
      <c r="K122">
        <v>69.42</v>
      </c>
      <c r="L122">
        <v>27.66</v>
      </c>
      <c r="M122">
        <v>52.35</v>
      </c>
      <c r="N122">
        <v>56.55</v>
      </c>
      <c r="O122">
        <v>54.31</v>
      </c>
      <c r="P122">
        <v>54.13</v>
      </c>
      <c r="Q122">
        <v>17.96</v>
      </c>
      <c r="R122">
        <v>1114.49</v>
      </c>
      <c r="S122">
        <v>30.08</v>
      </c>
      <c r="T122">
        <v>17.66</v>
      </c>
      <c r="U122">
        <v>13.4</v>
      </c>
      <c r="V122">
        <v>37.1</v>
      </c>
      <c r="W122">
        <v>44.86</v>
      </c>
      <c r="X122">
        <v>25.79</v>
      </c>
      <c r="Y122">
        <v>45.33</v>
      </c>
      <c r="Z122">
        <v>40.75</v>
      </c>
      <c r="AA122">
        <v>72.02</v>
      </c>
      <c r="AB122">
        <v>53.46</v>
      </c>
      <c r="AC122">
        <v>39.17</v>
      </c>
      <c r="AD122">
        <v>531.65</v>
      </c>
      <c r="AE122">
        <v>600.15</v>
      </c>
      <c r="AF122">
        <v>41.57</v>
      </c>
      <c r="AG122">
        <v>53.03</v>
      </c>
      <c r="AH122">
        <v>43.96</v>
      </c>
      <c r="AI122">
        <v>46.45</v>
      </c>
    </row>
    <row r="123" spans="1:35" x14ac:dyDescent="0.45">
      <c r="A123" s="2">
        <v>45828</v>
      </c>
      <c r="B123">
        <v>27.925000000000001</v>
      </c>
      <c r="C123">
        <v>30.1</v>
      </c>
      <c r="D123">
        <v>17.18</v>
      </c>
      <c r="E123">
        <v>26.5</v>
      </c>
      <c r="F123">
        <v>29.72</v>
      </c>
      <c r="G123">
        <v>47.08</v>
      </c>
      <c r="H123">
        <v>23.41</v>
      </c>
      <c r="I123">
        <v>54.84</v>
      </c>
      <c r="J123">
        <v>58.11</v>
      </c>
      <c r="K123">
        <v>68.53</v>
      </c>
      <c r="L123">
        <v>27.67</v>
      </c>
      <c r="M123">
        <v>51.73</v>
      </c>
      <c r="N123">
        <v>54.71</v>
      </c>
      <c r="O123">
        <v>53.9</v>
      </c>
      <c r="P123">
        <v>53.5</v>
      </c>
      <c r="Q123">
        <v>17.72</v>
      </c>
      <c r="R123">
        <v>1122.7</v>
      </c>
      <c r="S123">
        <v>29.96</v>
      </c>
      <c r="T123">
        <v>17.260000000000002</v>
      </c>
      <c r="U123">
        <v>13.345000000000001</v>
      </c>
      <c r="V123">
        <v>36.56</v>
      </c>
      <c r="W123">
        <v>44.6</v>
      </c>
      <c r="X123">
        <v>25.55</v>
      </c>
      <c r="Y123">
        <v>45.1</v>
      </c>
      <c r="Z123">
        <v>40.340000000000003</v>
      </c>
      <c r="AA123">
        <v>71.760000000000005</v>
      </c>
      <c r="AB123">
        <v>52.68</v>
      </c>
      <c r="AC123">
        <v>38.9</v>
      </c>
      <c r="AD123">
        <v>526.83000000000004</v>
      </c>
      <c r="AE123">
        <v>594.28</v>
      </c>
      <c r="AF123">
        <v>41.29</v>
      </c>
      <c r="AG123">
        <v>51.892699999999998</v>
      </c>
      <c r="AH123">
        <v>43.81</v>
      </c>
      <c r="AI123">
        <v>46.36</v>
      </c>
    </row>
    <row r="124" spans="1:35" x14ac:dyDescent="0.45">
      <c r="A124" s="2">
        <v>45826</v>
      </c>
      <c r="B124">
        <v>27.96</v>
      </c>
      <c r="C124">
        <v>30.34</v>
      </c>
      <c r="D124">
        <v>17.87</v>
      </c>
      <c r="E124">
        <v>26.7</v>
      </c>
      <c r="F124">
        <v>29.36</v>
      </c>
      <c r="G124">
        <v>47.413699999999999</v>
      </c>
      <c r="H124">
        <v>23.59</v>
      </c>
      <c r="I124">
        <v>56.03</v>
      </c>
      <c r="J124">
        <v>58.97</v>
      </c>
      <c r="K124">
        <v>67.87</v>
      </c>
      <c r="L124">
        <v>28.08</v>
      </c>
      <c r="M124">
        <v>51.8</v>
      </c>
      <c r="N124">
        <v>54.58</v>
      </c>
      <c r="O124">
        <v>53.79</v>
      </c>
      <c r="P124">
        <v>53.93</v>
      </c>
      <c r="Q124">
        <v>17.82</v>
      </c>
      <c r="R124">
        <v>1128.6199999999999</v>
      </c>
      <c r="S124">
        <v>30.11</v>
      </c>
      <c r="T124">
        <v>16.989999999999998</v>
      </c>
      <c r="U124">
        <v>13.36</v>
      </c>
      <c r="V124">
        <v>36.36</v>
      </c>
      <c r="W124">
        <v>45.08</v>
      </c>
      <c r="X124">
        <v>25.86</v>
      </c>
      <c r="Y124">
        <v>45.32</v>
      </c>
      <c r="Z124">
        <v>40.28</v>
      </c>
      <c r="AA124">
        <v>73.05</v>
      </c>
      <c r="AB124">
        <v>53.25</v>
      </c>
      <c r="AC124">
        <v>39.22</v>
      </c>
      <c r="AD124">
        <v>528.99</v>
      </c>
      <c r="AE124">
        <v>597.44000000000005</v>
      </c>
      <c r="AF124">
        <v>41.67</v>
      </c>
      <c r="AG124">
        <v>52.247599999999998</v>
      </c>
      <c r="AH124">
        <v>43.98</v>
      </c>
      <c r="AI124">
        <v>46.46</v>
      </c>
    </row>
    <row r="125" spans="1:35" x14ac:dyDescent="0.45">
      <c r="A125" s="2">
        <v>45825</v>
      </c>
      <c r="B125">
        <v>28</v>
      </c>
      <c r="C125">
        <v>30.45</v>
      </c>
      <c r="D125">
        <v>18.02</v>
      </c>
      <c r="E125">
        <v>26.98</v>
      </c>
      <c r="F125">
        <v>29.39</v>
      </c>
      <c r="G125">
        <v>47.62</v>
      </c>
      <c r="H125">
        <v>23.53</v>
      </c>
      <c r="I125">
        <v>55.65</v>
      </c>
      <c r="J125">
        <v>58.91</v>
      </c>
      <c r="K125">
        <v>66.63</v>
      </c>
      <c r="L125">
        <v>28.11</v>
      </c>
      <c r="M125">
        <v>51.56</v>
      </c>
      <c r="N125">
        <v>54.88</v>
      </c>
      <c r="O125">
        <v>53.83</v>
      </c>
      <c r="P125">
        <v>54.44</v>
      </c>
      <c r="Q125">
        <v>17.895</v>
      </c>
      <c r="R125">
        <v>1141.58</v>
      </c>
      <c r="S125">
        <v>30.21</v>
      </c>
      <c r="T125">
        <v>17.239999999999998</v>
      </c>
      <c r="U125">
        <v>13.31</v>
      </c>
      <c r="V125">
        <v>36.83</v>
      </c>
      <c r="W125">
        <v>45.09</v>
      </c>
      <c r="X125">
        <v>25.77</v>
      </c>
      <c r="Y125">
        <v>45.45</v>
      </c>
      <c r="Z125">
        <v>40.4</v>
      </c>
      <c r="AA125">
        <v>72.28</v>
      </c>
      <c r="AB125">
        <v>53.42</v>
      </c>
      <c r="AC125">
        <v>39.200000000000003</v>
      </c>
      <c r="AD125">
        <v>529.08000000000004</v>
      </c>
      <c r="AE125">
        <v>597.53</v>
      </c>
      <c r="AF125">
        <v>41.74</v>
      </c>
      <c r="AG125">
        <v>52.33</v>
      </c>
      <c r="AH125">
        <v>44.43</v>
      </c>
      <c r="AI125">
        <v>46.26</v>
      </c>
    </row>
    <row r="126" spans="1:35" x14ac:dyDescent="0.45">
      <c r="A126" s="2">
        <v>45824</v>
      </c>
      <c r="B126">
        <v>28.12</v>
      </c>
      <c r="C126">
        <v>31.11</v>
      </c>
      <c r="D126">
        <v>18.010000000000002</v>
      </c>
      <c r="E126">
        <v>27.35</v>
      </c>
      <c r="F126">
        <v>29.38</v>
      </c>
      <c r="G126">
        <v>47.7117</v>
      </c>
      <c r="H126">
        <v>23.93</v>
      </c>
      <c r="I126">
        <v>56.46</v>
      </c>
      <c r="J126">
        <v>59.82</v>
      </c>
      <c r="K126">
        <v>68.19</v>
      </c>
      <c r="L126">
        <v>28.31</v>
      </c>
      <c r="M126">
        <v>53.04</v>
      </c>
      <c r="N126">
        <v>55.79</v>
      </c>
      <c r="O126">
        <v>54.56</v>
      </c>
      <c r="P126">
        <v>55.01</v>
      </c>
      <c r="Q126">
        <v>18.045000000000002</v>
      </c>
      <c r="R126">
        <v>1139.1600000000001</v>
      </c>
      <c r="S126">
        <v>30.63</v>
      </c>
      <c r="T126">
        <v>17.559999999999999</v>
      </c>
      <c r="U126">
        <v>13.26</v>
      </c>
      <c r="V126">
        <v>37.479999999999997</v>
      </c>
      <c r="W126">
        <v>45.97</v>
      </c>
      <c r="X126">
        <v>26.09</v>
      </c>
      <c r="Y126">
        <v>45.76</v>
      </c>
      <c r="Z126">
        <v>41.13</v>
      </c>
      <c r="AA126">
        <v>73.150000000000006</v>
      </c>
      <c r="AB126">
        <v>53.77</v>
      </c>
      <c r="AC126">
        <v>39.619999999999997</v>
      </c>
      <c r="AD126">
        <v>534.29</v>
      </c>
      <c r="AE126">
        <v>602.67999999999995</v>
      </c>
      <c r="AF126">
        <v>42.21</v>
      </c>
      <c r="AG126">
        <v>53.08</v>
      </c>
      <c r="AH126">
        <v>44.91</v>
      </c>
      <c r="AI126">
        <v>47.21</v>
      </c>
    </row>
    <row r="127" spans="1:35" x14ac:dyDescent="0.45">
      <c r="A127" s="2">
        <v>45821</v>
      </c>
      <c r="B127">
        <v>28.15</v>
      </c>
      <c r="C127">
        <v>31.83</v>
      </c>
      <c r="D127">
        <v>18.62</v>
      </c>
      <c r="E127">
        <v>27.66</v>
      </c>
      <c r="F127">
        <v>29.86</v>
      </c>
      <c r="G127">
        <v>48.2913</v>
      </c>
      <c r="H127">
        <v>24.26</v>
      </c>
      <c r="I127">
        <v>55.85</v>
      </c>
      <c r="J127">
        <v>61.06</v>
      </c>
      <c r="K127">
        <v>66.42</v>
      </c>
      <c r="L127">
        <v>28.14</v>
      </c>
      <c r="M127">
        <v>53.3</v>
      </c>
      <c r="N127">
        <v>56</v>
      </c>
      <c r="O127">
        <v>54.04</v>
      </c>
      <c r="P127">
        <v>54.77</v>
      </c>
      <c r="Q127">
        <v>18.2</v>
      </c>
      <c r="R127">
        <v>1135.24</v>
      </c>
      <c r="S127">
        <v>30.75</v>
      </c>
      <c r="T127">
        <v>17.88</v>
      </c>
      <c r="U127">
        <v>13.02</v>
      </c>
      <c r="V127">
        <v>37.130000000000003</v>
      </c>
      <c r="W127">
        <v>45.19</v>
      </c>
      <c r="X127">
        <v>26.32</v>
      </c>
      <c r="Y127">
        <v>45.88</v>
      </c>
      <c r="Z127">
        <v>41.51</v>
      </c>
      <c r="AA127">
        <v>73.599999999999994</v>
      </c>
      <c r="AB127">
        <v>55.22</v>
      </c>
      <c r="AC127">
        <v>40.42</v>
      </c>
      <c r="AD127">
        <v>526.96</v>
      </c>
      <c r="AE127">
        <v>597</v>
      </c>
      <c r="AF127">
        <v>42.83</v>
      </c>
      <c r="AG127">
        <v>53.54</v>
      </c>
      <c r="AH127">
        <v>45.49</v>
      </c>
      <c r="AI127">
        <v>47.43</v>
      </c>
    </row>
    <row r="128" spans="1:35" x14ac:dyDescent="0.45">
      <c r="A128" s="2">
        <v>45820</v>
      </c>
      <c r="B128">
        <v>28.42</v>
      </c>
      <c r="C128">
        <v>32.51</v>
      </c>
      <c r="D128">
        <v>18.899999999999999</v>
      </c>
      <c r="E128">
        <v>28.08</v>
      </c>
      <c r="F128">
        <v>30.63</v>
      </c>
      <c r="G128">
        <v>48.584800000000001</v>
      </c>
      <c r="H128">
        <v>24.54</v>
      </c>
      <c r="I128">
        <v>56.74</v>
      </c>
      <c r="J128">
        <v>61.57</v>
      </c>
      <c r="K128">
        <v>67.69</v>
      </c>
      <c r="L128">
        <v>28.15</v>
      </c>
      <c r="M128">
        <v>54.77</v>
      </c>
      <c r="N128">
        <v>56.89</v>
      </c>
      <c r="O128">
        <v>54.8</v>
      </c>
      <c r="P128">
        <v>55.79</v>
      </c>
      <c r="Q128">
        <v>18.899999999999999</v>
      </c>
      <c r="R128">
        <v>1136.43</v>
      </c>
      <c r="S128">
        <v>31.57</v>
      </c>
      <c r="T128">
        <v>18.395</v>
      </c>
      <c r="U128">
        <v>13.36</v>
      </c>
      <c r="V128">
        <v>38.07</v>
      </c>
      <c r="W128">
        <v>46.07</v>
      </c>
      <c r="X128">
        <v>26.64</v>
      </c>
      <c r="Y128">
        <v>46</v>
      </c>
      <c r="Z128">
        <v>42.22</v>
      </c>
      <c r="AA128">
        <v>74.209999999999994</v>
      </c>
      <c r="AB128">
        <v>56.27</v>
      </c>
      <c r="AC128">
        <v>40.78</v>
      </c>
      <c r="AD128">
        <v>533.66</v>
      </c>
      <c r="AE128">
        <v>603.75</v>
      </c>
      <c r="AF128">
        <v>43.57</v>
      </c>
      <c r="AG128">
        <v>54.73</v>
      </c>
      <c r="AH128">
        <v>46.02</v>
      </c>
      <c r="AI128">
        <v>48.25</v>
      </c>
    </row>
    <row r="129" spans="1:35" x14ac:dyDescent="0.45">
      <c r="A129" s="2">
        <v>45819</v>
      </c>
      <c r="B129">
        <v>28.29</v>
      </c>
      <c r="C129">
        <v>32.54</v>
      </c>
      <c r="D129">
        <v>18.91</v>
      </c>
      <c r="E129">
        <v>27.93</v>
      </c>
      <c r="F129">
        <v>30.62</v>
      </c>
      <c r="G129">
        <v>48.44</v>
      </c>
      <c r="H129">
        <v>24.45</v>
      </c>
      <c r="I129">
        <v>55.83</v>
      </c>
      <c r="J129">
        <v>61.56</v>
      </c>
      <c r="K129">
        <v>66.989999999999995</v>
      </c>
      <c r="L129">
        <v>28.22</v>
      </c>
      <c r="M129">
        <v>54.08</v>
      </c>
      <c r="N129">
        <v>56.52</v>
      </c>
      <c r="O129">
        <v>55.33</v>
      </c>
      <c r="P129">
        <v>55.86</v>
      </c>
      <c r="Q129">
        <v>18.96</v>
      </c>
      <c r="R129">
        <v>1140.6300000000001</v>
      </c>
      <c r="S129">
        <v>32.11</v>
      </c>
      <c r="T129">
        <v>18.72</v>
      </c>
      <c r="U129">
        <v>13.32</v>
      </c>
      <c r="V129">
        <v>38.46</v>
      </c>
      <c r="W129">
        <v>45.76</v>
      </c>
      <c r="X129">
        <v>26.6</v>
      </c>
      <c r="Y129">
        <v>45.66</v>
      </c>
      <c r="Z129">
        <v>42.11</v>
      </c>
      <c r="AA129">
        <v>73.67</v>
      </c>
      <c r="AB129">
        <v>55.43</v>
      </c>
      <c r="AC129">
        <v>40.409999999999997</v>
      </c>
      <c r="AD129">
        <v>532.41</v>
      </c>
      <c r="AE129">
        <v>601.36</v>
      </c>
      <c r="AF129">
        <v>43.11</v>
      </c>
      <c r="AG129">
        <v>54.37</v>
      </c>
      <c r="AH129">
        <v>45.9</v>
      </c>
      <c r="AI129">
        <v>47.93</v>
      </c>
    </row>
    <row r="130" spans="1:35" x14ac:dyDescent="0.45">
      <c r="A130" s="2">
        <v>45818</v>
      </c>
      <c r="B130">
        <v>28.1</v>
      </c>
      <c r="C130">
        <v>31.82</v>
      </c>
      <c r="D130">
        <v>18.84</v>
      </c>
      <c r="E130">
        <v>27.82</v>
      </c>
      <c r="F130">
        <v>30.83</v>
      </c>
      <c r="G130">
        <v>48.231099999999998</v>
      </c>
      <c r="H130">
        <v>24.28</v>
      </c>
      <c r="I130">
        <v>55.8</v>
      </c>
      <c r="J130">
        <v>61.36</v>
      </c>
      <c r="K130">
        <v>66.16</v>
      </c>
      <c r="L130">
        <v>27.72</v>
      </c>
      <c r="M130">
        <v>54.66</v>
      </c>
      <c r="N130">
        <v>56.48</v>
      </c>
      <c r="O130">
        <v>55.26</v>
      </c>
      <c r="P130">
        <v>55.69</v>
      </c>
      <c r="Q130">
        <v>18.920000000000002</v>
      </c>
      <c r="R130">
        <v>1132.02</v>
      </c>
      <c r="S130">
        <v>32.17</v>
      </c>
      <c r="T130">
        <v>18.78</v>
      </c>
      <c r="U130">
        <v>13.4</v>
      </c>
      <c r="V130">
        <v>38.72</v>
      </c>
      <c r="W130">
        <v>45.65</v>
      </c>
      <c r="X130">
        <v>26.71</v>
      </c>
      <c r="Y130">
        <v>45.43</v>
      </c>
      <c r="Z130">
        <v>42.12</v>
      </c>
      <c r="AA130">
        <v>73.88</v>
      </c>
      <c r="AB130">
        <v>55.67</v>
      </c>
      <c r="AC130">
        <v>40.31</v>
      </c>
      <c r="AD130">
        <v>534.21</v>
      </c>
      <c r="AE130">
        <v>603.08000000000004</v>
      </c>
      <c r="AF130">
        <v>43.21</v>
      </c>
      <c r="AG130">
        <v>54.57</v>
      </c>
      <c r="AH130">
        <v>45.94</v>
      </c>
      <c r="AI130">
        <v>47.93</v>
      </c>
    </row>
    <row r="131" spans="1:35" x14ac:dyDescent="0.45">
      <c r="A131" s="2">
        <v>45817</v>
      </c>
      <c r="B131">
        <v>28.3</v>
      </c>
      <c r="C131">
        <v>31.75</v>
      </c>
      <c r="D131">
        <v>18.59</v>
      </c>
      <c r="E131">
        <v>28.12</v>
      </c>
      <c r="F131">
        <v>30</v>
      </c>
      <c r="G131">
        <v>48.53</v>
      </c>
      <c r="H131">
        <v>24.32</v>
      </c>
      <c r="I131">
        <v>54.71</v>
      </c>
      <c r="J131">
        <v>61.09</v>
      </c>
      <c r="K131">
        <v>66.48</v>
      </c>
      <c r="L131">
        <v>27.62</v>
      </c>
      <c r="M131">
        <v>54.44</v>
      </c>
      <c r="N131">
        <v>55.85</v>
      </c>
      <c r="O131">
        <v>55.24</v>
      </c>
      <c r="P131">
        <v>55.52</v>
      </c>
      <c r="Q131">
        <v>18.829999999999998</v>
      </c>
      <c r="R131">
        <v>1149.18</v>
      </c>
      <c r="S131">
        <v>31.66</v>
      </c>
      <c r="T131">
        <v>18.71</v>
      </c>
      <c r="U131">
        <v>13.26</v>
      </c>
      <c r="V131">
        <v>38.57</v>
      </c>
      <c r="W131">
        <v>45.32</v>
      </c>
      <c r="X131">
        <v>26.44</v>
      </c>
      <c r="Y131">
        <v>45.3</v>
      </c>
      <c r="Z131">
        <v>42.31</v>
      </c>
      <c r="AA131">
        <v>73.930000000000007</v>
      </c>
      <c r="AB131">
        <v>55.62</v>
      </c>
      <c r="AC131">
        <v>40.340000000000003</v>
      </c>
      <c r="AD131">
        <v>530.70000000000005</v>
      </c>
      <c r="AE131">
        <v>599.67999999999995</v>
      </c>
      <c r="AF131">
        <v>43.08</v>
      </c>
      <c r="AG131">
        <v>54.02</v>
      </c>
      <c r="AH131">
        <v>45.91</v>
      </c>
      <c r="AI131">
        <v>48.18</v>
      </c>
    </row>
    <row r="132" spans="1:35" x14ac:dyDescent="0.45">
      <c r="A132" s="2">
        <v>45814</v>
      </c>
      <c r="B132">
        <v>28.22</v>
      </c>
      <c r="C132">
        <v>31.84</v>
      </c>
      <c r="D132">
        <v>18.510000000000002</v>
      </c>
      <c r="E132">
        <v>27.95</v>
      </c>
      <c r="F132">
        <v>29.46</v>
      </c>
      <c r="G132">
        <v>48.5916</v>
      </c>
      <c r="H132">
        <v>24.25</v>
      </c>
      <c r="I132">
        <v>54.11</v>
      </c>
      <c r="J132">
        <v>61.24</v>
      </c>
      <c r="K132">
        <v>65.569999999999993</v>
      </c>
      <c r="L132">
        <v>27.72</v>
      </c>
      <c r="M132">
        <v>53.94</v>
      </c>
      <c r="N132">
        <v>55.46</v>
      </c>
      <c r="O132">
        <v>54.91</v>
      </c>
      <c r="P132">
        <v>54.92</v>
      </c>
      <c r="Q132">
        <v>18.829999999999998</v>
      </c>
      <c r="R132">
        <v>1164.01</v>
      </c>
      <c r="S132">
        <v>31.61</v>
      </c>
      <c r="T132">
        <v>18.670000000000002</v>
      </c>
      <c r="U132">
        <v>13.64</v>
      </c>
      <c r="V132">
        <v>38.51</v>
      </c>
      <c r="W132">
        <v>45.31</v>
      </c>
      <c r="X132">
        <v>26.37</v>
      </c>
      <c r="Y132">
        <v>45.39</v>
      </c>
      <c r="Z132">
        <v>42.52</v>
      </c>
      <c r="AA132">
        <v>73.819999999999993</v>
      </c>
      <c r="AB132">
        <v>55.64</v>
      </c>
      <c r="AC132">
        <v>40.35</v>
      </c>
      <c r="AD132">
        <v>529.91999999999996</v>
      </c>
      <c r="AE132">
        <v>599.14</v>
      </c>
      <c r="AF132">
        <v>43.04</v>
      </c>
      <c r="AG132">
        <v>53.63</v>
      </c>
      <c r="AH132">
        <v>46.14</v>
      </c>
      <c r="AI132">
        <v>48.3</v>
      </c>
    </row>
    <row r="133" spans="1:35" x14ac:dyDescent="0.45">
      <c r="A133" s="2">
        <v>45813</v>
      </c>
      <c r="B133">
        <v>28.29</v>
      </c>
      <c r="C133">
        <v>32.17</v>
      </c>
      <c r="D133">
        <v>18.559999999999999</v>
      </c>
      <c r="E133">
        <v>27.96</v>
      </c>
      <c r="F133">
        <v>29.75</v>
      </c>
      <c r="G133">
        <v>48.796100000000003</v>
      </c>
      <c r="H133">
        <v>24.31</v>
      </c>
      <c r="I133">
        <v>53.74</v>
      </c>
      <c r="J133">
        <v>60.72</v>
      </c>
      <c r="K133">
        <v>65.36</v>
      </c>
      <c r="L133">
        <v>27.6</v>
      </c>
      <c r="M133">
        <v>54.03</v>
      </c>
      <c r="N133">
        <v>55.77</v>
      </c>
      <c r="O133">
        <v>54.18</v>
      </c>
      <c r="P133">
        <v>54.99</v>
      </c>
      <c r="Q133">
        <v>18.78</v>
      </c>
      <c r="R133">
        <v>1160.74</v>
      </c>
      <c r="S133">
        <v>31.44</v>
      </c>
      <c r="T133">
        <v>18.61</v>
      </c>
      <c r="U133">
        <v>13.74</v>
      </c>
      <c r="V133">
        <v>38.479999999999997</v>
      </c>
      <c r="W133">
        <v>45.53</v>
      </c>
      <c r="X133">
        <v>26.36</v>
      </c>
      <c r="Y133">
        <v>45.32</v>
      </c>
      <c r="Z133">
        <v>42.57</v>
      </c>
      <c r="AA133">
        <v>73.39</v>
      </c>
      <c r="AB133">
        <v>55.47</v>
      </c>
      <c r="AC133">
        <v>40.22</v>
      </c>
      <c r="AD133">
        <v>524.79</v>
      </c>
      <c r="AE133">
        <v>593.04999999999995</v>
      </c>
      <c r="AF133">
        <v>43.04</v>
      </c>
      <c r="AG133">
        <v>53.36</v>
      </c>
      <c r="AH133">
        <v>46.17</v>
      </c>
      <c r="AI133">
        <v>47.98</v>
      </c>
    </row>
    <row r="134" spans="1:35" x14ac:dyDescent="0.45">
      <c r="A134" s="2">
        <v>45812</v>
      </c>
      <c r="B134">
        <v>28.18</v>
      </c>
      <c r="C134">
        <v>31.88</v>
      </c>
      <c r="D134">
        <v>18.45</v>
      </c>
      <c r="E134">
        <v>27.66</v>
      </c>
      <c r="F134">
        <v>30.22</v>
      </c>
      <c r="G134">
        <v>48.064999999999998</v>
      </c>
      <c r="H134">
        <v>24.14</v>
      </c>
      <c r="I134">
        <v>53.96</v>
      </c>
      <c r="J134">
        <v>60.25</v>
      </c>
      <c r="K134">
        <v>63.98</v>
      </c>
      <c r="L134">
        <v>27.44</v>
      </c>
      <c r="M134">
        <v>53.46</v>
      </c>
      <c r="N134">
        <v>55.24</v>
      </c>
      <c r="O134">
        <v>53.92</v>
      </c>
      <c r="P134">
        <v>54.79</v>
      </c>
      <c r="Q134">
        <v>18.91</v>
      </c>
      <c r="R134">
        <v>1163.42</v>
      </c>
      <c r="S134">
        <v>31.36</v>
      </c>
      <c r="T134">
        <v>18.59</v>
      </c>
      <c r="U134">
        <v>13.86</v>
      </c>
      <c r="V134">
        <v>38.380000000000003</v>
      </c>
      <c r="W134">
        <v>45.25</v>
      </c>
      <c r="X134">
        <v>26.33</v>
      </c>
      <c r="Y134">
        <v>45.25</v>
      </c>
      <c r="Z134">
        <v>42.46</v>
      </c>
      <c r="AA134">
        <v>74.08</v>
      </c>
      <c r="AB134">
        <v>55.56</v>
      </c>
      <c r="AC134">
        <v>40.19</v>
      </c>
      <c r="AD134">
        <v>528.77</v>
      </c>
      <c r="AE134">
        <v>595.92999999999995</v>
      </c>
      <c r="AF134">
        <v>43.08</v>
      </c>
      <c r="AG134">
        <v>53.23</v>
      </c>
      <c r="AH134">
        <v>45.93</v>
      </c>
      <c r="AI134">
        <v>47.74</v>
      </c>
    </row>
    <row r="135" spans="1:35" x14ac:dyDescent="0.45">
      <c r="A135" s="2">
        <v>45811</v>
      </c>
      <c r="B135">
        <v>27.96</v>
      </c>
      <c r="C135">
        <v>31.58</v>
      </c>
      <c r="D135">
        <v>18.420000000000002</v>
      </c>
      <c r="E135">
        <v>27.78</v>
      </c>
      <c r="F135">
        <v>29.92</v>
      </c>
      <c r="G135">
        <v>47.95</v>
      </c>
      <c r="H135">
        <v>24.09</v>
      </c>
      <c r="I135">
        <v>53.15</v>
      </c>
      <c r="J135">
        <v>60.39</v>
      </c>
      <c r="K135">
        <v>61.89</v>
      </c>
      <c r="L135">
        <v>27.58</v>
      </c>
      <c r="M135">
        <v>53.13</v>
      </c>
      <c r="N135">
        <v>55.29</v>
      </c>
      <c r="O135">
        <v>53.96</v>
      </c>
      <c r="P135">
        <v>53.76</v>
      </c>
      <c r="Q135">
        <v>19.079999999999998</v>
      </c>
      <c r="R135">
        <v>1178.43</v>
      </c>
      <c r="S135">
        <v>30.84</v>
      </c>
      <c r="T135">
        <v>18.59</v>
      </c>
      <c r="U135">
        <v>13.96</v>
      </c>
      <c r="V135">
        <v>38</v>
      </c>
      <c r="W135">
        <v>44.61</v>
      </c>
      <c r="X135">
        <v>26.07</v>
      </c>
      <c r="Y135">
        <v>45.34</v>
      </c>
      <c r="Z135">
        <v>42.12</v>
      </c>
      <c r="AA135">
        <v>74.13</v>
      </c>
      <c r="AB135">
        <v>55.03</v>
      </c>
      <c r="AC135">
        <v>40.06</v>
      </c>
      <c r="AD135">
        <v>527.29999999999995</v>
      </c>
      <c r="AE135">
        <v>596.09</v>
      </c>
      <c r="AF135">
        <v>42.84</v>
      </c>
      <c r="AG135">
        <v>52.95</v>
      </c>
      <c r="AH135">
        <v>45.2</v>
      </c>
      <c r="AI135">
        <v>47.87</v>
      </c>
    </row>
    <row r="136" spans="1:35" x14ac:dyDescent="0.45">
      <c r="A136" s="2">
        <v>45810</v>
      </c>
      <c r="B136">
        <v>27.72</v>
      </c>
      <c r="C136">
        <v>31.53</v>
      </c>
      <c r="D136">
        <v>18.559999999999999</v>
      </c>
      <c r="E136">
        <v>27.6</v>
      </c>
      <c r="F136">
        <v>30.49</v>
      </c>
      <c r="G136">
        <v>47.72</v>
      </c>
      <c r="H136">
        <v>24.15</v>
      </c>
      <c r="I136">
        <v>52.84</v>
      </c>
      <c r="J136">
        <v>60.64</v>
      </c>
      <c r="K136">
        <v>61.74</v>
      </c>
      <c r="L136">
        <v>27.27</v>
      </c>
      <c r="M136">
        <v>53.27</v>
      </c>
      <c r="N136">
        <v>55.7</v>
      </c>
      <c r="O136">
        <v>54.54</v>
      </c>
      <c r="P136">
        <v>53.26</v>
      </c>
      <c r="Q136">
        <v>18.8</v>
      </c>
      <c r="R136">
        <v>1176.3599999999999</v>
      </c>
      <c r="S136">
        <v>30.05</v>
      </c>
      <c r="T136">
        <v>18.45</v>
      </c>
      <c r="U136">
        <v>13.81</v>
      </c>
      <c r="V136">
        <v>38.159999999999997</v>
      </c>
      <c r="W136">
        <v>45.04</v>
      </c>
      <c r="X136">
        <v>26.15</v>
      </c>
      <c r="Y136">
        <v>45.39</v>
      </c>
      <c r="Z136">
        <v>42.34</v>
      </c>
      <c r="AA136">
        <v>75.040000000000006</v>
      </c>
      <c r="AB136">
        <v>55.54</v>
      </c>
      <c r="AC136">
        <v>40.29</v>
      </c>
      <c r="AD136">
        <v>523.21</v>
      </c>
      <c r="AE136">
        <v>592.71</v>
      </c>
      <c r="AF136">
        <v>43.14</v>
      </c>
      <c r="AG136">
        <v>53.285800000000002</v>
      </c>
      <c r="AH136">
        <v>45.62</v>
      </c>
      <c r="AI136">
        <v>48.32</v>
      </c>
    </row>
    <row r="137" spans="1:35" x14ac:dyDescent="0.45">
      <c r="A137" s="2">
        <v>45807</v>
      </c>
      <c r="B137">
        <v>27.67</v>
      </c>
      <c r="C137">
        <v>31.5</v>
      </c>
      <c r="D137">
        <v>18.88</v>
      </c>
      <c r="E137">
        <v>27.24</v>
      </c>
      <c r="F137">
        <v>30.37</v>
      </c>
      <c r="G137">
        <v>46.64</v>
      </c>
      <c r="H137">
        <v>23.96</v>
      </c>
      <c r="I137">
        <v>52.38</v>
      </c>
      <c r="J137">
        <v>60.17</v>
      </c>
      <c r="K137">
        <v>60.63</v>
      </c>
      <c r="L137">
        <v>27.21</v>
      </c>
      <c r="M137">
        <v>52.21</v>
      </c>
      <c r="N137">
        <v>55</v>
      </c>
      <c r="O137">
        <v>54.31</v>
      </c>
      <c r="P137">
        <v>52.82</v>
      </c>
      <c r="Q137">
        <v>18.75</v>
      </c>
      <c r="R137">
        <v>1173.3699999999999</v>
      </c>
      <c r="S137">
        <v>29.99</v>
      </c>
      <c r="T137">
        <v>18.57</v>
      </c>
      <c r="U137">
        <v>13.59</v>
      </c>
      <c r="V137">
        <v>38.33</v>
      </c>
      <c r="W137">
        <v>44.39</v>
      </c>
      <c r="X137">
        <v>25.81</v>
      </c>
      <c r="Y137">
        <v>44.96</v>
      </c>
      <c r="Z137">
        <v>41.97</v>
      </c>
      <c r="AA137">
        <v>74.12</v>
      </c>
      <c r="AB137">
        <v>55.18</v>
      </c>
      <c r="AC137">
        <v>39.92</v>
      </c>
      <c r="AD137">
        <v>519.11</v>
      </c>
      <c r="AE137">
        <v>589.39</v>
      </c>
      <c r="AF137">
        <v>42.49</v>
      </c>
      <c r="AG137">
        <v>52.85</v>
      </c>
      <c r="AH137">
        <v>45.45</v>
      </c>
      <c r="AI137">
        <v>47.77</v>
      </c>
    </row>
    <row r="138" spans="1:35" x14ac:dyDescent="0.45">
      <c r="A138" s="2">
        <v>45806</v>
      </c>
      <c r="B138">
        <v>28.02</v>
      </c>
      <c r="C138">
        <v>32.08</v>
      </c>
      <c r="D138">
        <v>18.95</v>
      </c>
      <c r="E138">
        <v>27.84</v>
      </c>
      <c r="F138">
        <v>30.72</v>
      </c>
      <c r="G138">
        <v>46.613599999999998</v>
      </c>
      <c r="H138">
        <v>24.3</v>
      </c>
      <c r="I138">
        <v>52.87</v>
      </c>
      <c r="J138">
        <v>61.23</v>
      </c>
      <c r="K138">
        <v>61.8</v>
      </c>
      <c r="L138">
        <v>27.7</v>
      </c>
      <c r="M138">
        <v>53.05</v>
      </c>
      <c r="N138">
        <v>55.71</v>
      </c>
      <c r="O138">
        <v>54.59</v>
      </c>
      <c r="P138">
        <v>53.86</v>
      </c>
      <c r="Q138">
        <v>18.829999999999998</v>
      </c>
      <c r="R138">
        <v>1179.81</v>
      </c>
      <c r="S138">
        <v>30.54</v>
      </c>
      <c r="T138">
        <v>18.59</v>
      </c>
      <c r="U138">
        <v>13.51</v>
      </c>
      <c r="V138">
        <v>38.39</v>
      </c>
      <c r="W138">
        <v>43.97</v>
      </c>
      <c r="X138">
        <v>25.64</v>
      </c>
      <c r="Y138">
        <v>44.78</v>
      </c>
      <c r="Z138">
        <v>41.85</v>
      </c>
      <c r="AA138">
        <v>74.03</v>
      </c>
      <c r="AB138">
        <v>54.9</v>
      </c>
      <c r="AC138">
        <v>39.79</v>
      </c>
      <c r="AD138">
        <v>519.92999999999995</v>
      </c>
      <c r="AE138">
        <v>590.04999999999995</v>
      </c>
      <c r="AF138">
        <v>42.76</v>
      </c>
      <c r="AG138">
        <v>52.94</v>
      </c>
      <c r="AH138">
        <v>45.36</v>
      </c>
      <c r="AI138">
        <v>47.58</v>
      </c>
    </row>
    <row r="139" spans="1:35" x14ac:dyDescent="0.45">
      <c r="A139" s="2">
        <v>45805</v>
      </c>
      <c r="B139">
        <v>27.83</v>
      </c>
      <c r="C139">
        <v>32.17</v>
      </c>
      <c r="D139">
        <v>18.91</v>
      </c>
      <c r="E139">
        <v>27.93</v>
      </c>
      <c r="F139">
        <v>31.25</v>
      </c>
      <c r="G139">
        <v>46.5428</v>
      </c>
      <c r="H139">
        <v>24.47</v>
      </c>
      <c r="I139">
        <v>53.26</v>
      </c>
      <c r="J139">
        <v>60.9</v>
      </c>
      <c r="K139">
        <v>60.75</v>
      </c>
      <c r="L139">
        <v>27.69</v>
      </c>
      <c r="M139">
        <v>52.03</v>
      </c>
      <c r="N139">
        <v>55.85</v>
      </c>
      <c r="O139">
        <v>54.284999999999997</v>
      </c>
      <c r="P139">
        <v>53.33</v>
      </c>
      <c r="Q139">
        <v>18.940000000000001</v>
      </c>
      <c r="R139">
        <v>1189.1400000000001</v>
      </c>
      <c r="S139">
        <v>30.56</v>
      </c>
      <c r="T139">
        <v>18.66</v>
      </c>
      <c r="U139">
        <v>13.71</v>
      </c>
      <c r="V139">
        <v>38.6</v>
      </c>
      <c r="W139">
        <v>44.23</v>
      </c>
      <c r="X139">
        <v>25.56</v>
      </c>
      <c r="Y139">
        <v>44.76</v>
      </c>
      <c r="Z139">
        <v>41.77</v>
      </c>
      <c r="AA139">
        <v>73.61</v>
      </c>
      <c r="AB139">
        <v>54.62</v>
      </c>
      <c r="AC139">
        <v>39.67</v>
      </c>
      <c r="AD139">
        <v>518.91</v>
      </c>
      <c r="AE139">
        <v>587.73</v>
      </c>
      <c r="AF139">
        <v>42.47</v>
      </c>
      <c r="AG139">
        <v>52.59</v>
      </c>
      <c r="AH139">
        <v>45.24</v>
      </c>
      <c r="AI139">
        <v>47.55</v>
      </c>
    </row>
    <row r="140" spans="1:35" x14ac:dyDescent="0.45">
      <c r="A140" s="2">
        <v>45804</v>
      </c>
      <c r="B140">
        <v>27.9</v>
      </c>
      <c r="C140">
        <v>32.75</v>
      </c>
      <c r="D140">
        <v>19.04</v>
      </c>
      <c r="E140">
        <v>27.78</v>
      </c>
      <c r="F140">
        <v>30.82</v>
      </c>
      <c r="G140">
        <v>46.83</v>
      </c>
      <c r="H140">
        <v>24.52</v>
      </c>
      <c r="I140">
        <v>53.58</v>
      </c>
      <c r="J140">
        <v>61.13</v>
      </c>
      <c r="K140">
        <v>59.98</v>
      </c>
      <c r="L140">
        <v>27.99</v>
      </c>
      <c r="M140">
        <v>51.91</v>
      </c>
      <c r="N140">
        <v>55.02</v>
      </c>
      <c r="O140">
        <v>54.53</v>
      </c>
      <c r="P140">
        <v>54.04</v>
      </c>
      <c r="Q140">
        <v>18.91</v>
      </c>
      <c r="R140">
        <v>1187.06</v>
      </c>
      <c r="S140">
        <v>30.86</v>
      </c>
      <c r="T140">
        <v>18.62</v>
      </c>
      <c r="U140">
        <v>13.585000000000001</v>
      </c>
      <c r="V140">
        <v>38.21</v>
      </c>
      <c r="W140">
        <v>45.38</v>
      </c>
      <c r="X140">
        <v>25.87</v>
      </c>
      <c r="Y140">
        <v>44.82</v>
      </c>
      <c r="Z140">
        <v>42.31</v>
      </c>
      <c r="AA140">
        <v>74.95</v>
      </c>
      <c r="AB140">
        <v>55.2</v>
      </c>
      <c r="AC140">
        <v>40.07</v>
      </c>
      <c r="AD140">
        <v>521.22</v>
      </c>
      <c r="AE140">
        <v>591.15</v>
      </c>
      <c r="AF140">
        <v>42.92</v>
      </c>
      <c r="AG140">
        <v>53</v>
      </c>
      <c r="AH140">
        <v>45.55</v>
      </c>
      <c r="AI140">
        <v>47.66</v>
      </c>
    </row>
    <row r="141" spans="1:35" x14ac:dyDescent="0.45">
      <c r="A141" s="2">
        <v>45800</v>
      </c>
      <c r="B141">
        <v>28.2</v>
      </c>
      <c r="C141">
        <v>32.85</v>
      </c>
      <c r="D141">
        <v>19.16</v>
      </c>
      <c r="E141">
        <v>27.81</v>
      </c>
      <c r="F141">
        <v>29.85</v>
      </c>
      <c r="G141">
        <v>46.76</v>
      </c>
      <c r="H141">
        <v>24.58</v>
      </c>
      <c r="I141">
        <v>53.52</v>
      </c>
      <c r="J141">
        <v>60.67</v>
      </c>
      <c r="K141">
        <v>58.96</v>
      </c>
      <c r="L141">
        <v>27.65</v>
      </c>
      <c r="M141">
        <v>52.52</v>
      </c>
      <c r="N141">
        <v>53.23</v>
      </c>
      <c r="O141">
        <v>54.58</v>
      </c>
      <c r="P141">
        <v>54.78</v>
      </c>
      <c r="Q141">
        <v>19.149999999999999</v>
      </c>
      <c r="R141">
        <v>1195.77</v>
      </c>
      <c r="S141">
        <v>31.24</v>
      </c>
      <c r="T141">
        <v>18.45</v>
      </c>
      <c r="U141">
        <v>13.14</v>
      </c>
      <c r="V141">
        <v>39.17</v>
      </c>
      <c r="W141">
        <v>45.36</v>
      </c>
      <c r="X141">
        <v>25.65</v>
      </c>
      <c r="Y141">
        <v>44.44</v>
      </c>
      <c r="Z141">
        <v>41.26</v>
      </c>
      <c r="AA141">
        <v>73.03</v>
      </c>
      <c r="AB141">
        <v>55.03</v>
      </c>
      <c r="AC141">
        <v>39.880000000000003</v>
      </c>
      <c r="AD141">
        <v>509.24</v>
      </c>
      <c r="AE141">
        <v>579.11</v>
      </c>
      <c r="AF141">
        <v>42.4</v>
      </c>
      <c r="AG141">
        <v>52.26</v>
      </c>
      <c r="AH141">
        <v>45.32</v>
      </c>
      <c r="AI141">
        <v>46.96</v>
      </c>
    </row>
    <row r="142" spans="1:35" x14ac:dyDescent="0.45">
      <c r="A142" s="2">
        <v>45799</v>
      </c>
      <c r="B142">
        <v>28.3</v>
      </c>
      <c r="C142">
        <v>32.634999999999998</v>
      </c>
      <c r="D142">
        <v>18.91</v>
      </c>
      <c r="E142">
        <v>27.27</v>
      </c>
      <c r="F142">
        <v>29.99</v>
      </c>
      <c r="G142">
        <v>45.76</v>
      </c>
      <c r="H142">
        <v>24.24</v>
      </c>
      <c r="I142">
        <v>53.7</v>
      </c>
      <c r="J142">
        <v>59.83</v>
      </c>
      <c r="K142">
        <v>58.29</v>
      </c>
      <c r="L142">
        <v>27.52</v>
      </c>
      <c r="M142">
        <v>51.43</v>
      </c>
      <c r="N142">
        <v>53.88</v>
      </c>
      <c r="O142">
        <v>53.79</v>
      </c>
      <c r="P142">
        <v>54.75</v>
      </c>
      <c r="Q142">
        <v>19.11</v>
      </c>
      <c r="R142">
        <v>1194.49</v>
      </c>
      <c r="S142">
        <v>31.7</v>
      </c>
      <c r="T142">
        <v>18.53</v>
      </c>
      <c r="U142">
        <v>13.17</v>
      </c>
      <c r="V142">
        <v>39.28</v>
      </c>
      <c r="W142">
        <v>45.08</v>
      </c>
      <c r="X142">
        <v>25.41</v>
      </c>
      <c r="Y142">
        <v>44</v>
      </c>
      <c r="Z142">
        <v>41.64</v>
      </c>
      <c r="AA142">
        <v>72.37</v>
      </c>
      <c r="AB142">
        <v>54.77</v>
      </c>
      <c r="AC142">
        <v>39.53</v>
      </c>
      <c r="AD142">
        <v>514</v>
      </c>
      <c r="AE142">
        <v>583.09</v>
      </c>
      <c r="AF142">
        <v>42.65</v>
      </c>
      <c r="AG142">
        <v>52.54</v>
      </c>
      <c r="AH142">
        <v>45.09</v>
      </c>
      <c r="AI142">
        <v>47.54</v>
      </c>
    </row>
    <row r="143" spans="1:35" x14ac:dyDescent="0.45">
      <c r="A143" s="2">
        <v>45798</v>
      </c>
      <c r="B143">
        <v>28.4</v>
      </c>
      <c r="C143">
        <v>32.69</v>
      </c>
      <c r="D143">
        <v>18.79</v>
      </c>
      <c r="E143">
        <v>27.46</v>
      </c>
      <c r="F143">
        <v>30.09</v>
      </c>
      <c r="G143">
        <v>45.66</v>
      </c>
      <c r="H143">
        <v>24.49</v>
      </c>
      <c r="I143">
        <v>53.72</v>
      </c>
      <c r="J143">
        <v>60.32</v>
      </c>
      <c r="K143">
        <v>59.1</v>
      </c>
      <c r="L143">
        <v>27.67</v>
      </c>
      <c r="M143">
        <v>51.45</v>
      </c>
      <c r="N143">
        <v>54.14</v>
      </c>
      <c r="O143">
        <v>54.03</v>
      </c>
      <c r="P143">
        <v>54.99</v>
      </c>
      <c r="Q143">
        <v>19.18</v>
      </c>
      <c r="R143">
        <v>1216.71</v>
      </c>
      <c r="S143">
        <v>31.42</v>
      </c>
      <c r="T143">
        <v>18.57</v>
      </c>
      <c r="U143">
        <v>13.21</v>
      </c>
      <c r="V143">
        <v>39.299999999999997</v>
      </c>
      <c r="W143">
        <v>45.22</v>
      </c>
      <c r="X143">
        <v>25.41</v>
      </c>
      <c r="Y143">
        <v>43.94</v>
      </c>
      <c r="Z143">
        <v>41.68</v>
      </c>
      <c r="AA143">
        <v>72.31</v>
      </c>
      <c r="AB143">
        <v>55.04</v>
      </c>
      <c r="AC143">
        <v>39.43</v>
      </c>
      <c r="AD143">
        <v>513.04</v>
      </c>
      <c r="AE143">
        <v>582.86</v>
      </c>
      <c r="AF143">
        <v>42.71</v>
      </c>
      <c r="AG143">
        <v>52.48</v>
      </c>
      <c r="AH143">
        <v>45.94</v>
      </c>
      <c r="AI143">
        <v>47.65</v>
      </c>
    </row>
    <row r="144" spans="1:35" x14ac:dyDescent="0.45">
      <c r="A144" s="2">
        <v>45797</v>
      </c>
      <c r="B144">
        <v>28.28</v>
      </c>
      <c r="C144">
        <v>32.75</v>
      </c>
      <c r="D144">
        <v>18.53</v>
      </c>
      <c r="E144">
        <v>27.36</v>
      </c>
      <c r="F144">
        <v>30.77</v>
      </c>
      <c r="G144">
        <v>45.57</v>
      </c>
      <c r="H144">
        <v>24.5</v>
      </c>
      <c r="I144">
        <v>53.48</v>
      </c>
      <c r="J144">
        <v>60.53</v>
      </c>
      <c r="K144">
        <v>58.4</v>
      </c>
      <c r="L144">
        <v>28.16</v>
      </c>
      <c r="M144">
        <v>51.61</v>
      </c>
      <c r="N144">
        <v>53.89</v>
      </c>
      <c r="O144">
        <v>54.07</v>
      </c>
      <c r="P144">
        <v>55.2</v>
      </c>
      <c r="Q144">
        <v>19.059999999999999</v>
      </c>
      <c r="R144">
        <v>1214.3900000000001</v>
      </c>
      <c r="S144">
        <v>31.86</v>
      </c>
      <c r="T144">
        <v>18.71</v>
      </c>
      <c r="U144">
        <v>13.09</v>
      </c>
      <c r="V144">
        <v>39.89</v>
      </c>
      <c r="W144">
        <v>45.2</v>
      </c>
      <c r="X144">
        <v>25.63</v>
      </c>
      <c r="Y144">
        <v>44.19</v>
      </c>
      <c r="Z144">
        <v>41.77</v>
      </c>
      <c r="AA144">
        <v>72.989999999999995</v>
      </c>
      <c r="AB144">
        <v>55.17</v>
      </c>
      <c r="AC144">
        <v>39.61</v>
      </c>
      <c r="AD144">
        <v>520.27</v>
      </c>
      <c r="AE144">
        <v>592.85</v>
      </c>
      <c r="AF144">
        <v>43.1</v>
      </c>
      <c r="AG144">
        <v>52.8</v>
      </c>
      <c r="AH144">
        <v>46.35</v>
      </c>
      <c r="AI144">
        <v>47.84</v>
      </c>
    </row>
    <row r="145" spans="1:35" x14ac:dyDescent="0.45">
      <c r="A145" s="2">
        <v>45796</v>
      </c>
      <c r="B145">
        <v>28.14</v>
      </c>
      <c r="C145">
        <v>32.96</v>
      </c>
      <c r="D145">
        <v>18.739999999999998</v>
      </c>
      <c r="E145">
        <v>27.9</v>
      </c>
      <c r="F145">
        <v>30.53</v>
      </c>
      <c r="G145">
        <v>45.16</v>
      </c>
      <c r="H145">
        <v>24.69</v>
      </c>
      <c r="I145">
        <v>53.82</v>
      </c>
      <c r="J145">
        <v>60.57</v>
      </c>
      <c r="K145">
        <v>58.82</v>
      </c>
      <c r="L145">
        <v>28.18</v>
      </c>
      <c r="M145">
        <v>51.08</v>
      </c>
      <c r="N145">
        <v>52.9</v>
      </c>
      <c r="O145">
        <v>54.78</v>
      </c>
      <c r="P145">
        <v>54.7</v>
      </c>
      <c r="Q145">
        <v>19.05</v>
      </c>
      <c r="R145">
        <v>1210.94</v>
      </c>
      <c r="S145">
        <v>32.49</v>
      </c>
      <c r="T145">
        <v>18.649999999999999</v>
      </c>
      <c r="U145">
        <v>12.865</v>
      </c>
      <c r="V145">
        <v>39.909999999999997</v>
      </c>
      <c r="W145">
        <v>45.15</v>
      </c>
      <c r="X145">
        <v>25.63</v>
      </c>
      <c r="Y145">
        <v>44.05</v>
      </c>
      <c r="Z145">
        <v>41.56</v>
      </c>
      <c r="AA145">
        <v>72.569999999999993</v>
      </c>
      <c r="AB145">
        <v>55.02</v>
      </c>
      <c r="AC145">
        <v>39.33</v>
      </c>
      <c r="AD145">
        <v>522.01</v>
      </c>
      <c r="AE145">
        <v>594.85</v>
      </c>
      <c r="AF145">
        <v>42.73</v>
      </c>
      <c r="AG145">
        <v>52.645000000000003</v>
      </c>
      <c r="AH145">
        <v>46.19</v>
      </c>
      <c r="AI145">
        <v>47.3</v>
      </c>
    </row>
    <row r="146" spans="1:35" x14ac:dyDescent="0.45">
      <c r="A146" s="2">
        <v>45793</v>
      </c>
      <c r="B146">
        <v>28.24</v>
      </c>
      <c r="C146">
        <v>32.61</v>
      </c>
      <c r="D146">
        <v>18.39</v>
      </c>
      <c r="E146">
        <v>27.69</v>
      </c>
      <c r="F146">
        <v>30.32</v>
      </c>
      <c r="G146">
        <v>44.57</v>
      </c>
      <c r="H146">
        <v>24.87</v>
      </c>
      <c r="I146">
        <v>54.01</v>
      </c>
      <c r="J146">
        <v>59.51</v>
      </c>
      <c r="K146">
        <v>58.79</v>
      </c>
      <c r="L146">
        <v>28</v>
      </c>
      <c r="M146">
        <v>51.24</v>
      </c>
      <c r="N146">
        <v>52.5</v>
      </c>
      <c r="O146">
        <v>54.66</v>
      </c>
      <c r="P146">
        <v>54.42</v>
      </c>
      <c r="Q146">
        <v>18.88</v>
      </c>
      <c r="R146">
        <v>1206.5899999999999</v>
      </c>
      <c r="S146">
        <v>32.43</v>
      </c>
      <c r="T146">
        <v>18.48</v>
      </c>
      <c r="U146">
        <v>12.75</v>
      </c>
      <c r="V146">
        <v>40.19</v>
      </c>
      <c r="W146">
        <v>45.41</v>
      </c>
      <c r="X146">
        <v>25.47</v>
      </c>
      <c r="Y146">
        <v>43.89</v>
      </c>
      <c r="Z146">
        <v>40.85</v>
      </c>
      <c r="AA146">
        <v>72.489999999999995</v>
      </c>
      <c r="AB146">
        <v>54.41</v>
      </c>
      <c r="AC146">
        <v>38.9</v>
      </c>
      <c r="AD146">
        <v>521.51</v>
      </c>
      <c r="AE146">
        <v>594.20000000000005</v>
      </c>
      <c r="AF146">
        <v>42.25</v>
      </c>
      <c r="AG146">
        <v>52.19</v>
      </c>
      <c r="AH146">
        <v>45.61</v>
      </c>
      <c r="AI146">
        <v>46.85</v>
      </c>
    </row>
    <row r="147" spans="1:35" x14ac:dyDescent="0.45">
      <c r="A147" s="2">
        <v>45792</v>
      </c>
      <c r="B147">
        <v>28.25</v>
      </c>
      <c r="C147">
        <v>33.07</v>
      </c>
      <c r="D147">
        <v>18.27</v>
      </c>
      <c r="E147">
        <v>27.62</v>
      </c>
      <c r="F147">
        <v>30.49</v>
      </c>
      <c r="G147">
        <v>45.06</v>
      </c>
      <c r="H147">
        <v>25.08</v>
      </c>
      <c r="I147">
        <v>53.99</v>
      </c>
      <c r="J147">
        <v>59.26</v>
      </c>
      <c r="K147">
        <v>58.8</v>
      </c>
      <c r="L147">
        <v>28.01</v>
      </c>
      <c r="M147">
        <v>51.09</v>
      </c>
      <c r="N147">
        <v>52.15</v>
      </c>
      <c r="O147">
        <v>54.77</v>
      </c>
      <c r="P147">
        <v>54.57</v>
      </c>
      <c r="Q147">
        <v>18.84</v>
      </c>
      <c r="R147">
        <v>1220.27</v>
      </c>
      <c r="S147">
        <v>31.91</v>
      </c>
      <c r="T147">
        <v>18.3</v>
      </c>
      <c r="U147">
        <v>12.81</v>
      </c>
      <c r="V147">
        <v>40.130000000000003</v>
      </c>
      <c r="W147">
        <v>45.6</v>
      </c>
      <c r="X147">
        <v>25.55</v>
      </c>
      <c r="Y147">
        <v>43.83</v>
      </c>
      <c r="Z147">
        <v>40.86</v>
      </c>
      <c r="AA147">
        <v>72.3</v>
      </c>
      <c r="AB147">
        <v>54.02</v>
      </c>
      <c r="AC147">
        <v>38.799999999999997</v>
      </c>
      <c r="AD147">
        <v>519.25</v>
      </c>
      <c r="AE147">
        <v>590.46</v>
      </c>
      <c r="AF147">
        <v>42.09</v>
      </c>
      <c r="AG147">
        <v>52.25</v>
      </c>
      <c r="AH147">
        <v>45.62</v>
      </c>
      <c r="AI147">
        <v>46.53</v>
      </c>
    </row>
    <row r="148" spans="1:35" x14ac:dyDescent="0.45">
      <c r="A148" s="2">
        <v>45791</v>
      </c>
      <c r="B148">
        <v>28.58</v>
      </c>
      <c r="C148">
        <v>33.24</v>
      </c>
      <c r="D148">
        <v>17.97</v>
      </c>
      <c r="E148">
        <v>28.01</v>
      </c>
      <c r="F148">
        <v>30.68</v>
      </c>
      <c r="G148">
        <v>44.95</v>
      </c>
      <c r="H148">
        <v>25.07</v>
      </c>
      <c r="I148">
        <v>53.77</v>
      </c>
      <c r="J148">
        <v>59.36</v>
      </c>
      <c r="K148">
        <v>58.61</v>
      </c>
      <c r="L148">
        <v>28.2</v>
      </c>
      <c r="M148">
        <v>50.22</v>
      </c>
      <c r="N148">
        <v>52.22</v>
      </c>
      <c r="O148">
        <v>53.97</v>
      </c>
      <c r="P148">
        <v>55.6</v>
      </c>
      <c r="Q148">
        <v>18.829999999999998</v>
      </c>
      <c r="R148">
        <v>1187.8599999999999</v>
      </c>
      <c r="S148">
        <v>32.479999999999997</v>
      </c>
      <c r="T148">
        <v>18.16</v>
      </c>
      <c r="U148">
        <v>12.82</v>
      </c>
      <c r="V148">
        <v>40.21</v>
      </c>
      <c r="W148">
        <v>45.33</v>
      </c>
      <c r="X148">
        <v>25.16</v>
      </c>
      <c r="Y148">
        <v>43.44</v>
      </c>
      <c r="Z148">
        <v>40.340000000000003</v>
      </c>
      <c r="AA148">
        <v>71.45</v>
      </c>
      <c r="AB148">
        <v>52.94</v>
      </c>
      <c r="AC148">
        <v>38.25</v>
      </c>
      <c r="AD148">
        <v>518.67999999999995</v>
      </c>
      <c r="AE148">
        <v>587.59</v>
      </c>
      <c r="AF148">
        <v>41.88</v>
      </c>
      <c r="AG148">
        <v>52.2</v>
      </c>
      <c r="AH148">
        <v>45.11</v>
      </c>
      <c r="AI148">
        <v>46.26</v>
      </c>
    </row>
    <row r="149" spans="1:35" x14ac:dyDescent="0.45">
      <c r="A149" s="2">
        <v>45790</v>
      </c>
      <c r="B149">
        <v>28.34</v>
      </c>
      <c r="C149">
        <v>32.56</v>
      </c>
      <c r="D149">
        <v>17.54</v>
      </c>
      <c r="E149">
        <v>28.06</v>
      </c>
      <c r="F149">
        <v>30.8</v>
      </c>
      <c r="G149">
        <v>45.11</v>
      </c>
      <c r="H149">
        <v>24.87</v>
      </c>
      <c r="I149">
        <v>53.28</v>
      </c>
      <c r="J149">
        <v>59.08</v>
      </c>
      <c r="K149">
        <v>58.12</v>
      </c>
      <c r="L149">
        <v>28.33</v>
      </c>
      <c r="M149">
        <v>50.41</v>
      </c>
      <c r="N149">
        <v>52.07</v>
      </c>
      <c r="O149">
        <v>54.01</v>
      </c>
      <c r="P149">
        <v>54.7</v>
      </c>
      <c r="Q149">
        <v>18.755299999999998</v>
      </c>
      <c r="R149">
        <v>1198.98</v>
      </c>
      <c r="S149">
        <v>32.46</v>
      </c>
      <c r="T149">
        <v>18.36</v>
      </c>
      <c r="U149">
        <v>12.74</v>
      </c>
      <c r="V149">
        <v>40.299999999999997</v>
      </c>
      <c r="W149">
        <v>45.62</v>
      </c>
      <c r="X149">
        <v>25.42</v>
      </c>
      <c r="Y149">
        <v>43.4</v>
      </c>
      <c r="Z149">
        <v>40.590000000000003</v>
      </c>
      <c r="AA149">
        <v>72.25</v>
      </c>
      <c r="AB149">
        <v>53.19</v>
      </c>
      <c r="AC149">
        <v>38.42</v>
      </c>
      <c r="AD149">
        <v>515.59</v>
      </c>
      <c r="AE149">
        <v>586.84</v>
      </c>
      <c r="AF149">
        <v>42.1</v>
      </c>
      <c r="AG149">
        <v>52.04</v>
      </c>
      <c r="AH149">
        <v>45.23</v>
      </c>
      <c r="AI149">
        <v>46</v>
      </c>
    </row>
    <row r="150" spans="1:35" x14ac:dyDescent="0.45">
      <c r="A150" s="2">
        <v>45789</v>
      </c>
      <c r="B150">
        <v>28.45</v>
      </c>
      <c r="C150">
        <v>32.35</v>
      </c>
      <c r="D150">
        <v>17.399999999999999</v>
      </c>
      <c r="E150">
        <v>27.75</v>
      </c>
      <c r="F150">
        <v>30.5</v>
      </c>
      <c r="G150">
        <v>44.74</v>
      </c>
      <c r="H150">
        <v>24.5</v>
      </c>
      <c r="I150">
        <v>52.95</v>
      </c>
      <c r="J150">
        <v>57.84</v>
      </c>
      <c r="K150">
        <v>58.04</v>
      </c>
      <c r="L150">
        <v>27.49</v>
      </c>
      <c r="M150">
        <v>50.19</v>
      </c>
      <c r="N150">
        <v>51.6</v>
      </c>
      <c r="O150">
        <v>54.32</v>
      </c>
      <c r="P150">
        <v>55.06</v>
      </c>
      <c r="Q150">
        <v>18.7</v>
      </c>
      <c r="R150">
        <v>1197.26</v>
      </c>
      <c r="S150">
        <v>32.619999999999997</v>
      </c>
      <c r="T150">
        <v>18.13</v>
      </c>
      <c r="U150">
        <v>12.69</v>
      </c>
      <c r="V150">
        <v>40.04</v>
      </c>
      <c r="W150">
        <v>44.75</v>
      </c>
      <c r="X150">
        <v>25.18</v>
      </c>
      <c r="Y150">
        <v>43.08</v>
      </c>
      <c r="Z150">
        <v>40.380000000000003</v>
      </c>
      <c r="AA150">
        <v>72.8</v>
      </c>
      <c r="AB150">
        <v>53.53</v>
      </c>
      <c r="AC150">
        <v>38.24</v>
      </c>
      <c r="AD150">
        <v>507.85</v>
      </c>
      <c r="AE150">
        <v>582.99</v>
      </c>
      <c r="AF150">
        <v>41.81</v>
      </c>
      <c r="AG150">
        <v>51.6</v>
      </c>
      <c r="AH150">
        <v>45.09</v>
      </c>
      <c r="AI150">
        <v>45.66</v>
      </c>
    </row>
    <row r="151" spans="1:35" x14ac:dyDescent="0.45">
      <c r="A151" s="2">
        <v>45786</v>
      </c>
      <c r="B151">
        <v>27.78</v>
      </c>
      <c r="C151">
        <v>32.200000000000003</v>
      </c>
      <c r="D151">
        <v>17.41</v>
      </c>
      <c r="E151">
        <v>27.62</v>
      </c>
      <c r="F151">
        <v>30.88</v>
      </c>
      <c r="G151">
        <v>45.330300000000001</v>
      </c>
      <c r="H151">
        <v>24.45</v>
      </c>
      <c r="I151">
        <v>51.75</v>
      </c>
      <c r="J151">
        <v>58.12</v>
      </c>
      <c r="K151">
        <v>57.69</v>
      </c>
      <c r="L151">
        <v>27.56</v>
      </c>
      <c r="M151">
        <v>50.64</v>
      </c>
      <c r="N151">
        <v>51.048299999999998</v>
      </c>
      <c r="O151">
        <v>52.39</v>
      </c>
      <c r="P151">
        <v>53.25</v>
      </c>
      <c r="Q151">
        <v>18.690000000000001</v>
      </c>
      <c r="R151">
        <v>1171.1199999999999</v>
      </c>
      <c r="S151">
        <v>31.41</v>
      </c>
      <c r="T151">
        <v>18.149999999999999</v>
      </c>
      <c r="U151">
        <v>12.49</v>
      </c>
      <c r="V151">
        <v>39.54</v>
      </c>
      <c r="W151">
        <v>45.17</v>
      </c>
      <c r="X151">
        <v>25.01</v>
      </c>
      <c r="Y151">
        <v>42.85</v>
      </c>
      <c r="Z151">
        <v>40.770000000000003</v>
      </c>
      <c r="AA151">
        <v>72.010000000000005</v>
      </c>
      <c r="AB151">
        <v>53.58</v>
      </c>
      <c r="AC151">
        <v>38.29</v>
      </c>
      <c r="AD151">
        <v>487.97</v>
      </c>
      <c r="AE151">
        <v>564.34</v>
      </c>
      <c r="AF151">
        <v>41.68</v>
      </c>
      <c r="AG151">
        <v>50.79</v>
      </c>
      <c r="AH151">
        <v>44.38</v>
      </c>
      <c r="AI151">
        <v>45.81</v>
      </c>
    </row>
    <row r="152" spans="1:35" x14ac:dyDescent="0.45">
      <c r="A152" s="2">
        <v>45785</v>
      </c>
      <c r="B152">
        <v>27.85</v>
      </c>
      <c r="C152">
        <v>32.15</v>
      </c>
      <c r="D152">
        <v>17.45</v>
      </c>
      <c r="E152">
        <v>27.16</v>
      </c>
      <c r="F152">
        <v>29.94</v>
      </c>
      <c r="G152">
        <v>45.02</v>
      </c>
      <c r="H152">
        <v>24.31</v>
      </c>
      <c r="I152">
        <v>51.16</v>
      </c>
      <c r="J152">
        <v>58.11</v>
      </c>
      <c r="K152">
        <v>57.2</v>
      </c>
      <c r="L152">
        <v>27.48</v>
      </c>
      <c r="M152">
        <v>49.85</v>
      </c>
      <c r="N152">
        <v>50.26</v>
      </c>
      <c r="O152">
        <v>51.54</v>
      </c>
      <c r="P152">
        <v>53.45</v>
      </c>
      <c r="Q152">
        <v>18.614999999999998</v>
      </c>
      <c r="R152">
        <v>1159.53</v>
      </c>
      <c r="S152">
        <v>31.19</v>
      </c>
      <c r="T152">
        <v>18.14</v>
      </c>
      <c r="U152">
        <v>12.6</v>
      </c>
      <c r="V152">
        <v>39.44</v>
      </c>
      <c r="W152">
        <v>44.23</v>
      </c>
      <c r="X152">
        <v>24.83</v>
      </c>
      <c r="Y152">
        <v>42.81</v>
      </c>
      <c r="Z152">
        <v>40.46</v>
      </c>
      <c r="AA152">
        <v>71.83</v>
      </c>
      <c r="AB152">
        <v>53.58</v>
      </c>
      <c r="AC152">
        <v>38.11</v>
      </c>
      <c r="AD152">
        <v>488.29</v>
      </c>
      <c r="AE152">
        <v>565.05999999999995</v>
      </c>
      <c r="AF152">
        <v>41.32</v>
      </c>
      <c r="AG152">
        <v>50.32</v>
      </c>
      <c r="AH152">
        <v>44.26</v>
      </c>
      <c r="AI152">
        <v>45.36</v>
      </c>
    </row>
    <row r="153" spans="1:35" x14ac:dyDescent="0.45">
      <c r="A153" s="2">
        <v>45784</v>
      </c>
      <c r="B153">
        <v>27.58</v>
      </c>
      <c r="C153">
        <v>31.75</v>
      </c>
      <c r="D153">
        <v>17.71</v>
      </c>
      <c r="E153">
        <v>27.56</v>
      </c>
      <c r="F153">
        <v>29.66</v>
      </c>
      <c r="G153">
        <v>44.79</v>
      </c>
      <c r="H153">
        <v>24.68</v>
      </c>
      <c r="I153">
        <v>51</v>
      </c>
      <c r="J153">
        <v>59.09</v>
      </c>
      <c r="K153">
        <v>57.79</v>
      </c>
      <c r="L153">
        <v>26.4</v>
      </c>
      <c r="M153">
        <v>50.23</v>
      </c>
      <c r="N153">
        <v>50.37</v>
      </c>
      <c r="O153">
        <v>53.22</v>
      </c>
      <c r="P153">
        <v>52.69</v>
      </c>
      <c r="Q153">
        <v>18.510000000000002</v>
      </c>
      <c r="R153">
        <v>1159</v>
      </c>
      <c r="S153">
        <v>30.31</v>
      </c>
      <c r="T153">
        <v>18.18</v>
      </c>
      <c r="U153">
        <v>12.42</v>
      </c>
      <c r="V153">
        <v>39.53</v>
      </c>
      <c r="W153">
        <v>44.56</v>
      </c>
      <c r="X153">
        <v>24.89</v>
      </c>
      <c r="Y153">
        <v>42.89</v>
      </c>
      <c r="Z153">
        <v>40.44</v>
      </c>
      <c r="AA153">
        <v>71.98</v>
      </c>
      <c r="AB153">
        <v>54.15</v>
      </c>
      <c r="AC153">
        <v>38.43</v>
      </c>
      <c r="AD153">
        <v>483.3</v>
      </c>
      <c r="AE153">
        <v>561.15</v>
      </c>
      <c r="AF153">
        <v>41.32</v>
      </c>
      <c r="AG153">
        <v>50.21</v>
      </c>
      <c r="AH153">
        <v>44.38</v>
      </c>
      <c r="AI153">
        <v>44.99</v>
      </c>
    </row>
    <row r="154" spans="1:35" x14ac:dyDescent="0.45">
      <c r="A154" s="2">
        <v>45783</v>
      </c>
      <c r="B154">
        <v>27.82</v>
      </c>
      <c r="C154">
        <v>31.62</v>
      </c>
      <c r="D154">
        <v>17.739999999999998</v>
      </c>
      <c r="E154">
        <v>27.35</v>
      </c>
      <c r="F154">
        <v>29.48</v>
      </c>
      <c r="G154">
        <v>45.45</v>
      </c>
      <c r="H154">
        <v>24.64</v>
      </c>
      <c r="I154">
        <v>51.56</v>
      </c>
      <c r="J154">
        <v>58.39</v>
      </c>
      <c r="K154">
        <v>58.5</v>
      </c>
      <c r="L154">
        <v>26.61</v>
      </c>
      <c r="M154">
        <v>50.71</v>
      </c>
      <c r="N154">
        <v>50.13</v>
      </c>
      <c r="O154">
        <v>53.68</v>
      </c>
      <c r="P154">
        <v>53.95</v>
      </c>
      <c r="Q154">
        <v>18.55</v>
      </c>
      <c r="R154">
        <v>1146.8599999999999</v>
      </c>
      <c r="S154">
        <v>30.76</v>
      </c>
      <c r="T154">
        <v>18.309999999999999</v>
      </c>
      <c r="U154">
        <v>12.22</v>
      </c>
      <c r="V154">
        <v>39.72</v>
      </c>
      <c r="W154">
        <v>44.82</v>
      </c>
      <c r="X154">
        <v>25.05</v>
      </c>
      <c r="Y154">
        <v>42.77</v>
      </c>
      <c r="Z154">
        <v>40.67</v>
      </c>
      <c r="AA154">
        <v>72.430000000000007</v>
      </c>
      <c r="AB154">
        <v>54.34</v>
      </c>
      <c r="AC154">
        <v>38.57</v>
      </c>
      <c r="AD154">
        <v>481.41</v>
      </c>
      <c r="AE154">
        <v>558.79999999999995</v>
      </c>
      <c r="AF154">
        <v>41.62</v>
      </c>
      <c r="AG154">
        <v>49.98</v>
      </c>
      <c r="AH154">
        <v>44.18</v>
      </c>
      <c r="AI154">
        <v>45.22</v>
      </c>
    </row>
    <row r="155" spans="1:35" x14ac:dyDescent="0.45">
      <c r="A155" s="2">
        <v>45782</v>
      </c>
      <c r="B155">
        <v>27.7</v>
      </c>
      <c r="C155">
        <v>31.58</v>
      </c>
      <c r="D155">
        <v>17.649999999999999</v>
      </c>
      <c r="E155">
        <v>27.03</v>
      </c>
      <c r="F155">
        <v>29.83</v>
      </c>
      <c r="G155">
        <v>44.700299999999999</v>
      </c>
      <c r="H155">
        <v>24.86</v>
      </c>
      <c r="I155">
        <v>52.96</v>
      </c>
      <c r="J155">
        <v>56.68</v>
      </c>
      <c r="K155">
        <v>58.38</v>
      </c>
      <c r="L155">
        <v>26.71</v>
      </c>
      <c r="M155">
        <v>50.44</v>
      </c>
      <c r="N155">
        <v>50.44</v>
      </c>
      <c r="O155">
        <v>54.32</v>
      </c>
      <c r="P155">
        <v>53.4</v>
      </c>
      <c r="Q155">
        <v>18.55</v>
      </c>
      <c r="R155">
        <v>1153.77</v>
      </c>
      <c r="S155">
        <v>30.7</v>
      </c>
      <c r="T155">
        <v>18.23</v>
      </c>
      <c r="U155">
        <v>12.27</v>
      </c>
      <c r="V155">
        <v>39.71</v>
      </c>
      <c r="W155">
        <v>44.49</v>
      </c>
      <c r="X155">
        <v>24.99</v>
      </c>
      <c r="Y155">
        <v>42.66</v>
      </c>
      <c r="Z155">
        <v>40.72</v>
      </c>
      <c r="AA155">
        <v>72.39</v>
      </c>
      <c r="AB155">
        <v>54.64</v>
      </c>
      <c r="AC155">
        <v>38.64</v>
      </c>
      <c r="AD155">
        <v>485.93</v>
      </c>
      <c r="AE155">
        <v>563.51</v>
      </c>
      <c r="AF155">
        <v>41.84</v>
      </c>
      <c r="AG155">
        <v>50.14</v>
      </c>
      <c r="AH155">
        <v>44.28</v>
      </c>
      <c r="AI155">
        <v>45.07</v>
      </c>
    </row>
    <row r="156" spans="1:35" x14ac:dyDescent="0.45">
      <c r="A156" s="2">
        <v>45779</v>
      </c>
      <c r="B156">
        <v>27.66</v>
      </c>
      <c r="C156">
        <v>31.35</v>
      </c>
      <c r="D156">
        <v>17.63</v>
      </c>
      <c r="E156">
        <v>27.27</v>
      </c>
      <c r="F156">
        <v>30.09</v>
      </c>
      <c r="G156">
        <v>44.44</v>
      </c>
      <c r="H156">
        <v>24.85</v>
      </c>
      <c r="I156">
        <v>50.95</v>
      </c>
      <c r="J156">
        <v>56.94</v>
      </c>
      <c r="K156">
        <v>57.71</v>
      </c>
      <c r="L156">
        <v>27.12</v>
      </c>
      <c r="M156">
        <v>50.19</v>
      </c>
      <c r="N156">
        <v>50.1</v>
      </c>
      <c r="O156">
        <v>53.91</v>
      </c>
      <c r="P156">
        <v>53.42</v>
      </c>
      <c r="Q156">
        <v>18.54</v>
      </c>
      <c r="R156">
        <v>1144.05</v>
      </c>
      <c r="S156">
        <v>30.94</v>
      </c>
      <c r="T156">
        <v>18.14</v>
      </c>
      <c r="U156">
        <v>12.24</v>
      </c>
      <c r="V156">
        <v>40.33</v>
      </c>
      <c r="W156">
        <v>44.29</v>
      </c>
      <c r="X156">
        <v>25.31</v>
      </c>
      <c r="Y156">
        <v>42.84</v>
      </c>
      <c r="Z156">
        <v>40.340000000000003</v>
      </c>
      <c r="AA156">
        <v>71.89</v>
      </c>
      <c r="AB156">
        <v>54.47</v>
      </c>
      <c r="AC156">
        <v>38.6</v>
      </c>
      <c r="AD156">
        <v>488.83</v>
      </c>
      <c r="AE156">
        <v>566.76</v>
      </c>
      <c r="AF156">
        <v>41.86</v>
      </c>
      <c r="AG156">
        <v>50.27</v>
      </c>
      <c r="AH156">
        <v>44.55</v>
      </c>
      <c r="AI156">
        <v>44.99</v>
      </c>
    </row>
    <row r="157" spans="1:35" x14ac:dyDescent="0.45">
      <c r="A157" s="2">
        <v>45778</v>
      </c>
      <c r="B157">
        <v>26.92</v>
      </c>
      <c r="C157">
        <v>31.07</v>
      </c>
      <c r="D157">
        <v>17.3</v>
      </c>
      <c r="E157">
        <v>26.86</v>
      </c>
      <c r="F157">
        <v>29.45</v>
      </c>
      <c r="G157">
        <v>43.74</v>
      </c>
      <c r="H157">
        <v>24.12</v>
      </c>
      <c r="I157">
        <v>47.82</v>
      </c>
      <c r="J157">
        <v>56.67</v>
      </c>
      <c r="K157">
        <v>55.6</v>
      </c>
      <c r="L157">
        <v>26.88</v>
      </c>
      <c r="M157">
        <v>49.27</v>
      </c>
      <c r="N157">
        <v>49.3</v>
      </c>
      <c r="O157">
        <v>53.54</v>
      </c>
      <c r="P157">
        <v>51.59</v>
      </c>
      <c r="Q157">
        <v>18.34</v>
      </c>
      <c r="R157">
        <v>1134.71</v>
      </c>
      <c r="S157">
        <v>30.66</v>
      </c>
      <c r="T157">
        <v>17.96</v>
      </c>
      <c r="U157">
        <v>12.11</v>
      </c>
      <c r="V157">
        <v>40.01</v>
      </c>
      <c r="W157">
        <v>43.06</v>
      </c>
      <c r="X157">
        <v>24.65</v>
      </c>
      <c r="Y157">
        <v>42.31</v>
      </c>
      <c r="Z157">
        <v>39.46</v>
      </c>
      <c r="AA157">
        <v>71.17</v>
      </c>
      <c r="AB157">
        <v>53.52</v>
      </c>
      <c r="AC157">
        <v>37.880000000000003</v>
      </c>
      <c r="AD157">
        <v>481.68</v>
      </c>
      <c r="AE157">
        <v>558.47</v>
      </c>
      <c r="AF157">
        <v>41.07</v>
      </c>
      <c r="AG157">
        <v>48.78</v>
      </c>
      <c r="AH157">
        <v>43.12</v>
      </c>
      <c r="AI157">
        <v>44.26</v>
      </c>
    </row>
    <row r="158" spans="1:35" x14ac:dyDescent="0.45">
      <c r="A158" s="2">
        <v>45777</v>
      </c>
      <c r="B158">
        <v>27.06</v>
      </c>
      <c r="C158">
        <v>31.13</v>
      </c>
      <c r="D158">
        <v>17.309999999999999</v>
      </c>
      <c r="E158">
        <v>26.89</v>
      </c>
      <c r="F158">
        <v>29.48</v>
      </c>
      <c r="G158">
        <v>44.33</v>
      </c>
      <c r="H158">
        <v>24.17</v>
      </c>
      <c r="I158">
        <v>47.48</v>
      </c>
      <c r="J158">
        <v>56.97</v>
      </c>
      <c r="K158">
        <v>56.19</v>
      </c>
      <c r="L158">
        <v>27.04</v>
      </c>
      <c r="M158">
        <v>49.52</v>
      </c>
      <c r="N158">
        <v>49.52</v>
      </c>
      <c r="O158">
        <v>53.57</v>
      </c>
      <c r="P158">
        <v>51.66</v>
      </c>
      <c r="Q158">
        <v>18.309999999999999</v>
      </c>
      <c r="R158">
        <v>1150.95</v>
      </c>
      <c r="S158">
        <v>30.67</v>
      </c>
      <c r="T158">
        <v>17.88</v>
      </c>
      <c r="U158">
        <v>12.07</v>
      </c>
      <c r="V158">
        <v>40.43</v>
      </c>
      <c r="W158">
        <v>42.61</v>
      </c>
      <c r="X158">
        <v>24.67</v>
      </c>
      <c r="Y158">
        <v>42.45</v>
      </c>
      <c r="Z158">
        <v>39.49</v>
      </c>
      <c r="AA158">
        <v>71.430000000000007</v>
      </c>
      <c r="AB158">
        <v>53.86</v>
      </c>
      <c r="AC158">
        <v>38.1</v>
      </c>
      <c r="AD158">
        <v>475.47</v>
      </c>
      <c r="AE158">
        <v>554.54</v>
      </c>
      <c r="AF158">
        <v>41.04</v>
      </c>
      <c r="AG158">
        <v>48.85</v>
      </c>
      <c r="AH158">
        <v>43.64</v>
      </c>
      <c r="AI158">
        <v>44.21</v>
      </c>
    </row>
    <row r="159" spans="1:35" x14ac:dyDescent="0.45">
      <c r="A159" s="2">
        <v>45776</v>
      </c>
      <c r="B159">
        <v>27.14</v>
      </c>
      <c r="C159">
        <v>31.44</v>
      </c>
      <c r="D159">
        <v>17.100000000000001</v>
      </c>
      <c r="E159">
        <v>26.41</v>
      </c>
      <c r="F159">
        <v>30.3</v>
      </c>
      <c r="G159">
        <v>44.8</v>
      </c>
      <c r="H159">
        <v>23.7</v>
      </c>
      <c r="I159">
        <v>47.15</v>
      </c>
      <c r="J159">
        <v>56.42</v>
      </c>
      <c r="K159">
        <v>56.1</v>
      </c>
      <c r="L159">
        <v>27.36</v>
      </c>
      <c r="M159">
        <v>49.14</v>
      </c>
      <c r="N159">
        <v>49.99</v>
      </c>
      <c r="O159">
        <v>53.54</v>
      </c>
      <c r="P159">
        <v>51.68</v>
      </c>
      <c r="Q159">
        <v>18.2</v>
      </c>
      <c r="R159">
        <v>1141.28</v>
      </c>
      <c r="S159">
        <v>31.18</v>
      </c>
      <c r="T159">
        <v>17.989999999999998</v>
      </c>
      <c r="U159">
        <v>12.05</v>
      </c>
      <c r="V159">
        <v>40.74</v>
      </c>
      <c r="W159">
        <v>43.35</v>
      </c>
      <c r="X159">
        <v>24.55</v>
      </c>
      <c r="Y159">
        <v>42.45</v>
      </c>
      <c r="Z159">
        <v>39.67</v>
      </c>
      <c r="AA159">
        <v>72.02</v>
      </c>
      <c r="AB159">
        <v>53.67</v>
      </c>
      <c r="AC159">
        <v>38.35</v>
      </c>
      <c r="AD159">
        <v>475.53</v>
      </c>
      <c r="AE159">
        <v>554.32000000000005</v>
      </c>
      <c r="AF159">
        <v>40.94</v>
      </c>
      <c r="AG159">
        <v>48.92</v>
      </c>
      <c r="AH159">
        <v>43</v>
      </c>
      <c r="AI159">
        <v>44.67</v>
      </c>
    </row>
    <row r="160" spans="1:35" x14ac:dyDescent="0.45">
      <c r="A160" s="2">
        <v>45775</v>
      </c>
      <c r="B160">
        <v>27.14</v>
      </c>
      <c r="C160">
        <v>31.24</v>
      </c>
      <c r="D160">
        <v>16.93</v>
      </c>
      <c r="E160">
        <v>26.18</v>
      </c>
      <c r="F160">
        <v>30.3</v>
      </c>
      <c r="G160">
        <v>44.6021</v>
      </c>
      <c r="H160">
        <v>23.71</v>
      </c>
      <c r="I160">
        <v>46.47</v>
      </c>
      <c r="J160">
        <v>58.12</v>
      </c>
      <c r="K160">
        <v>55.65</v>
      </c>
      <c r="L160">
        <v>27.21</v>
      </c>
      <c r="M160">
        <v>49.09</v>
      </c>
      <c r="N160">
        <v>49.71</v>
      </c>
      <c r="O160">
        <v>53.29</v>
      </c>
      <c r="P160">
        <v>51.85</v>
      </c>
      <c r="Q160">
        <v>18.14</v>
      </c>
      <c r="R160">
        <v>1138.9000000000001</v>
      </c>
      <c r="S160">
        <v>31.48</v>
      </c>
      <c r="T160">
        <v>17.64</v>
      </c>
      <c r="U160">
        <v>11.95</v>
      </c>
      <c r="V160">
        <v>40.85</v>
      </c>
      <c r="W160">
        <v>43.6</v>
      </c>
      <c r="X160">
        <v>24.52</v>
      </c>
      <c r="Y160">
        <v>42.37</v>
      </c>
      <c r="Z160">
        <v>39.47</v>
      </c>
      <c r="AA160">
        <v>71.739999999999995</v>
      </c>
      <c r="AB160">
        <v>53.71</v>
      </c>
      <c r="AC160">
        <v>38.19</v>
      </c>
      <c r="AD160">
        <v>472.41</v>
      </c>
      <c r="AE160">
        <v>550.85</v>
      </c>
      <c r="AF160">
        <v>41.04</v>
      </c>
      <c r="AG160">
        <v>48.79</v>
      </c>
      <c r="AH160">
        <v>43.61</v>
      </c>
      <c r="AI160">
        <v>44.23</v>
      </c>
    </row>
    <row r="161" spans="1:35" x14ac:dyDescent="0.45">
      <c r="A161" s="2">
        <v>45772</v>
      </c>
      <c r="B161">
        <v>27.25</v>
      </c>
      <c r="C161">
        <v>31.67</v>
      </c>
      <c r="D161">
        <v>16.77</v>
      </c>
      <c r="E161">
        <v>26.26</v>
      </c>
      <c r="F161">
        <v>30.04</v>
      </c>
      <c r="G161">
        <v>44.4285</v>
      </c>
      <c r="H161">
        <v>23.43</v>
      </c>
      <c r="I161">
        <v>46.34</v>
      </c>
      <c r="J161">
        <v>57.94</v>
      </c>
      <c r="K161">
        <v>55.81</v>
      </c>
      <c r="L161">
        <v>26.94</v>
      </c>
      <c r="M161">
        <v>48.38</v>
      </c>
      <c r="N161">
        <v>49.52</v>
      </c>
      <c r="O161">
        <v>52.85</v>
      </c>
      <c r="P161">
        <v>51.91</v>
      </c>
      <c r="Q161">
        <v>18.16</v>
      </c>
      <c r="R161">
        <v>1128.6600000000001</v>
      </c>
      <c r="S161">
        <v>31.96</v>
      </c>
      <c r="T161">
        <v>17.47</v>
      </c>
      <c r="U161">
        <v>12.01</v>
      </c>
      <c r="V161">
        <v>41.16</v>
      </c>
      <c r="W161">
        <v>43.76</v>
      </c>
      <c r="X161">
        <v>24.51</v>
      </c>
      <c r="Y161">
        <v>42.04</v>
      </c>
      <c r="Z161">
        <v>39.36</v>
      </c>
      <c r="AA161">
        <v>70.77</v>
      </c>
      <c r="AB161">
        <v>53.04</v>
      </c>
      <c r="AC161">
        <v>37.94</v>
      </c>
      <c r="AD161">
        <v>472.56</v>
      </c>
      <c r="AE161">
        <v>550.64</v>
      </c>
      <c r="AF161">
        <v>40.950000000000003</v>
      </c>
      <c r="AG161">
        <v>48.78</v>
      </c>
      <c r="AH161">
        <v>43.62</v>
      </c>
      <c r="AI161">
        <v>44.04</v>
      </c>
    </row>
    <row r="162" spans="1:35" x14ac:dyDescent="0.45">
      <c r="A162" s="2">
        <v>45771</v>
      </c>
      <c r="B162">
        <v>27.29</v>
      </c>
      <c r="C162">
        <v>31.7</v>
      </c>
      <c r="D162">
        <v>16.760000000000002</v>
      </c>
      <c r="E162">
        <v>25.96</v>
      </c>
      <c r="F162">
        <v>30.19</v>
      </c>
      <c r="G162">
        <v>44.55</v>
      </c>
      <c r="H162">
        <v>23.43</v>
      </c>
      <c r="I162">
        <v>46.18</v>
      </c>
      <c r="J162">
        <v>57.34</v>
      </c>
      <c r="K162">
        <v>55.95</v>
      </c>
      <c r="L162">
        <v>26.74</v>
      </c>
      <c r="M162">
        <v>47.96</v>
      </c>
      <c r="N162">
        <v>49.95</v>
      </c>
      <c r="O162">
        <v>53.74</v>
      </c>
      <c r="P162">
        <v>51.97</v>
      </c>
      <c r="Q162">
        <v>18.12</v>
      </c>
      <c r="R162">
        <v>1133.95</v>
      </c>
      <c r="S162">
        <v>32.18</v>
      </c>
      <c r="T162">
        <v>17.57</v>
      </c>
      <c r="U162">
        <v>12</v>
      </c>
      <c r="V162">
        <v>41.05</v>
      </c>
      <c r="W162">
        <v>43.805</v>
      </c>
      <c r="X162">
        <v>24.51</v>
      </c>
      <c r="Y162">
        <v>42.06</v>
      </c>
      <c r="Z162">
        <v>39.03</v>
      </c>
      <c r="AA162">
        <v>70.28</v>
      </c>
      <c r="AB162">
        <v>52.96</v>
      </c>
      <c r="AC162">
        <v>37.89</v>
      </c>
      <c r="AD162">
        <v>467.35</v>
      </c>
      <c r="AE162">
        <v>546.69000000000005</v>
      </c>
      <c r="AF162">
        <v>40.72</v>
      </c>
      <c r="AG162">
        <v>48.41</v>
      </c>
      <c r="AH162">
        <v>43.32</v>
      </c>
      <c r="AI162">
        <v>43.48</v>
      </c>
    </row>
    <row r="163" spans="1:35" x14ac:dyDescent="0.45">
      <c r="A163" s="2">
        <v>45770</v>
      </c>
      <c r="B163">
        <v>27.2</v>
      </c>
      <c r="C163">
        <v>31.19</v>
      </c>
      <c r="D163">
        <v>16.61</v>
      </c>
      <c r="E163">
        <v>25.59</v>
      </c>
      <c r="F163">
        <v>29.43</v>
      </c>
      <c r="G163">
        <v>43.98</v>
      </c>
      <c r="H163">
        <v>23.07</v>
      </c>
      <c r="I163">
        <v>45.5</v>
      </c>
      <c r="J163">
        <v>56.51</v>
      </c>
      <c r="K163">
        <v>55.6</v>
      </c>
      <c r="L163">
        <v>26.31</v>
      </c>
      <c r="M163">
        <v>47.55</v>
      </c>
      <c r="N163">
        <v>49.35</v>
      </c>
      <c r="O163">
        <v>53.18</v>
      </c>
      <c r="P163">
        <v>51.66</v>
      </c>
      <c r="Q163">
        <v>17.899999999999999</v>
      </c>
      <c r="R163">
        <v>1088.18</v>
      </c>
      <c r="S163">
        <v>31.77</v>
      </c>
      <c r="T163">
        <v>17.23</v>
      </c>
      <c r="U163">
        <v>11.62</v>
      </c>
      <c r="V163">
        <v>40.369999999999997</v>
      </c>
      <c r="W163">
        <v>42.823799999999999</v>
      </c>
      <c r="X163">
        <v>24</v>
      </c>
      <c r="Y163">
        <v>41.52</v>
      </c>
      <c r="Z163">
        <v>38.44</v>
      </c>
      <c r="AA163">
        <v>69.48</v>
      </c>
      <c r="AB163">
        <v>52.23</v>
      </c>
      <c r="AC163">
        <v>37.549999999999997</v>
      </c>
      <c r="AD163">
        <v>454.56</v>
      </c>
      <c r="AE163">
        <v>535.41999999999996</v>
      </c>
      <c r="AF163">
        <v>40.119999999999997</v>
      </c>
      <c r="AG163">
        <v>47.77</v>
      </c>
      <c r="AH163">
        <v>42.43</v>
      </c>
      <c r="AI163">
        <v>42.69</v>
      </c>
    </row>
    <row r="164" spans="1:35" x14ac:dyDescent="0.45">
      <c r="A164" s="2">
        <v>45769</v>
      </c>
      <c r="B164">
        <v>27.16</v>
      </c>
      <c r="C164">
        <v>30.91</v>
      </c>
      <c r="D164">
        <v>16.36</v>
      </c>
      <c r="E164">
        <v>25.55</v>
      </c>
      <c r="F164">
        <v>29.25</v>
      </c>
      <c r="G164">
        <v>43.835999999999999</v>
      </c>
      <c r="H164">
        <v>22.91</v>
      </c>
      <c r="I164">
        <v>44.33</v>
      </c>
      <c r="J164">
        <v>55.51</v>
      </c>
      <c r="K164">
        <v>54.81</v>
      </c>
      <c r="L164">
        <v>25.86</v>
      </c>
      <c r="M164">
        <v>48.16</v>
      </c>
      <c r="N164">
        <v>49.05</v>
      </c>
      <c r="O164">
        <v>53.5</v>
      </c>
      <c r="P164">
        <v>50.9</v>
      </c>
      <c r="Q164">
        <v>17.91</v>
      </c>
      <c r="R164">
        <v>1074.5899999999999</v>
      </c>
      <c r="S164">
        <v>31.66</v>
      </c>
      <c r="T164">
        <v>17.010000000000002</v>
      </c>
      <c r="U164">
        <v>11.64</v>
      </c>
      <c r="V164">
        <v>40.409999999999997</v>
      </c>
      <c r="W164">
        <v>43.094999999999999</v>
      </c>
      <c r="X164">
        <v>23.96</v>
      </c>
      <c r="Y164">
        <v>41.39</v>
      </c>
      <c r="Z164">
        <v>38.03</v>
      </c>
      <c r="AA164">
        <v>69.27</v>
      </c>
      <c r="AB164">
        <v>52.45</v>
      </c>
      <c r="AC164">
        <v>37.58</v>
      </c>
      <c r="AD164">
        <v>444.48</v>
      </c>
      <c r="AE164">
        <v>527.25</v>
      </c>
      <c r="AF164">
        <v>39.840000000000003</v>
      </c>
      <c r="AG164">
        <v>47.1</v>
      </c>
      <c r="AH164">
        <v>42.68</v>
      </c>
      <c r="AI164">
        <v>42.81</v>
      </c>
    </row>
    <row r="165" spans="1:35" x14ac:dyDescent="0.45">
      <c r="A165" s="2">
        <v>45768</v>
      </c>
      <c r="B165">
        <v>27.04</v>
      </c>
      <c r="C165">
        <v>30.05</v>
      </c>
      <c r="D165">
        <v>16.03</v>
      </c>
      <c r="E165">
        <v>25.17</v>
      </c>
      <c r="F165">
        <v>28.63</v>
      </c>
      <c r="G165">
        <v>43.48</v>
      </c>
      <c r="H165">
        <v>23.04</v>
      </c>
      <c r="I165">
        <v>44.22</v>
      </c>
      <c r="J165">
        <v>54.34</v>
      </c>
      <c r="K165">
        <v>54.39</v>
      </c>
      <c r="L165">
        <v>25.2</v>
      </c>
      <c r="M165">
        <v>47.6</v>
      </c>
      <c r="N165">
        <v>47.02</v>
      </c>
      <c r="O165">
        <v>53</v>
      </c>
      <c r="P165">
        <v>49.39</v>
      </c>
      <c r="Q165">
        <v>17.78</v>
      </c>
      <c r="R165">
        <v>1125.21</v>
      </c>
      <c r="S165">
        <v>31.71</v>
      </c>
      <c r="T165">
        <v>16.760000000000002</v>
      </c>
      <c r="U165">
        <v>11.51</v>
      </c>
      <c r="V165">
        <v>39.9</v>
      </c>
      <c r="W165">
        <v>43.38</v>
      </c>
      <c r="X165">
        <v>23.48</v>
      </c>
      <c r="Y165">
        <v>40.770000000000003</v>
      </c>
      <c r="Z165">
        <v>37.03</v>
      </c>
      <c r="AA165">
        <v>67.92</v>
      </c>
      <c r="AB165">
        <v>51.82</v>
      </c>
      <c r="AC165">
        <v>36.82</v>
      </c>
      <c r="AD165">
        <v>433.11</v>
      </c>
      <c r="AE165">
        <v>513.88</v>
      </c>
      <c r="AF165">
        <v>38.97</v>
      </c>
      <c r="AG165">
        <v>46.09</v>
      </c>
      <c r="AH165">
        <v>41.77</v>
      </c>
      <c r="AI165">
        <v>41.94</v>
      </c>
    </row>
    <row r="166" spans="1:35" x14ac:dyDescent="0.45">
      <c r="A166" s="2">
        <v>45764</v>
      </c>
      <c r="B166">
        <v>26.82</v>
      </c>
      <c r="C166">
        <v>29.95</v>
      </c>
      <c r="D166">
        <v>16.13</v>
      </c>
      <c r="E166">
        <v>25.3019</v>
      </c>
      <c r="F166">
        <v>28.29</v>
      </c>
      <c r="G166">
        <v>43.2</v>
      </c>
      <c r="H166">
        <v>22.77</v>
      </c>
      <c r="I166">
        <v>44.88</v>
      </c>
      <c r="J166">
        <v>54.93</v>
      </c>
      <c r="K166">
        <v>54.31</v>
      </c>
      <c r="L166">
        <v>25.22</v>
      </c>
      <c r="M166">
        <v>47.9</v>
      </c>
      <c r="N166">
        <v>47.34</v>
      </c>
      <c r="O166">
        <v>52.26</v>
      </c>
      <c r="P166">
        <v>49.29</v>
      </c>
      <c r="Q166">
        <v>17.72</v>
      </c>
      <c r="R166">
        <v>1161.81</v>
      </c>
      <c r="S166">
        <v>31.91</v>
      </c>
      <c r="T166">
        <v>16.760000000000002</v>
      </c>
      <c r="U166">
        <v>11.73</v>
      </c>
      <c r="V166">
        <v>40.19</v>
      </c>
      <c r="W166">
        <v>43.5</v>
      </c>
      <c r="X166">
        <v>23.61</v>
      </c>
      <c r="Y166">
        <v>41.1</v>
      </c>
      <c r="Z166">
        <v>37.4</v>
      </c>
      <c r="AA166">
        <v>68.069999999999993</v>
      </c>
      <c r="AB166">
        <v>51.95</v>
      </c>
      <c r="AC166">
        <v>36.97</v>
      </c>
      <c r="AD166">
        <v>444.1</v>
      </c>
      <c r="AE166">
        <v>526.41</v>
      </c>
      <c r="AF166">
        <v>39.22</v>
      </c>
      <c r="AG166">
        <v>46.55</v>
      </c>
      <c r="AH166">
        <v>41.9</v>
      </c>
      <c r="AI166">
        <v>42.13</v>
      </c>
    </row>
    <row r="167" spans="1:35" x14ac:dyDescent="0.45">
      <c r="A167" s="2">
        <v>45763</v>
      </c>
      <c r="B167">
        <v>26.92</v>
      </c>
      <c r="C167">
        <v>29.43</v>
      </c>
      <c r="D167">
        <v>15.93</v>
      </c>
      <c r="E167">
        <v>25.25</v>
      </c>
      <c r="F167">
        <v>27.74</v>
      </c>
      <c r="G167">
        <v>43.351100000000002</v>
      </c>
      <c r="H167">
        <v>22.44</v>
      </c>
      <c r="I167">
        <v>44.99</v>
      </c>
      <c r="J167">
        <v>53.02</v>
      </c>
      <c r="K167">
        <v>54.06</v>
      </c>
      <c r="L167">
        <v>24.79</v>
      </c>
      <c r="M167">
        <v>47.43</v>
      </c>
      <c r="N167">
        <v>47.35</v>
      </c>
      <c r="O167">
        <v>51.13</v>
      </c>
      <c r="P167">
        <v>49.16</v>
      </c>
      <c r="Q167">
        <v>17.78</v>
      </c>
      <c r="R167">
        <v>1172.69</v>
      </c>
      <c r="S167">
        <v>31.21</v>
      </c>
      <c r="T167">
        <v>16.68</v>
      </c>
      <c r="U167">
        <v>11.5</v>
      </c>
      <c r="V167">
        <v>40.04</v>
      </c>
      <c r="W167">
        <v>43.03</v>
      </c>
      <c r="X167">
        <v>23.42</v>
      </c>
      <c r="Y167">
        <v>40.83</v>
      </c>
      <c r="Z167">
        <v>37.22</v>
      </c>
      <c r="AA167">
        <v>66.78</v>
      </c>
      <c r="AB167">
        <v>51.29</v>
      </c>
      <c r="AC167">
        <v>36.549999999999997</v>
      </c>
      <c r="AD167">
        <v>444.18</v>
      </c>
      <c r="AE167">
        <v>525.66</v>
      </c>
      <c r="AF167">
        <v>38.96</v>
      </c>
      <c r="AG167">
        <v>46.26</v>
      </c>
      <c r="AH167">
        <v>41.07</v>
      </c>
      <c r="AI167">
        <v>41.76</v>
      </c>
    </row>
    <row r="168" spans="1:35" x14ac:dyDescent="0.45">
      <c r="A168" s="2">
        <v>45762</v>
      </c>
      <c r="B168">
        <v>26.7</v>
      </c>
      <c r="C168">
        <v>29.35</v>
      </c>
      <c r="D168">
        <v>16.14</v>
      </c>
      <c r="E168">
        <v>25.414100000000001</v>
      </c>
      <c r="F168">
        <v>27.58</v>
      </c>
      <c r="G168">
        <v>43.15</v>
      </c>
      <c r="H168">
        <v>22.63</v>
      </c>
      <c r="I168">
        <v>46.05</v>
      </c>
      <c r="J168">
        <v>52.19</v>
      </c>
      <c r="K168">
        <v>54.38</v>
      </c>
      <c r="L168">
        <v>24.86</v>
      </c>
      <c r="M168">
        <v>47.1</v>
      </c>
      <c r="N168">
        <v>47.414999999999999</v>
      </c>
      <c r="O168">
        <v>51.13</v>
      </c>
      <c r="P168">
        <v>50.17</v>
      </c>
      <c r="Q168">
        <v>17.89</v>
      </c>
      <c r="R168">
        <v>1168.02</v>
      </c>
      <c r="S168">
        <v>31.85</v>
      </c>
      <c r="T168">
        <v>16.79</v>
      </c>
      <c r="U168">
        <v>11.74</v>
      </c>
      <c r="V168">
        <v>40.24</v>
      </c>
      <c r="W168">
        <v>42.68</v>
      </c>
      <c r="X168">
        <v>23.36</v>
      </c>
      <c r="Y168">
        <v>40.53</v>
      </c>
      <c r="Z168">
        <v>37.200000000000003</v>
      </c>
      <c r="AA168">
        <v>67.44</v>
      </c>
      <c r="AB168">
        <v>51.45</v>
      </c>
      <c r="AC168">
        <v>36.65</v>
      </c>
      <c r="AD168">
        <v>457.99</v>
      </c>
      <c r="AE168">
        <v>537.61</v>
      </c>
      <c r="AF168">
        <v>39</v>
      </c>
      <c r="AG168">
        <v>46.89</v>
      </c>
      <c r="AH168">
        <v>41.39</v>
      </c>
      <c r="AI168">
        <v>41.54</v>
      </c>
    </row>
    <row r="169" spans="1:35" x14ac:dyDescent="0.45">
      <c r="A169" s="2">
        <v>45761</v>
      </c>
      <c r="B169">
        <v>26.96</v>
      </c>
      <c r="C169">
        <v>29.13</v>
      </c>
      <c r="D169">
        <v>16.09</v>
      </c>
      <c r="E169">
        <v>25.19</v>
      </c>
      <c r="F169">
        <v>27.59</v>
      </c>
      <c r="G169">
        <v>43.14</v>
      </c>
      <c r="H169">
        <v>22.65</v>
      </c>
      <c r="I169">
        <v>45.77</v>
      </c>
      <c r="J169">
        <v>51.91</v>
      </c>
      <c r="K169">
        <v>54.35</v>
      </c>
      <c r="L169">
        <v>25.01</v>
      </c>
      <c r="M169">
        <v>47.22</v>
      </c>
      <c r="N169">
        <v>46.92</v>
      </c>
      <c r="O169">
        <v>51.03</v>
      </c>
      <c r="P169">
        <v>50.56</v>
      </c>
      <c r="Q169">
        <v>17.79</v>
      </c>
      <c r="R169">
        <v>1158.0899999999999</v>
      </c>
      <c r="S169">
        <v>32.130000000000003</v>
      </c>
      <c r="T169">
        <v>16.71</v>
      </c>
      <c r="U169">
        <v>11.93</v>
      </c>
      <c r="V169">
        <v>40.01</v>
      </c>
      <c r="W169">
        <v>43.1</v>
      </c>
      <c r="X169">
        <v>23.29</v>
      </c>
      <c r="Y169">
        <v>40.44</v>
      </c>
      <c r="Z169">
        <v>36.82</v>
      </c>
      <c r="AA169">
        <v>66.900000000000006</v>
      </c>
      <c r="AB169">
        <v>51.2</v>
      </c>
      <c r="AC169">
        <v>36.15</v>
      </c>
      <c r="AD169">
        <v>457.48</v>
      </c>
      <c r="AE169">
        <v>539.12</v>
      </c>
      <c r="AF169">
        <v>38.85</v>
      </c>
      <c r="AG169">
        <v>46.61</v>
      </c>
      <c r="AH169">
        <v>40.72</v>
      </c>
      <c r="AI169">
        <v>40.92</v>
      </c>
    </row>
    <row r="170" spans="1:35" x14ac:dyDescent="0.45">
      <c r="A170" s="2">
        <v>45758</v>
      </c>
      <c r="B170">
        <v>27.09</v>
      </c>
      <c r="C170">
        <v>28.39</v>
      </c>
      <c r="D170">
        <v>15.87</v>
      </c>
      <c r="E170">
        <v>24.96</v>
      </c>
      <c r="F170">
        <v>27.25</v>
      </c>
      <c r="G170">
        <v>42.085000000000001</v>
      </c>
      <c r="H170">
        <v>22.46</v>
      </c>
      <c r="I170">
        <v>45.62</v>
      </c>
      <c r="J170">
        <v>50.68</v>
      </c>
      <c r="K170">
        <v>54.31</v>
      </c>
      <c r="L170">
        <v>24.69</v>
      </c>
      <c r="M170">
        <v>45.62</v>
      </c>
      <c r="N170">
        <v>45.92</v>
      </c>
      <c r="O170">
        <v>50.76</v>
      </c>
      <c r="P170">
        <v>49.68</v>
      </c>
      <c r="Q170">
        <v>17.61</v>
      </c>
      <c r="R170">
        <v>1175.45</v>
      </c>
      <c r="S170">
        <v>32.08</v>
      </c>
      <c r="T170">
        <v>16.510000000000002</v>
      </c>
      <c r="U170">
        <v>11.87</v>
      </c>
      <c r="V170">
        <v>39.58</v>
      </c>
      <c r="W170">
        <v>42.39</v>
      </c>
      <c r="X170">
        <v>22.77</v>
      </c>
      <c r="Y170">
        <v>39.869999999999997</v>
      </c>
      <c r="Z170">
        <v>36.369999999999997</v>
      </c>
      <c r="AA170">
        <v>65.819999999999993</v>
      </c>
      <c r="AB170">
        <v>51.05</v>
      </c>
      <c r="AC170">
        <v>35.57</v>
      </c>
      <c r="AD170">
        <v>454.4</v>
      </c>
      <c r="AE170">
        <v>533.94000000000005</v>
      </c>
      <c r="AF170">
        <v>38.97</v>
      </c>
      <c r="AG170">
        <v>45.81</v>
      </c>
      <c r="AH170">
        <v>40.31</v>
      </c>
      <c r="AI170">
        <v>40.53</v>
      </c>
    </row>
    <row r="171" spans="1:35" x14ac:dyDescent="0.45">
      <c r="A171" s="2">
        <v>45757</v>
      </c>
      <c r="B171">
        <v>26.64</v>
      </c>
      <c r="C171">
        <v>27.51</v>
      </c>
      <c r="D171">
        <v>15.45</v>
      </c>
      <c r="E171">
        <v>24.18</v>
      </c>
      <c r="F171">
        <v>26.93</v>
      </c>
      <c r="G171">
        <v>40.805900000000001</v>
      </c>
      <c r="H171">
        <v>22.05</v>
      </c>
      <c r="I171">
        <v>43.32</v>
      </c>
      <c r="J171">
        <v>50.3</v>
      </c>
      <c r="K171">
        <v>51.82</v>
      </c>
      <c r="L171">
        <v>24.19</v>
      </c>
      <c r="M171">
        <v>43.94</v>
      </c>
      <c r="N171">
        <v>44.76</v>
      </c>
      <c r="O171">
        <v>50.52</v>
      </c>
      <c r="P171">
        <v>47.98</v>
      </c>
      <c r="Q171">
        <v>17.52</v>
      </c>
      <c r="R171">
        <v>1187.9000000000001</v>
      </c>
      <c r="S171">
        <v>31.9</v>
      </c>
      <c r="T171">
        <v>16.170000000000002</v>
      </c>
      <c r="U171">
        <v>11.31</v>
      </c>
      <c r="V171">
        <v>39.340000000000003</v>
      </c>
      <c r="W171">
        <v>41.79</v>
      </c>
      <c r="X171">
        <v>22.35</v>
      </c>
      <c r="Y171">
        <v>38.74</v>
      </c>
      <c r="Z171">
        <v>35.799999999999997</v>
      </c>
      <c r="AA171">
        <v>64.22</v>
      </c>
      <c r="AB171">
        <v>49.7</v>
      </c>
      <c r="AC171">
        <v>34.67</v>
      </c>
      <c r="AD171">
        <v>446.18</v>
      </c>
      <c r="AE171">
        <v>524.58000000000004</v>
      </c>
      <c r="AF171">
        <v>37.99</v>
      </c>
      <c r="AG171">
        <v>44.67</v>
      </c>
      <c r="AH171">
        <v>39.65</v>
      </c>
      <c r="AI171">
        <v>39.659999999999997</v>
      </c>
    </row>
    <row r="172" spans="1:35" x14ac:dyDescent="0.45">
      <c r="A172" s="2">
        <v>45756</v>
      </c>
      <c r="B172">
        <v>26.4</v>
      </c>
      <c r="C172">
        <v>28.24</v>
      </c>
      <c r="D172">
        <v>15.56</v>
      </c>
      <c r="E172">
        <v>25.16</v>
      </c>
      <c r="F172">
        <v>27.69</v>
      </c>
      <c r="G172">
        <v>41.46</v>
      </c>
      <c r="H172">
        <v>22.14</v>
      </c>
      <c r="I172">
        <v>44.79</v>
      </c>
      <c r="J172">
        <v>51.86</v>
      </c>
      <c r="K172">
        <v>53.28</v>
      </c>
      <c r="L172">
        <v>24.71</v>
      </c>
      <c r="M172">
        <v>44.27</v>
      </c>
      <c r="N172">
        <v>44.85</v>
      </c>
      <c r="O172">
        <v>51.22</v>
      </c>
      <c r="P172">
        <v>48.06</v>
      </c>
      <c r="Q172">
        <v>17.57</v>
      </c>
      <c r="R172">
        <v>1190.3599999999999</v>
      </c>
      <c r="S172">
        <v>32.83</v>
      </c>
      <c r="T172">
        <v>16.46</v>
      </c>
      <c r="U172">
        <v>11.46</v>
      </c>
      <c r="V172">
        <v>40.200000000000003</v>
      </c>
      <c r="W172">
        <v>41.36</v>
      </c>
      <c r="X172">
        <v>22.81</v>
      </c>
      <c r="Y172">
        <v>39.54</v>
      </c>
      <c r="Z172">
        <v>36.22</v>
      </c>
      <c r="AA172">
        <v>66.34</v>
      </c>
      <c r="AB172">
        <v>49.71</v>
      </c>
      <c r="AC172">
        <v>35.11</v>
      </c>
      <c r="AD172">
        <v>466</v>
      </c>
      <c r="AE172">
        <v>548.62</v>
      </c>
      <c r="AF172">
        <v>38.61</v>
      </c>
      <c r="AG172">
        <v>46.05</v>
      </c>
      <c r="AH172">
        <v>39.92</v>
      </c>
      <c r="AI172">
        <v>40.22</v>
      </c>
    </row>
    <row r="173" spans="1:35" x14ac:dyDescent="0.45">
      <c r="A173" s="2">
        <v>45755</v>
      </c>
      <c r="B173">
        <v>24.95</v>
      </c>
      <c r="C173">
        <v>26.5</v>
      </c>
      <c r="D173">
        <v>14.36</v>
      </c>
      <c r="E173">
        <v>24.13</v>
      </c>
      <c r="F173">
        <v>24.7</v>
      </c>
      <c r="G173">
        <v>38.53</v>
      </c>
      <c r="H173">
        <v>21.2</v>
      </c>
      <c r="I173">
        <v>40.950000000000003</v>
      </c>
      <c r="J173">
        <v>48.06</v>
      </c>
      <c r="K173">
        <v>48.92</v>
      </c>
      <c r="L173">
        <v>23.44</v>
      </c>
      <c r="M173">
        <v>40.54</v>
      </c>
      <c r="N173">
        <v>42.65</v>
      </c>
      <c r="O173">
        <v>49.16</v>
      </c>
      <c r="P173">
        <v>45.22</v>
      </c>
      <c r="Q173">
        <v>17.23</v>
      </c>
      <c r="R173">
        <v>1184.93</v>
      </c>
      <c r="S173">
        <v>31.83</v>
      </c>
      <c r="T173">
        <v>15.58</v>
      </c>
      <c r="U173">
        <v>10.130000000000001</v>
      </c>
      <c r="V173">
        <v>38.17</v>
      </c>
      <c r="W173">
        <v>39.479999999999997</v>
      </c>
      <c r="X173">
        <v>20.82</v>
      </c>
      <c r="Y173">
        <v>37.17</v>
      </c>
      <c r="Z173">
        <v>33.22</v>
      </c>
      <c r="AA173">
        <v>61.65</v>
      </c>
      <c r="AB173">
        <v>47.12</v>
      </c>
      <c r="AC173">
        <v>33.19</v>
      </c>
      <c r="AD173">
        <v>416.06</v>
      </c>
      <c r="AE173">
        <v>496.48</v>
      </c>
      <c r="AF173">
        <v>35.65</v>
      </c>
      <c r="AG173">
        <v>41.88</v>
      </c>
      <c r="AH173">
        <v>37.07</v>
      </c>
      <c r="AI173">
        <v>36.6</v>
      </c>
    </row>
    <row r="174" spans="1:35" x14ac:dyDescent="0.45">
      <c r="A174" s="2">
        <v>45754</v>
      </c>
      <c r="B174">
        <v>24.71</v>
      </c>
      <c r="C174">
        <v>27.09</v>
      </c>
      <c r="D174">
        <v>15.15</v>
      </c>
      <c r="E174">
        <v>24.14</v>
      </c>
      <c r="F174">
        <v>24.54</v>
      </c>
      <c r="G174">
        <v>39.07</v>
      </c>
      <c r="H174">
        <v>21.75</v>
      </c>
      <c r="I174">
        <v>42.03</v>
      </c>
      <c r="J174">
        <v>48.52</v>
      </c>
      <c r="K174">
        <v>50.78</v>
      </c>
      <c r="L174">
        <v>23.95</v>
      </c>
      <c r="M174">
        <v>40.770000000000003</v>
      </c>
      <c r="N174">
        <v>40.770000000000003</v>
      </c>
      <c r="O174">
        <v>49.13</v>
      </c>
      <c r="P174">
        <v>46</v>
      </c>
      <c r="Q174">
        <v>17.16</v>
      </c>
      <c r="R174">
        <v>1190.06</v>
      </c>
      <c r="S174">
        <v>31.86</v>
      </c>
      <c r="T174">
        <v>15.88</v>
      </c>
      <c r="U174">
        <v>11.16</v>
      </c>
      <c r="V174">
        <v>38.75</v>
      </c>
      <c r="W174">
        <v>39.39</v>
      </c>
      <c r="X174">
        <v>20.85</v>
      </c>
      <c r="Y174">
        <v>37.79</v>
      </c>
      <c r="Z174">
        <v>33.549999999999997</v>
      </c>
      <c r="AA174">
        <v>61.32</v>
      </c>
      <c r="AB174">
        <v>47.04</v>
      </c>
      <c r="AC174">
        <v>33.29</v>
      </c>
      <c r="AD174">
        <v>423.69</v>
      </c>
      <c r="AE174">
        <v>504.38</v>
      </c>
      <c r="AF174">
        <v>35.97</v>
      </c>
      <c r="AG174">
        <v>42.58</v>
      </c>
      <c r="AH174">
        <v>37.340000000000003</v>
      </c>
      <c r="AI174">
        <v>37.06</v>
      </c>
    </row>
    <row r="175" spans="1:35" x14ac:dyDescent="0.45">
      <c r="A175" s="2">
        <v>45751</v>
      </c>
      <c r="B175">
        <v>26.56</v>
      </c>
      <c r="C175">
        <v>28.19</v>
      </c>
      <c r="D175">
        <v>15.09</v>
      </c>
      <c r="E175">
        <v>23.83</v>
      </c>
      <c r="F175">
        <v>25.14</v>
      </c>
      <c r="G175">
        <v>40.049999999999997</v>
      </c>
      <c r="H175">
        <v>21.91</v>
      </c>
      <c r="I175">
        <v>43.82</v>
      </c>
      <c r="J175">
        <v>49.92</v>
      </c>
      <c r="K175">
        <v>51.25</v>
      </c>
      <c r="L175">
        <v>24.5</v>
      </c>
      <c r="M175">
        <v>41.29</v>
      </c>
      <c r="N175">
        <v>43.59</v>
      </c>
      <c r="O175">
        <v>49.19</v>
      </c>
      <c r="P175">
        <v>50</v>
      </c>
      <c r="Q175">
        <v>16.829999999999998</v>
      </c>
      <c r="R175">
        <v>1186.6099999999999</v>
      </c>
      <c r="S175">
        <v>31.67</v>
      </c>
      <c r="T175">
        <v>15.6</v>
      </c>
      <c r="U175">
        <v>11.64</v>
      </c>
      <c r="V175">
        <v>38.979999999999997</v>
      </c>
      <c r="W175">
        <v>40.130000000000003</v>
      </c>
      <c r="X175">
        <v>21.15</v>
      </c>
      <c r="Y175">
        <v>38.409999999999997</v>
      </c>
      <c r="Z175">
        <v>34.32</v>
      </c>
      <c r="AA175">
        <v>61.51</v>
      </c>
      <c r="AB175">
        <v>48.36</v>
      </c>
      <c r="AC175">
        <v>34.619999999999997</v>
      </c>
      <c r="AD175">
        <v>422.67</v>
      </c>
      <c r="AE175">
        <v>505.28</v>
      </c>
      <c r="AF175">
        <v>37.21</v>
      </c>
      <c r="AG175">
        <v>43.14</v>
      </c>
      <c r="AH175">
        <v>38.17</v>
      </c>
      <c r="AI175">
        <v>38.49</v>
      </c>
    </row>
    <row r="176" spans="1:35" x14ac:dyDescent="0.45">
      <c r="A176" s="2">
        <v>45750</v>
      </c>
      <c r="B176">
        <v>27.65</v>
      </c>
      <c r="C176">
        <v>30.07</v>
      </c>
      <c r="D176">
        <v>15.88</v>
      </c>
      <c r="E176">
        <v>25.04</v>
      </c>
      <c r="F176">
        <v>27.51</v>
      </c>
      <c r="G176">
        <v>43.42</v>
      </c>
      <c r="H176">
        <v>23.01</v>
      </c>
      <c r="I176">
        <v>46.05</v>
      </c>
      <c r="J176">
        <v>54.26</v>
      </c>
      <c r="K176">
        <v>53.14</v>
      </c>
      <c r="L176">
        <v>26.33</v>
      </c>
      <c r="M176">
        <v>44.88</v>
      </c>
      <c r="N176">
        <v>47.32</v>
      </c>
      <c r="O176">
        <v>51.18</v>
      </c>
      <c r="P176">
        <v>53.67</v>
      </c>
      <c r="Q176">
        <v>17.66</v>
      </c>
      <c r="R176">
        <v>1181.71</v>
      </c>
      <c r="S176">
        <v>32.200000000000003</v>
      </c>
      <c r="T176">
        <v>16.350000000000001</v>
      </c>
      <c r="U176">
        <v>11.4</v>
      </c>
      <c r="V176">
        <v>40.61</v>
      </c>
      <c r="W176">
        <v>42.72</v>
      </c>
      <c r="X176">
        <v>23.25</v>
      </c>
      <c r="Y176">
        <v>40.619999999999997</v>
      </c>
      <c r="Z176">
        <v>36.729999999999997</v>
      </c>
      <c r="AA176">
        <v>65.41</v>
      </c>
      <c r="AB176">
        <v>51.41</v>
      </c>
      <c r="AC176">
        <v>37.28</v>
      </c>
      <c r="AD176">
        <v>450.66</v>
      </c>
      <c r="AE176">
        <v>536.70000000000005</v>
      </c>
      <c r="AF176">
        <v>39.479999999999997</v>
      </c>
      <c r="AG176">
        <v>45.71</v>
      </c>
      <c r="AH176">
        <v>41.47</v>
      </c>
      <c r="AI176">
        <v>41.77</v>
      </c>
    </row>
    <row r="177" spans="1:35" x14ac:dyDescent="0.45">
      <c r="A177" s="2">
        <v>45749</v>
      </c>
      <c r="B177">
        <v>27.91</v>
      </c>
      <c r="C177">
        <v>29.91</v>
      </c>
      <c r="D177">
        <v>16.329999999999998</v>
      </c>
      <c r="E177">
        <v>25.56</v>
      </c>
      <c r="F177">
        <v>28.79</v>
      </c>
      <c r="G177">
        <v>44.85</v>
      </c>
      <c r="H177">
        <v>23.32</v>
      </c>
      <c r="I177">
        <v>48.48</v>
      </c>
      <c r="J177">
        <v>52.16</v>
      </c>
      <c r="K177">
        <v>54.63</v>
      </c>
      <c r="L177">
        <v>26.14</v>
      </c>
      <c r="M177">
        <v>46.65</v>
      </c>
      <c r="N177">
        <v>48.1</v>
      </c>
      <c r="O177">
        <v>51.56</v>
      </c>
      <c r="P177">
        <v>54.16</v>
      </c>
      <c r="Q177">
        <v>17.86</v>
      </c>
      <c r="R177">
        <v>1189.6600000000001</v>
      </c>
      <c r="S177">
        <v>32.44</v>
      </c>
      <c r="T177">
        <v>17</v>
      </c>
      <c r="U177">
        <v>12.7</v>
      </c>
      <c r="V177">
        <v>41.52</v>
      </c>
      <c r="W177">
        <v>42.67</v>
      </c>
      <c r="X177">
        <v>23.89</v>
      </c>
      <c r="Y177">
        <v>41.59</v>
      </c>
      <c r="Z177">
        <v>37.380000000000003</v>
      </c>
      <c r="AA177">
        <v>68.22</v>
      </c>
      <c r="AB177">
        <v>51.49</v>
      </c>
      <c r="AC177">
        <v>37.61</v>
      </c>
      <c r="AD177">
        <v>476.15</v>
      </c>
      <c r="AE177">
        <v>564.52</v>
      </c>
      <c r="AF177">
        <v>40.18</v>
      </c>
      <c r="AG177">
        <v>46.87</v>
      </c>
      <c r="AH177">
        <v>42.61</v>
      </c>
      <c r="AI177">
        <v>42.66</v>
      </c>
    </row>
    <row r="178" spans="1:35" x14ac:dyDescent="0.45">
      <c r="A178" s="2">
        <v>45748</v>
      </c>
      <c r="B178">
        <v>27.92</v>
      </c>
      <c r="C178">
        <v>30.2</v>
      </c>
      <c r="D178">
        <v>16.25</v>
      </c>
      <c r="E178">
        <v>25.26</v>
      </c>
      <c r="F178">
        <v>28.28</v>
      </c>
      <c r="G178">
        <v>44.57</v>
      </c>
      <c r="H178">
        <v>23.03</v>
      </c>
      <c r="I178">
        <v>48.2</v>
      </c>
      <c r="J178">
        <v>52.05</v>
      </c>
      <c r="K178">
        <v>54.85</v>
      </c>
      <c r="L178">
        <v>26.14</v>
      </c>
      <c r="M178">
        <v>48.1</v>
      </c>
      <c r="N178">
        <v>47.63</v>
      </c>
      <c r="O178">
        <v>51.05</v>
      </c>
      <c r="P178">
        <v>54.55</v>
      </c>
      <c r="Q178">
        <v>17.88</v>
      </c>
      <c r="R178">
        <v>1176.17</v>
      </c>
      <c r="S178">
        <v>32.89</v>
      </c>
      <c r="T178">
        <v>16.93</v>
      </c>
      <c r="U178">
        <v>12.56</v>
      </c>
      <c r="V178">
        <v>41.34</v>
      </c>
      <c r="W178">
        <v>42.39</v>
      </c>
      <c r="X178">
        <v>23.71</v>
      </c>
      <c r="Y178">
        <v>41.13</v>
      </c>
      <c r="Z178">
        <v>37.29</v>
      </c>
      <c r="AA178">
        <v>68.2</v>
      </c>
      <c r="AB178">
        <v>51.76</v>
      </c>
      <c r="AC178">
        <v>37.44</v>
      </c>
      <c r="AD178">
        <v>472.7</v>
      </c>
      <c r="AE178">
        <v>560.97</v>
      </c>
      <c r="AF178">
        <v>40.049999999999997</v>
      </c>
      <c r="AG178">
        <v>46.7</v>
      </c>
      <c r="AH178">
        <v>42.25</v>
      </c>
      <c r="AI178">
        <v>42.46</v>
      </c>
    </row>
    <row r="179" spans="1:35" x14ac:dyDescent="0.45">
      <c r="A179" s="2">
        <v>45747</v>
      </c>
      <c r="B179">
        <v>28.03</v>
      </c>
      <c r="C179">
        <v>29.82</v>
      </c>
      <c r="D179">
        <v>16.3</v>
      </c>
      <c r="E179">
        <v>25.3</v>
      </c>
      <c r="F179">
        <v>28.01</v>
      </c>
      <c r="G179">
        <v>43.89</v>
      </c>
      <c r="H179">
        <v>23.08</v>
      </c>
      <c r="I179">
        <v>47.48</v>
      </c>
      <c r="J179">
        <v>50.96</v>
      </c>
      <c r="K179">
        <v>54.04</v>
      </c>
      <c r="L179">
        <v>25.85</v>
      </c>
      <c r="M179">
        <v>48.13</v>
      </c>
      <c r="N179">
        <v>46.97</v>
      </c>
      <c r="O179">
        <v>51.48</v>
      </c>
      <c r="P179">
        <v>54.4</v>
      </c>
      <c r="Q179">
        <v>17.84</v>
      </c>
      <c r="R179">
        <v>1170.2</v>
      </c>
      <c r="S179">
        <v>32.82</v>
      </c>
      <c r="T179">
        <v>16.97</v>
      </c>
      <c r="U179">
        <v>12.48</v>
      </c>
      <c r="V179">
        <v>41.37</v>
      </c>
      <c r="W179">
        <v>42.08</v>
      </c>
      <c r="X179">
        <v>23.44</v>
      </c>
      <c r="Y179">
        <v>40.75</v>
      </c>
      <c r="Z179">
        <v>37.08</v>
      </c>
      <c r="AA179">
        <v>68.56</v>
      </c>
      <c r="AB179">
        <v>51.79</v>
      </c>
      <c r="AC179">
        <v>37.47</v>
      </c>
      <c r="AD179">
        <v>468.92</v>
      </c>
      <c r="AE179">
        <v>559.39</v>
      </c>
      <c r="AF179">
        <v>39.799999999999997</v>
      </c>
      <c r="AG179">
        <v>46.73</v>
      </c>
      <c r="AH179">
        <v>42.08</v>
      </c>
      <c r="AI179">
        <v>42.32</v>
      </c>
    </row>
    <row r="180" spans="1:35" x14ac:dyDescent="0.45">
      <c r="A180" s="2">
        <v>45744</v>
      </c>
      <c r="B180">
        <v>28.08</v>
      </c>
      <c r="C180">
        <v>29.76</v>
      </c>
      <c r="D180">
        <v>16.37</v>
      </c>
      <c r="E180">
        <v>24.98</v>
      </c>
      <c r="F180">
        <v>28.43</v>
      </c>
      <c r="G180">
        <v>44.200800000000001</v>
      </c>
      <c r="H180">
        <v>23</v>
      </c>
      <c r="I180">
        <v>47.82</v>
      </c>
      <c r="J180">
        <v>51.62</v>
      </c>
      <c r="K180">
        <v>54.79</v>
      </c>
      <c r="L180">
        <v>25.96</v>
      </c>
      <c r="M180">
        <v>47.6</v>
      </c>
      <c r="N180">
        <v>48.470100000000002</v>
      </c>
      <c r="O180">
        <v>51.28</v>
      </c>
      <c r="P180">
        <v>54.57</v>
      </c>
      <c r="Q180">
        <v>17.75</v>
      </c>
      <c r="R180">
        <v>1173.76</v>
      </c>
      <c r="S180">
        <v>32.67</v>
      </c>
      <c r="T180">
        <v>16.850000000000001</v>
      </c>
      <c r="U180">
        <v>12.38</v>
      </c>
      <c r="V180">
        <v>41.07</v>
      </c>
      <c r="W180">
        <v>42.05</v>
      </c>
      <c r="X180">
        <v>23.47</v>
      </c>
      <c r="Y180">
        <v>40.57</v>
      </c>
      <c r="Z180">
        <v>37.39</v>
      </c>
      <c r="AA180">
        <v>69.22</v>
      </c>
      <c r="AB180">
        <v>52.48</v>
      </c>
      <c r="AC180">
        <v>37.590000000000003</v>
      </c>
      <c r="AD180">
        <v>468.94</v>
      </c>
      <c r="AE180">
        <v>555.66</v>
      </c>
      <c r="AF180">
        <v>40.35</v>
      </c>
      <c r="AG180">
        <v>47.34</v>
      </c>
      <c r="AH180">
        <v>42.94</v>
      </c>
      <c r="AI180">
        <v>42.8</v>
      </c>
    </row>
    <row r="181" spans="1:35" x14ac:dyDescent="0.45">
      <c r="A181" s="2">
        <v>45743</v>
      </c>
      <c r="B181">
        <v>28.34</v>
      </c>
      <c r="C181">
        <v>30.17</v>
      </c>
      <c r="D181">
        <v>16.420000000000002</v>
      </c>
      <c r="E181">
        <v>25.1</v>
      </c>
      <c r="F181">
        <v>28.69</v>
      </c>
      <c r="G181">
        <v>44.86</v>
      </c>
      <c r="H181">
        <v>23.55</v>
      </c>
      <c r="I181">
        <v>49.2</v>
      </c>
      <c r="J181">
        <v>52.15</v>
      </c>
      <c r="K181">
        <v>56.49</v>
      </c>
      <c r="L181">
        <v>26.33</v>
      </c>
      <c r="M181">
        <v>48.21</v>
      </c>
      <c r="N181">
        <v>48.9</v>
      </c>
      <c r="O181">
        <v>51.79</v>
      </c>
      <c r="P181">
        <v>55.81</v>
      </c>
      <c r="Q181">
        <v>17.87</v>
      </c>
      <c r="R181">
        <v>1159.6400000000001</v>
      </c>
      <c r="S181">
        <v>32.31</v>
      </c>
      <c r="T181">
        <v>17.05</v>
      </c>
      <c r="U181">
        <v>12.56</v>
      </c>
      <c r="V181">
        <v>41.39</v>
      </c>
      <c r="W181">
        <v>42.6</v>
      </c>
      <c r="X181">
        <v>23.75</v>
      </c>
      <c r="Y181">
        <v>41.25</v>
      </c>
      <c r="Z181">
        <v>37.590000000000003</v>
      </c>
      <c r="AA181">
        <v>70.650000000000006</v>
      </c>
      <c r="AB181">
        <v>52.59</v>
      </c>
      <c r="AC181">
        <v>37.659999999999997</v>
      </c>
      <c r="AD181">
        <v>481.62</v>
      </c>
      <c r="AE181">
        <v>567.08000000000004</v>
      </c>
      <c r="AF181">
        <v>40.549999999999997</v>
      </c>
      <c r="AG181">
        <v>47.817599999999999</v>
      </c>
      <c r="AH181">
        <v>43.53</v>
      </c>
      <c r="AI181">
        <v>43.07</v>
      </c>
    </row>
    <row r="182" spans="1:35" x14ac:dyDescent="0.45">
      <c r="A182" s="2">
        <v>45742</v>
      </c>
      <c r="B182">
        <v>28.16</v>
      </c>
      <c r="C182">
        <v>30.27</v>
      </c>
      <c r="D182">
        <v>16.309999999999999</v>
      </c>
      <c r="E182">
        <v>25.021999999999998</v>
      </c>
      <c r="F182">
        <v>28.42</v>
      </c>
      <c r="G182">
        <v>44.493099999999998</v>
      </c>
      <c r="H182">
        <v>23.21</v>
      </c>
      <c r="I182">
        <v>49.51</v>
      </c>
      <c r="J182">
        <v>52.01</v>
      </c>
      <c r="K182">
        <v>56.81</v>
      </c>
      <c r="L182">
        <v>26.3</v>
      </c>
      <c r="M182">
        <v>48.16</v>
      </c>
      <c r="N182">
        <v>48.42</v>
      </c>
      <c r="O182">
        <v>51.4</v>
      </c>
      <c r="P182">
        <v>55</v>
      </c>
      <c r="Q182">
        <v>17.79</v>
      </c>
      <c r="R182">
        <v>1160.06</v>
      </c>
      <c r="S182">
        <v>32.76</v>
      </c>
      <c r="T182">
        <v>16.91</v>
      </c>
      <c r="U182">
        <v>12.49</v>
      </c>
      <c r="V182">
        <v>40.869999999999997</v>
      </c>
      <c r="W182">
        <v>42.48</v>
      </c>
      <c r="X182">
        <v>23.71</v>
      </c>
      <c r="Y182">
        <v>41.38</v>
      </c>
      <c r="Z182">
        <v>37.56</v>
      </c>
      <c r="AA182">
        <v>70.75</v>
      </c>
      <c r="AB182">
        <v>52.45</v>
      </c>
      <c r="AC182">
        <v>37.51</v>
      </c>
      <c r="AD182">
        <v>484.38</v>
      </c>
      <c r="AE182">
        <v>568.59</v>
      </c>
      <c r="AF182">
        <v>40.479999999999997</v>
      </c>
      <c r="AG182">
        <v>47.839799999999997</v>
      </c>
      <c r="AH182">
        <v>43.58</v>
      </c>
      <c r="AI182">
        <v>42.61</v>
      </c>
    </row>
    <row r="183" spans="1:35" x14ac:dyDescent="0.45">
      <c r="A183" s="2">
        <v>45741</v>
      </c>
      <c r="B183">
        <v>28.33</v>
      </c>
      <c r="C183">
        <v>30.76</v>
      </c>
      <c r="D183">
        <v>15.72</v>
      </c>
      <c r="E183">
        <v>25.2</v>
      </c>
      <c r="F183">
        <v>29.11</v>
      </c>
      <c r="G183">
        <v>45.2331</v>
      </c>
      <c r="H183">
        <v>23.17</v>
      </c>
      <c r="I183">
        <v>50.46</v>
      </c>
      <c r="J183">
        <v>52.59</v>
      </c>
      <c r="K183">
        <v>57.07</v>
      </c>
      <c r="L183">
        <v>26.42</v>
      </c>
      <c r="M183">
        <v>47.93</v>
      </c>
      <c r="N183">
        <v>48.48</v>
      </c>
      <c r="O183">
        <v>52.04</v>
      </c>
      <c r="P183">
        <v>55</v>
      </c>
      <c r="Q183">
        <v>17.87</v>
      </c>
      <c r="R183">
        <v>1187.6300000000001</v>
      </c>
      <c r="S183">
        <v>32.630000000000003</v>
      </c>
      <c r="T183">
        <v>16.91</v>
      </c>
      <c r="U183">
        <v>12.69</v>
      </c>
      <c r="V183">
        <v>40.28</v>
      </c>
      <c r="W183">
        <v>42.41</v>
      </c>
      <c r="X183">
        <v>23.81</v>
      </c>
      <c r="Y183">
        <v>41.71</v>
      </c>
      <c r="Z183">
        <v>38.380000000000003</v>
      </c>
      <c r="AA183">
        <v>71.680000000000007</v>
      </c>
      <c r="AB183">
        <v>52.98</v>
      </c>
      <c r="AC183">
        <v>37.64</v>
      </c>
      <c r="AD183">
        <v>493.46</v>
      </c>
      <c r="AE183">
        <v>575.46</v>
      </c>
      <c r="AF183">
        <v>41.23</v>
      </c>
      <c r="AG183">
        <v>48.56</v>
      </c>
      <c r="AH183">
        <v>44.67</v>
      </c>
      <c r="AI183">
        <v>43.42</v>
      </c>
    </row>
    <row r="184" spans="1:35" x14ac:dyDescent="0.45">
      <c r="A184" s="2">
        <v>45740</v>
      </c>
      <c r="B184">
        <v>28.3</v>
      </c>
      <c r="C184">
        <v>30.41</v>
      </c>
      <c r="D184">
        <v>15.34</v>
      </c>
      <c r="E184">
        <v>25.43</v>
      </c>
      <c r="F184">
        <v>28.56</v>
      </c>
      <c r="G184">
        <v>44.6</v>
      </c>
      <c r="H184">
        <v>23</v>
      </c>
      <c r="I184">
        <v>50.38</v>
      </c>
      <c r="J184">
        <v>52.04</v>
      </c>
      <c r="K184">
        <v>57.31</v>
      </c>
      <c r="L184">
        <v>26.19</v>
      </c>
      <c r="M184">
        <v>47.71</v>
      </c>
      <c r="N184">
        <v>48.31</v>
      </c>
      <c r="O184">
        <v>52.12</v>
      </c>
      <c r="P184">
        <v>55.61</v>
      </c>
      <c r="Q184">
        <v>17.86</v>
      </c>
      <c r="R184">
        <v>1177.44</v>
      </c>
      <c r="S184">
        <v>31.74</v>
      </c>
      <c r="T184">
        <v>17.04</v>
      </c>
      <c r="U184">
        <v>12.7</v>
      </c>
      <c r="V184">
        <v>40.49</v>
      </c>
      <c r="W184">
        <v>41.83</v>
      </c>
      <c r="X184">
        <v>23.7</v>
      </c>
      <c r="Y184">
        <v>41.51</v>
      </c>
      <c r="Z184">
        <v>38.03</v>
      </c>
      <c r="AA184">
        <v>71.17</v>
      </c>
      <c r="AB184">
        <v>52.9</v>
      </c>
      <c r="AC184">
        <v>37.53</v>
      </c>
      <c r="AD184">
        <v>490.66</v>
      </c>
      <c r="AE184">
        <v>574.08000000000004</v>
      </c>
      <c r="AF184">
        <v>40.909999999999997</v>
      </c>
      <c r="AG184">
        <v>48.33</v>
      </c>
      <c r="AH184">
        <v>44.24</v>
      </c>
      <c r="AI184">
        <v>42.98</v>
      </c>
    </row>
    <row r="185" spans="1:35" x14ac:dyDescent="0.45">
      <c r="A185" s="2">
        <v>45737</v>
      </c>
      <c r="B185">
        <v>28.17</v>
      </c>
      <c r="C185">
        <v>30.3</v>
      </c>
      <c r="D185">
        <v>15.62</v>
      </c>
      <c r="E185">
        <v>25.79</v>
      </c>
      <c r="F185">
        <v>28.13</v>
      </c>
      <c r="G185">
        <v>44.66</v>
      </c>
      <c r="H185">
        <v>23.15</v>
      </c>
      <c r="I185">
        <v>50.22</v>
      </c>
      <c r="J185">
        <v>51.7</v>
      </c>
      <c r="K185">
        <v>56.86</v>
      </c>
      <c r="L185">
        <v>26.57</v>
      </c>
      <c r="M185">
        <v>47.6</v>
      </c>
      <c r="N185">
        <v>46.99</v>
      </c>
      <c r="O185">
        <v>51.47</v>
      </c>
      <c r="P185">
        <v>55.65</v>
      </c>
      <c r="Q185">
        <v>17.989999999999998</v>
      </c>
      <c r="R185">
        <v>1202.03</v>
      </c>
      <c r="S185">
        <v>30.77</v>
      </c>
      <c r="T185">
        <v>16.829999999999998</v>
      </c>
      <c r="U185">
        <v>12.54</v>
      </c>
      <c r="V185">
        <v>40.340000000000003</v>
      </c>
      <c r="W185">
        <v>41.82</v>
      </c>
      <c r="X185">
        <v>23.43</v>
      </c>
      <c r="Y185">
        <v>40.880000000000003</v>
      </c>
      <c r="Z185">
        <v>38.090000000000003</v>
      </c>
      <c r="AA185">
        <v>71.33</v>
      </c>
      <c r="AB185">
        <v>53.06</v>
      </c>
      <c r="AC185">
        <v>37.53</v>
      </c>
      <c r="AD185">
        <v>480.84</v>
      </c>
      <c r="AE185">
        <v>563.98</v>
      </c>
      <c r="AF185">
        <v>40.909999999999997</v>
      </c>
      <c r="AG185">
        <v>48.25</v>
      </c>
      <c r="AH185">
        <v>44.03</v>
      </c>
      <c r="AI185">
        <v>42.95</v>
      </c>
    </row>
    <row r="186" spans="1:35" x14ac:dyDescent="0.45">
      <c r="A186" s="2">
        <v>45736</v>
      </c>
      <c r="B186">
        <v>28.46</v>
      </c>
      <c r="C186">
        <v>30.52</v>
      </c>
      <c r="D186">
        <v>15.91</v>
      </c>
      <c r="E186">
        <v>25.91</v>
      </c>
      <c r="F186">
        <v>28.35</v>
      </c>
      <c r="G186">
        <v>44.589399999999998</v>
      </c>
      <c r="H186">
        <v>22.94</v>
      </c>
      <c r="I186">
        <v>50.28</v>
      </c>
      <c r="J186">
        <v>52.26</v>
      </c>
      <c r="K186">
        <v>56.73</v>
      </c>
      <c r="L186">
        <v>26.58</v>
      </c>
      <c r="M186">
        <v>48.03</v>
      </c>
      <c r="N186">
        <v>47.865000000000002</v>
      </c>
      <c r="O186">
        <v>50.76</v>
      </c>
      <c r="P186">
        <v>56.69</v>
      </c>
      <c r="Q186">
        <v>17.920000000000002</v>
      </c>
      <c r="R186">
        <v>1189.55</v>
      </c>
      <c r="S186">
        <v>33.28</v>
      </c>
      <c r="T186">
        <v>16.95</v>
      </c>
      <c r="U186">
        <v>12.4</v>
      </c>
      <c r="V186">
        <v>40.35</v>
      </c>
      <c r="W186">
        <v>41.75</v>
      </c>
      <c r="X186">
        <v>23.53</v>
      </c>
      <c r="Y186">
        <v>41.03</v>
      </c>
      <c r="Z186">
        <v>38.36</v>
      </c>
      <c r="AA186">
        <v>71.319999999999993</v>
      </c>
      <c r="AB186">
        <v>53.28</v>
      </c>
      <c r="AC186">
        <v>37.880000000000003</v>
      </c>
      <c r="AD186">
        <v>479.26</v>
      </c>
      <c r="AE186">
        <v>565.49</v>
      </c>
      <c r="AF186">
        <v>41.28</v>
      </c>
      <c r="AG186">
        <v>48.87</v>
      </c>
      <c r="AH186">
        <v>44.41</v>
      </c>
      <c r="AI186">
        <v>43.26</v>
      </c>
    </row>
    <row r="187" spans="1:35" x14ac:dyDescent="0.45">
      <c r="A187" s="2">
        <v>45735</v>
      </c>
      <c r="B187">
        <v>28.96</v>
      </c>
      <c r="C187">
        <v>30.94</v>
      </c>
      <c r="D187">
        <v>15.95</v>
      </c>
      <c r="E187">
        <v>25.87</v>
      </c>
      <c r="F187">
        <v>28.79</v>
      </c>
      <c r="G187">
        <v>44.48</v>
      </c>
      <c r="H187">
        <v>23.32</v>
      </c>
      <c r="I187">
        <v>50.14</v>
      </c>
      <c r="J187">
        <v>52.42</v>
      </c>
      <c r="K187">
        <v>57.24</v>
      </c>
      <c r="L187">
        <v>26.94</v>
      </c>
      <c r="M187">
        <v>48.77</v>
      </c>
      <c r="N187">
        <v>48.03</v>
      </c>
      <c r="O187">
        <v>50.61</v>
      </c>
      <c r="P187">
        <v>58.31</v>
      </c>
      <c r="Q187">
        <v>18.14</v>
      </c>
      <c r="R187">
        <v>1206.96</v>
      </c>
      <c r="S187">
        <v>33.04</v>
      </c>
      <c r="T187">
        <v>17.02</v>
      </c>
      <c r="U187">
        <v>12.6</v>
      </c>
      <c r="V187">
        <v>40.380000000000003</v>
      </c>
      <c r="W187">
        <v>42.29</v>
      </c>
      <c r="X187">
        <v>23.65</v>
      </c>
      <c r="Y187">
        <v>41.04</v>
      </c>
      <c r="Z187">
        <v>39.04</v>
      </c>
      <c r="AA187">
        <v>71.7</v>
      </c>
      <c r="AB187">
        <v>53.24</v>
      </c>
      <c r="AC187">
        <v>37.99</v>
      </c>
      <c r="AD187">
        <v>480.89</v>
      </c>
      <c r="AE187">
        <v>567.13</v>
      </c>
      <c r="AF187">
        <v>41.97</v>
      </c>
      <c r="AG187">
        <v>49.49</v>
      </c>
      <c r="AH187">
        <v>44.73</v>
      </c>
      <c r="AI187">
        <v>43.99</v>
      </c>
    </row>
    <row r="188" spans="1:35" x14ac:dyDescent="0.45">
      <c r="A188" s="2">
        <v>45734</v>
      </c>
      <c r="B188">
        <v>29.02</v>
      </c>
      <c r="C188">
        <v>30.9</v>
      </c>
      <c r="D188">
        <v>15.74</v>
      </c>
      <c r="E188">
        <v>25.67</v>
      </c>
      <c r="F188">
        <v>29.15</v>
      </c>
      <c r="G188">
        <v>44.281399999999998</v>
      </c>
      <c r="H188">
        <v>23.39</v>
      </c>
      <c r="I188">
        <v>50.2</v>
      </c>
      <c r="J188">
        <v>52.41</v>
      </c>
      <c r="K188">
        <v>56.97</v>
      </c>
      <c r="L188">
        <v>26.57</v>
      </c>
      <c r="M188">
        <v>47.69</v>
      </c>
      <c r="N188">
        <v>48.150500000000001</v>
      </c>
      <c r="O188">
        <v>49.88</v>
      </c>
      <c r="P188">
        <v>58.36</v>
      </c>
      <c r="Q188">
        <v>18.149999999999999</v>
      </c>
      <c r="R188">
        <v>1177.6400000000001</v>
      </c>
      <c r="S188">
        <v>37.79</v>
      </c>
      <c r="T188">
        <v>16.940000000000001</v>
      </c>
      <c r="U188">
        <v>12.62</v>
      </c>
      <c r="V188">
        <v>40.590000000000003</v>
      </c>
      <c r="W188">
        <v>41.95</v>
      </c>
      <c r="X188">
        <v>23.43</v>
      </c>
      <c r="Y188">
        <v>40.520000000000003</v>
      </c>
      <c r="Z188">
        <v>39.31</v>
      </c>
      <c r="AA188">
        <v>70.89</v>
      </c>
      <c r="AB188">
        <v>53.43</v>
      </c>
      <c r="AC188">
        <v>37.950000000000003</v>
      </c>
      <c r="AD188">
        <v>474.54</v>
      </c>
      <c r="AE188">
        <v>561.02</v>
      </c>
      <c r="AF188">
        <v>41.81</v>
      </c>
      <c r="AG188">
        <v>49.28</v>
      </c>
      <c r="AH188">
        <v>44.67</v>
      </c>
      <c r="AI188">
        <v>43.92</v>
      </c>
    </row>
    <row r="189" spans="1:35" x14ac:dyDescent="0.45">
      <c r="A189" s="2">
        <v>45733</v>
      </c>
      <c r="B189">
        <v>29.2</v>
      </c>
      <c r="C189">
        <v>30.71</v>
      </c>
      <c r="D189">
        <v>16.62</v>
      </c>
      <c r="E189">
        <v>26</v>
      </c>
      <c r="F189">
        <v>29.01</v>
      </c>
      <c r="G189">
        <v>44.12</v>
      </c>
      <c r="H189">
        <v>23.44</v>
      </c>
      <c r="I189">
        <v>50.71</v>
      </c>
      <c r="J189">
        <v>53.28</v>
      </c>
      <c r="K189">
        <v>57.86</v>
      </c>
      <c r="L189">
        <v>26.45</v>
      </c>
      <c r="M189">
        <v>47.74</v>
      </c>
      <c r="N189">
        <v>48.59</v>
      </c>
      <c r="O189">
        <v>49.44</v>
      </c>
      <c r="P189">
        <v>58.65</v>
      </c>
      <c r="Q189">
        <v>18.18</v>
      </c>
      <c r="R189">
        <v>1188.4100000000001</v>
      </c>
      <c r="S189">
        <v>38.549999999999997</v>
      </c>
      <c r="T189">
        <v>17.100000000000001</v>
      </c>
      <c r="U189">
        <v>12.76</v>
      </c>
      <c r="V189">
        <v>41.13</v>
      </c>
      <c r="W189">
        <v>42.77</v>
      </c>
      <c r="X189">
        <v>23.87</v>
      </c>
      <c r="Y189">
        <v>40.69</v>
      </c>
      <c r="Z189">
        <v>39.03</v>
      </c>
      <c r="AA189">
        <v>71.09</v>
      </c>
      <c r="AB189">
        <v>53.33</v>
      </c>
      <c r="AC189">
        <v>37.97</v>
      </c>
      <c r="AD189">
        <v>482.77</v>
      </c>
      <c r="AE189">
        <v>567.15</v>
      </c>
      <c r="AF189">
        <v>41.68</v>
      </c>
      <c r="AG189">
        <v>49.21</v>
      </c>
      <c r="AH189">
        <v>44.97</v>
      </c>
      <c r="AI189">
        <v>43.53</v>
      </c>
    </row>
    <row r="190" spans="1:35" x14ac:dyDescent="0.45">
      <c r="A190" s="2">
        <v>45730</v>
      </c>
      <c r="B190">
        <v>29.34</v>
      </c>
      <c r="C190">
        <v>30.06</v>
      </c>
      <c r="D190">
        <v>16.57</v>
      </c>
      <c r="E190">
        <v>25.785</v>
      </c>
      <c r="F190">
        <v>28.5</v>
      </c>
      <c r="G190">
        <v>43.37</v>
      </c>
      <c r="H190">
        <v>23.21</v>
      </c>
      <c r="I190">
        <v>50.27</v>
      </c>
      <c r="J190">
        <v>52.36</v>
      </c>
      <c r="K190">
        <v>56.14</v>
      </c>
      <c r="L190">
        <v>25.84</v>
      </c>
      <c r="M190">
        <v>47</v>
      </c>
      <c r="N190">
        <v>47.95</v>
      </c>
      <c r="O190">
        <v>48.91</v>
      </c>
      <c r="P190">
        <v>57.37</v>
      </c>
      <c r="Q190">
        <v>18.12</v>
      </c>
      <c r="R190">
        <v>1203.72</v>
      </c>
      <c r="S190">
        <v>38.340000000000003</v>
      </c>
      <c r="T190">
        <v>16.97</v>
      </c>
      <c r="U190">
        <v>12.66</v>
      </c>
      <c r="V190">
        <v>40.479999999999997</v>
      </c>
      <c r="W190">
        <v>42.45</v>
      </c>
      <c r="X190">
        <v>23.5</v>
      </c>
      <c r="Y190">
        <v>40.11</v>
      </c>
      <c r="Z190">
        <v>38.619999999999997</v>
      </c>
      <c r="AA190">
        <v>70.349999999999994</v>
      </c>
      <c r="AB190">
        <v>52.59</v>
      </c>
      <c r="AC190">
        <v>37.71</v>
      </c>
      <c r="AD190">
        <v>479.66</v>
      </c>
      <c r="AE190">
        <v>562.80999999999995</v>
      </c>
      <c r="AF190">
        <v>41.29</v>
      </c>
      <c r="AG190">
        <v>48.68</v>
      </c>
      <c r="AH190">
        <v>44.55</v>
      </c>
      <c r="AI190">
        <v>43.03</v>
      </c>
    </row>
    <row r="191" spans="1:35" x14ac:dyDescent="0.45">
      <c r="A191" s="2">
        <v>45729</v>
      </c>
      <c r="B191">
        <v>28.34</v>
      </c>
      <c r="C191">
        <v>29.76</v>
      </c>
      <c r="D191">
        <v>16.73</v>
      </c>
      <c r="E191">
        <v>25.38</v>
      </c>
      <c r="F191">
        <v>27.58</v>
      </c>
      <c r="G191">
        <v>42.25</v>
      </c>
      <c r="H191">
        <v>22.91</v>
      </c>
      <c r="I191">
        <v>49.63</v>
      </c>
      <c r="J191">
        <v>51.19</v>
      </c>
      <c r="K191">
        <v>55.22</v>
      </c>
      <c r="L191">
        <v>24.8</v>
      </c>
      <c r="M191">
        <v>45.86</v>
      </c>
      <c r="N191">
        <v>46.83</v>
      </c>
      <c r="O191">
        <v>48.51</v>
      </c>
      <c r="P191">
        <v>55.77</v>
      </c>
      <c r="Q191">
        <v>17.940000000000001</v>
      </c>
      <c r="R191">
        <v>1215.73</v>
      </c>
      <c r="S191">
        <v>37.89</v>
      </c>
      <c r="T191">
        <v>16.78</v>
      </c>
      <c r="U191">
        <v>12.44</v>
      </c>
      <c r="V191">
        <v>40.020000000000003</v>
      </c>
      <c r="W191">
        <v>41.91</v>
      </c>
      <c r="X191">
        <v>23.02</v>
      </c>
      <c r="Y191">
        <v>39.299999999999997</v>
      </c>
      <c r="Z191">
        <v>37.590000000000003</v>
      </c>
      <c r="AA191">
        <v>69.260000000000005</v>
      </c>
      <c r="AB191">
        <v>52.14</v>
      </c>
      <c r="AC191">
        <v>37.130000000000003</v>
      </c>
      <c r="AD191">
        <v>468.34</v>
      </c>
      <c r="AE191">
        <v>551.41999999999996</v>
      </c>
      <c r="AF191">
        <v>40.47</v>
      </c>
      <c r="AG191">
        <v>47.580100000000002</v>
      </c>
      <c r="AH191">
        <v>43.07</v>
      </c>
      <c r="AI191">
        <v>41.94</v>
      </c>
    </row>
    <row r="192" spans="1:35" x14ac:dyDescent="0.45">
      <c r="A192" s="2">
        <v>45728</v>
      </c>
      <c r="B192">
        <v>28.434999999999999</v>
      </c>
      <c r="C192">
        <v>29.34</v>
      </c>
      <c r="D192">
        <v>16.87</v>
      </c>
      <c r="E192">
        <v>25.08</v>
      </c>
      <c r="F192">
        <v>27.17</v>
      </c>
      <c r="G192">
        <v>41.747100000000003</v>
      </c>
      <c r="H192">
        <v>22.53</v>
      </c>
      <c r="I192">
        <v>50.67</v>
      </c>
      <c r="J192">
        <v>50.98</v>
      </c>
      <c r="K192">
        <v>55.95</v>
      </c>
      <c r="L192">
        <v>24.48</v>
      </c>
      <c r="M192">
        <v>45.97</v>
      </c>
      <c r="N192">
        <v>46.85</v>
      </c>
      <c r="O192">
        <v>48.73</v>
      </c>
      <c r="P192">
        <v>55.63</v>
      </c>
      <c r="Q192">
        <v>18.079999999999998</v>
      </c>
      <c r="R192">
        <v>1231.1400000000001</v>
      </c>
      <c r="S192">
        <v>37.619999999999997</v>
      </c>
      <c r="T192">
        <v>16.78</v>
      </c>
      <c r="U192">
        <v>12.58</v>
      </c>
      <c r="V192">
        <v>40.06</v>
      </c>
      <c r="W192">
        <v>42.34</v>
      </c>
      <c r="X192">
        <v>23.31</v>
      </c>
      <c r="Y192">
        <v>39.840000000000003</v>
      </c>
      <c r="Z192">
        <v>37.99</v>
      </c>
      <c r="AA192">
        <v>69.52</v>
      </c>
      <c r="AB192">
        <v>52.41</v>
      </c>
      <c r="AC192">
        <v>37.119999999999997</v>
      </c>
      <c r="AD192">
        <v>476.92</v>
      </c>
      <c r="AE192">
        <v>558.87</v>
      </c>
      <c r="AF192">
        <v>40.97</v>
      </c>
      <c r="AG192">
        <v>48.12</v>
      </c>
      <c r="AH192">
        <v>43.77</v>
      </c>
      <c r="AI192">
        <v>42.5</v>
      </c>
    </row>
    <row r="193" spans="1:35" x14ac:dyDescent="0.45">
      <c r="A193" s="2">
        <v>45727</v>
      </c>
      <c r="B193">
        <v>28.51</v>
      </c>
      <c r="C193">
        <v>29.39</v>
      </c>
      <c r="D193">
        <v>16.46</v>
      </c>
      <c r="E193">
        <v>25.07</v>
      </c>
      <c r="F193">
        <v>26.88</v>
      </c>
      <c r="G193">
        <v>41.101199999999999</v>
      </c>
      <c r="H193">
        <v>23.1</v>
      </c>
      <c r="I193">
        <v>49.98</v>
      </c>
      <c r="J193">
        <v>50.25</v>
      </c>
      <c r="K193">
        <v>54.69</v>
      </c>
      <c r="L193">
        <v>24.38</v>
      </c>
      <c r="M193">
        <v>46.31</v>
      </c>
      <c r="N193">
        <v>45.64</v>
      </c>
      <c r="O193">
        <v>48.66</v>
      </c>
      <c r="P193">
        <v>55.83</v>
      </c>
      <c r="Q193">
        <v>18.05</v>
      </c>
      <c r="R193">
        <v>1206.3900000000001</v>
      </c>
      <c r="S193">
        <v>37.049999999999997</v>
      </c>
      <c r="T193">
        <v>16.579999999999998</v>
      </c>
      <c r="U193">
        <v>12.41</v>
      </c>
      <c r="V193">
        <v>39.950000000000003</v>
      </c>
      <c r="W193">
        <v>42.39</v>
      </c>
      <c r="X193">
        <v>23.32</v>
      </c>
      <c r="Y193">
        <v>39.479999999999997</v>
      </c>
      <c r="Z193">
        <v>37.74</v>
      </c>
      <c r="AA193">
        <v>68.260000000000005</v>
      </c>
      <c r="AB193">
        <v>51.87</v>
      </c>
      <c r="AC193">
        <v>36.96</v>
      </c>
      <c r="AD193">
        <v>471.6</v>
      </c>
      <c r="AE193">
        <v>555.91999999999996</v>
      </c>
      <c r="AF193">
        <v>41.09</v>
      </c>
      <c r="AG193">
        <v>47.81</v>
      </c>
      <c r="AH193">
        <v>43.88</v>
      </c>
      <c r="AI193">
        <v>42.27</v>
      </c>
    </row>
    <row r="194" spans="1:35" x14ac:dyDescent="0.45">
      <c r="A194" s="2">
        <v>45726</v>
      </c>
      <c r="B194">
        <v>28.09</v>
      </c>
      <c r="C194">
        <v>29.16</v>
      </c>
      <c r="D194">
        <v>16.690000000000001</v>
      </c>
      <c r="E194">
        <v>25.47</v>
      </c>
      <c r="F194">
        <v>26.44</v>
      </c>
      <c r="G194">
        <v>40.6935</v>
      </c>
      <c r="H194">
        <v>23.12</v>
      </c>
      <c r="I194">
        <v>49.89</v>
      </c>
      <c r="J194">
        <v>50.16</v>
      </c>
      <c r="K194">
        <v>54.09</v>
      </c>
      <c r="L194">
        <v>24.3</v>
      </c>
      <c r="M194">
        <v>45.77</v>
      </c>
      <c r="N194">
        <v>44.77</v>
      </c>
      <c r="O194">
        <v>48.36</v>
      </c>
      <c r="P194">
        <v>54.79</v>
      </c>
      <c r="Q194">
        <v>18.07</v>
      </c>
      <c r="R194">
        <v>1235.8499999999999</v>
      </c>
      <c r="S194">
        <v>36.82</v>
      </c>
      <c r="T194">
        <v>16.61</v>
      </c>
      <c r="U194">
        <v>12.24</v>
      </c>
      <c r="V194">
        <v>40.04</v>
      </c>
      <c r="W194">
        <v>42.75</v>
      </c>
      <c r="X194">
        <v>23.42</v>
      </c>
      <c r="Y194">
        <v>39.68</v>
      </c>
      <c r="Z194">
        <v>37.79</v>
      </c>
      <c r="AA194">
        <v>68.680000000000007</v>
      </c>
      <c r="AB194">
        <v>52.62</v>
      </c>
      <c r="AC194">
        <v>37.049999999999997</v>
      </c>
      <c r="AD194">
        <v>472.73</v>
      </c>
      <c r="AE194">
        <v>560.58000000000004</v>
      </c>
      <c r="AF194">
        <v>41</v>
      </c>
      <c r="AG194">
        <v>47.48</v>
      </c>
      <c r="AH194">
        <v>43.82</v>
      </c>
      <c r="AI194">
        <v>42.15</v>
      </c>
    </row>
    <row r="195" spans="1:35" x14ac:dyDescent="0.45">
      <c r="A195" s="2">
        <v>45723</v>
      </c>
      <c r="B195">
        <v>28.45</v>
      </c>
      <c r="C195">
        <v>29.77</v>
      </c>
      <c r="D195">
        <v>17.100000000000001</v>
      </c>
      <c r="E195">
        <v>25.36</v>
      </c>
      <c r="F195">
        <v>27.42</v>
      </c>
      <c r="G195">
        <v>41.577599999999997</v>
      </c>
      <c r="H195">
        <v>23.29</v>
      </c>
      <c r="I195">
        <v>51.23</v>
      </c>
      <c r="J195">
        <v>51.53</v>
      </c>
      <c r="K195">
        <v>55.68</v>
      </c>
      <c r="L195">
        <v>24.82</v>
      </c>
      <c r="M195">
        <v>46.84</v>
      </c>
      <c r="N195">
        <v>45.53</v>
      </c>
      <c r="O195">
        <v>49.08</v>
      </c>
      <c r="P195">
        <v>56.5</v>
      </c>
      <c r="Q195">
        <v>18.07</v>
      </c>
      <c r="R195">
        <v>1246.21</v>
      </c>
      <c r="S195">
        <v>37.28</v>
      </c>
      <c r="T195">
        <v>16.920000000000002</v>
      </c>
      <c r="U195">
        <v>12.4</v>
      </c>
      <c r="V195">
        <v>40.39</v>
      </c>
      <c r="W195">
        <v>42.984999999999999</v>
      </c>
      <c r="X195">
        <v>23.89</v>
      </c>
      <c r="Y195">
        <v>40.47</v>
      </c>
      <c r="Z195">
        <v>38.81</v>
      </c>
      <c r="AA195">
        <v>70.17</v>
      </c>
      <c r="AB195">
        <v>53.53</v>
      </c>
      <c r="AC195">
        <v>37.83</v>
      </c>
      <c r="AD195">
        <v>491.79</v>
      </c>
      <c r="AE195">
        <v>575.91999999999996</v>
      </c>
      <c r="AF195">
        <v>41.87</v>
      </c>
      <c r="AG195">
        <v>49.36</v>
      </c>
      <c r="AH195">
        <v>45.12</v>
      </c>
      <c r="AI195">
        <v>42.85</v>
      </c>
    </row>
    <row r="196" spans="1:35" x14ac:dyDescent="0.45">
      <c r="A196" s="2">
        <v>45722</v>
      </c>
      <c r="B196">
        <v>28.625</v>
      </c>
      <c r="C196">
        <v>29.69</v>
      </c>
      <c r="D196">
        <v>17.12</v>
      </c>
      <c r="E196">
        <v>25.14</v>
      </c>
      <c r="F196">
        <v>26.86</v>
      </c>
      <c r="G196">
        <v>41.46</v>
      </c>
      <c r="H196">
        <v>23.42</v>
      </c>
      <c r="I196">
        <v>50.79</v>
      </c>
      <c r="J196">
        <v>51.45</v>
      </c>
      <c r="K196">
        <v>54.94</v>
      </c>
      <c r="L196">
        <v>24.57</v>
      </c>
      <c r="M196">
        <v>46.57</v>
      </c>
      <c r="N196">
        <v>44.85</v>
      </c>
      <c r="O196">
        <v>48.94</v>
      </c>
      <c r="P196">
        <v>56.53</v>
      </c>
      <c r="Q196">
        <v>18.14</v>
      </c>
      <c r="R196">
        <v>1245.6099999999999</v>
      </c>
      <c r="S196">
        <v>37.28</v>
      </c>
      <c r="T196">
        <v>17.09</v>
      </c>
      <c r="U196">
        <v>12.2</v>
      </c>
      <c r="V196">
        <v>40.270000000000003</v>
      </c>
      <c r="W196">
        <v>42.72</v>
      </c>
      <c r="X196">
        <v>24.02</v>
      </c>
      <c r="Y196">
        <v>40.369999999999997</v>
      </c>
      <c r="Z196">
        <v>38.590000000000003</v>
      </c>
      <c r="AA196">
        <v>69.61</v>
      </c>
      <c r="AB196">
        <v>52.59</v>
      </c>
      <c r="AC196">
        <v>37.25</v>
      </c>
      <c r="AD196">
        <v>488.2</v>
      </c>
      <c r="AE196">
        <v>572.71</v>
      </c>
      <c r="AF196">
        <v>41.43</v>
      </c>
      <c r="AG196">
        <v>48.48</v>
      </c>
      <c r="AH196">
        <v>44.31</v>
      </c>
      <c r="AI196">
        <v>42.27</v>
      </c>
    </row>
    <row r="197" spans="1:35" x14ac:dyDescent="0.45">
      <c r="A197" s="2">
        <v>45721</v>
      </c>
      <c r="B197">
        <v>28.38</v>
      </c>
      <c r="C197">
        <v>29.39</v>
      </c>
      <c r="D197">
        <v>17.05</v>
      </c>
      <c r="E197">
        <v>24.71</v>
      </c>
      <c r="F197">
        <v>26.92</v>
      </c>
      <c r="G197">
        <v>41.4694</v>
      </c>
      <c r="H197">
        <v>23.73</v>
      </c>
      <c r="I197">
        <v>52.07</v>
      </c>
      <c r="J197">
        <v>51.03</v>
      </c>
      <c r="K197">
        <v>56.05</v>
      </c>
      <c r="L197">
        <v>24.58</v>
      </c>
      <c r="M197">
        <v>46.39</v>
      </c>
      <c r="N197">
        <v>45.28</v>
      </c>
      <c r="O197">
        <v>48.93</v>
      </c>
      <c r="P197">
        <v>56.22</v>
      </c>
      <c r="Q197">
        <v>18.05</v>
      </c>
      <c r="R197">
        <v>1262.27</v>
      </c>
      <c r="S197">
        <v>36.340000000000003</v>
      </c>
      <c r="T197">
        <v>17.3</v>
      </c>
      <c r="U197">
        <v>11.95</v>
      </c>
      <c r="V197">
        <v>40.75</v>
      </c>
      <c r="W197">
        <v>42.94</v>
      </c>
      <c r="X197">
        <v>24.41</v>
      </c>
      <c r="Y197">
        <v>40.729999999999997</v>
      </c>
      <c r="Z197">
        <v>38.53</v>
      </c>
      <c r="AA197">
        <v>70.150000000000006</v>
      </c>
      <c r="AB197">
        <v>52.86</v>
      </c>
      <c r="AC197">
        <v>37.92</v>
      </c>
      <c r="AD197">
        <v>502.01</v>
      </c>
      <c r="AE197">
        <v>583.05999999999995</v>
      </c>
      <c r="AF197">
        <v>42.02</v>
      </c>
      <c r="AG197">
        <v>49.02</v>
      </c>
      <c r="AH197">
        <v>45.1</v>
      </c>
      <c r="AI197">
        <v>42.69</v>
      </c>
    </row>
    <row r="198" spans="1:35" x14ac:dyDescent="0.45">
      <c r="A198" s="2">
        <v>45720</v>
      </c>
      <c r="B198">
        <v>27.97</v>
      </c>
      <c r="C198">
        <v>28.9</v>
      </c>
      <c r="D198">
        <v>16.46</v>
      </c>
      <c r="E198">
        <v>24.25</v>
      </c>
      <c r="F198">
        <v>25.51</v>
      </c>
      <c r="G198">
        <v>40.440899999999999</v>
      </c>
      <c r="H198">
        <v>23.23</v>
      </c>
      <c r="I198">
        <v>51.04</v>
      </c>
      <c r="J198">
        <v>50.02</v>
      </c>
      <c r="K198">
        <v>54.57</v>
      </c>
      <c r="L198">
        <v>23.91</v>
      </c>
      <c r="M198">
        <v>45.07</v>
      </c>
      <c r="N198">
        <v>43.36</v>
      </c>
      <c r="O198">
        <v>47.85</v>
      </c>
      <c r="P198">
        <v>53.6</v>
      </c>
      <c r="Q198">
        <v>17.96</v>
      </c>
      <c r="R198">
        <v>1257.48</v>
      </c>
      <c r="S198">
        <v>35.200000000000003</v>
      </c>
      <c r="T198">
        <v>17.32</v>
      </c>
      <c r="U198">
        <v>11.97</v>
      </c>
      <c r="V198">
        <v>40.64</v>
      </c>
      <c r="W198">
        <v>42.25</v>
      </c>
      <c r="X198">
        <v>23.92</v>
      </c>
      <c r="Y198">
        <v>39.770000000000003</v>
      </c>
      <c r="Z198">
        <v>37.03</v>
      </c>
      <c r="AA198">
        <v>68.64</v>
      </c>
      <c r="AB198">
        <v>52.71</v>
      </c>
      <c r="AC198">
        <v>37.549999999999997</v>
      </c>
      <c r="AD198">
        <v>495.55</v>
      </c>
      <c r="AE198">
        <v>576.86</v>
      </c>
      <c r="AF198">
        <v>40.78</v>
      </c>
      <c r="AG198">
        <v>47.8</v>
      </c>
      <c r="AH198">
        <v>43.32</v>
      </c>
      <c r="AI198">
        <v>41.28</v>
      </c>
    </row>
    <row r="199" spans="1:35" x14ac:dyDescent="0.45">
      <c r="A199" s="2">
        <v>45719</v>
      </c>
      <c r="B199">
        <v>27.77</v>
      </c>
      <c r="C199">
        <v>28.36</v>
      </c>
      <c r="D199">
        <v>16.66</v>
      </c>
      <c r="E199">
        <v>24.05</v>
      </c>
      <c r="F199">
        <v>25.68</v>
      </c>
      <c r="G199">
        <v>40.524500000000003</v>
      </c>
      <c r="H199">
        <v>23.4</v>
      </c>
      <c r="I199">
        <v>50.25</v>
      </c>
      <c r="J199">
        <v>49.85</v>
      </c>
      <c r="K199">
        <v>54.32</v>
      </c>
      <c r="L199">
        <v>24.14</v>
      </c>
      <c r="M199">
        <v>44.54</v>
      </c>
      <c r="N199">
        <v>43.25</v>
      </c>
      <c r="O199">
        <v>47.8</v>
      </c>
      <c r="P199">
        <v>52.81</v>
      </c>
      <c r="Q199">
        <v>17.940000000000001</v>
      </c>
      <c r="R199">
        <v>1256.48</v>
      </c>
      <c r="S199">
        <v>34.97</v>
      </c>
      <c r="T199">
        <v>17.12</v>
      </c>
      <c r="U199">
        <v>12.04</v>
      </c>
      <c r="V199">
        <v>41.07</v>
      </c>
      <c r="W199">
        <v>42.18</v>
      </c>
      <c r="X199">
        <v>23.95</v>
      </c>
      <c r="Y199">
        <v>40.450000000000003</v>
      </c>
      <c r="Z199">
        <v>37.159999999999997</v>
      </c>
      <c r="AA199">
        <v>69.209999999999994</v>
      </c>
      <c r="AB199">
        <v>52.3</v>
      </c>
      <c r="AC199">
        <v>37.42</v>
      </c>
      <c r="AD199">
        <v>497.05</v>
      </c>
      <c r="AE199">
        <v>583.77</v>
      </c>
      <c r="AF199">
        <v>40.36</v>
      </c>
      <c r="AG199">
        <v>47.37</v>
      </c>
      <c r="AH199">
        <v>43.9</v>
      </c>
      <c r="AI199">
        <v>41.31</v>
      </c>
    </row>
    <row r="200" spans="1:35" x14ac:dyDescent="0.45">
      <c r="A200" s="2">
        <v>45716</v>
      </c>
      <c r="B200">
        <v>27.96</v>
      </c>
      <c r="C200">
        <v>28.62</v>
      </c>
      <c r="D200">
        <v>15.96</v>
      </c>
      <c r="E200">
        <v>24</v>
      </c>
      <c r="F200">
        <v>25.28</v>
      </c>
      <c r="G200">
        <v>40.941499999999998</v>
      </c>
      <c r="H200">
        <v>23.67</v>
      </c>
      <c r="I200">
        <v>50.81</v>
      </c>
      <c r="J200">
        <v>50.52</v>
      </c>
      <c r="K200">
        <v>54.67</v>
      </c>
      <c r="L200">
        <v>24.11</v>
      </c>
      <c r="M200">
        <v>44.4</v>
      </c>
      <c r="N200">
        <v>42.58</v>
      </c>
      <c r="O200">
        <v>48.1</v>
      </c>
      <c r="P200">
        <v>53.58</v>
      </c>
      <c r="Q200">
        <v>18</v>
      </c>
      <c r="R200">
        <v>1272.0999999999999</v>
      </c>
      <c r="S200">
        <v>34.28</v>
      </c>
      <c r="T200">
        <v>17.45</v>
      </c>
      <c r="U200">
        <v>12.04</v>
      </c>
      <c r="V200">
        <v>41.13</v>
      </c>
      <c r="W200">
        <v>42.37</v>
      </c>
      <c r="X200">
        <v>23.99</v>
      </c>
      <c r="Y200">
        <v>41.23</v>
      </c>
      <c r="Z200">
        <v>36.07</v>
      </c>
      <c r="AA200">
        <v>68.47</v>
      </c>
      <c r="AB200">
        <v>51.73</v>
      </c>
      <c r="AC200">
        <v>37.04</v>
      </c>
      <c r="AD200">
        <v>508.17</v>
      </c>
      <c r="AE200">
        <v>594.17999999999995</v>
      </c>
      <c r="AF200">
        <v>39.54</v>
      </c>
      <c r="AG200">
        <v>47.17</v>
      </c>
      <c r="AH200">
        <v>43.14</v>
      </c>
      <c r="AI200">
        <v>40.799999999999997</v>
      </c>
    </row>
    <row r="201" spans="1:35" x14ac:dyDescent="0.45">
      <c r="A201" s="2">
        <v>45715</v>
      </c>
      <c r="B201">
        <v>28.41</v>
      </c>
      <c r="C201">
        <v>28.74</v>
      </c>
      <c r="D201">
        <v>16.41</v>
      </c>
      <c r="E201">
        <v>24.3</v>
      </c>
      <c r="F201">
        <v>25.55</v>
      </c>
      <c r="G201">
        <v>40.6676</v>
      </c>
      <c r="H201">
        <v>23.76</v>
      </c>
      <c r="I201">
        <v>50.83</v>
      </c>
      <c r="J201">
        <v>50.59</v>
      </c>
      <c r="K201">
        <v>55.95</v>
      </c>
      <c r="L201">
        <v>24.71</v>
      </c>
      <c r="M201">
        <v>45.21</v>
      </c>
      <c r="N201">
        <v>42.029600000000002</v>
      </c>
      <c r="O201">
        <v>48.55</v>
      </c>
      <c r="P201">
        <v>54.91</v>
      </c>
      <c r="Q201">
        <v>17.86</v>
      </c>
      <c r="R201">
        <v>1284.1099999999999</v>
      </c>
      <c r="S201">
        <v>34.549999999999997</v>
      </c>
      <c r="T201">
        <v>17.420000000000002</v>
      </c>
      <c r="U201">
        <v>11.965</v>
      </c>
      <c r="V201">
        <v>41.17</v>
      </c>
      <c r="W201">
        <v>42.37</v>
      </c>
      <c r="X201">
        <v>24.07</v>
      </c>
      <c r="Y201">
        <v>40.799999999999997</v>
      </c>
      <c r="Z201">
        <v>36</v>
      </c>
      <c r="AA201">
        <v>69</v>
      </c>
      <c r="AB201">
        <v>51.33</v>
      </c>
      <c r="AC201">
        <v>36.700000000000003</v>
      </c>
      <c r="AD201">
        <v>500.27</v>
      </c>
      <c r="AE201">
        <v>585.04999999999995</v>
      </c>
      <c r="AF201">
        <v>39.44</v>
      </c>
      <c r="AG201">
        <v>47.08</v>
      </c>
      <c r="AH201">
        <v>43.07</v>
      </c>
      <c r="AI201">
        <v>40.61</v>
      </c>
    </row>
    <row r="202" spans="1:35" x14ac:dyDescent="0.45">
      <c r="A202" s="2">
        <v>45714</v>
      </c>
      <c r="B202">
        <v>28.5</v>
      </c>
      <c r="C202">
        <v>28.89</v>
      </c>
      <c r="D202">
        <v>16.98</v>
      </c>
      <c r="E202">
        <v>24.46</v>
      </c>
      <c r="F202">
        <v>26.18</v>
      </c>
      <c r="G202">
        <v>41.459400000000002</v>
      </c>
      <c r="H202">
        <v>24.16</v>
      </c>
      <c r="I202">
        <v>53.08</v>
      </c>
      <c r="J202">
        <v>51.49</v>
      </c>
      <c r="K202">
        <v>57.81</v>
      </c>
      <c r="L202">
        <v>24.88</v>
      </c>
      <c r="M202">
        <v>46.1</v>
      </c>
      <c r="N202">
        <v>42.437100000000001</v>
      </c>
      <c r="O202">
        <v>49.02</v>
      </c>
      <c r="P202">
        <v>55.4</v>
      </c>
      <c r="Q202">
        <v>18.100000000000001</v>
      </c>
      <c r="R202">
        <v>1283.97</v>
      </c>
      <c r="S202">
        <v>33.880000000000003</v>
      </c>
      <c r="T202">
        <v>17.47</v>
      </c>
      <c r="U202">
        <v>11.89</v>
      </c>
      <c r="V202">
        <v>41.63</v>
      </c>
      <c r="W202">
        <v>42.96</v>
      </c>
      <c r="X202">
        <v>24.44</v>
      </c>
      <c r="Y202">
        <v>41.43</v>
      </c>
      <c r="Z202">
        <v>36.71</v>
      </c>
      <c r="AA202">
        <v>69.510000000000005</v>
      </c>
      <c r="AB202">
        <v>52.03</v>
      </c>
      <c r="AC202">
        <v>36.75</v>
      </c>
      <c r="AD202">
        <v>514.55999999999995</v>
      </c>
      <c r="AE202">
        <v>594.54</v>
      </c>
      <c r="AF202">
        <v>39.89</v>
      </c>
      <c r="AG202">
        <v>48.46</v>
      </c>
      <c r="AH202">
        <v>43.85</v>
      </c>
      <c r="AI202">
        <v>41.27</v>
      </c>
    </row>
    <row r="204" spans="1:35" x14ac:dyDescent="0.45">
      <c r="A204" t="s">
        <v>78</v>
      </c>
      <c r="B204">
        <f>AVERAGE(_xlfn.ANCHORARRAY(B2))</f>
        <v>30.604355223880603</v>
      </c>
      <c r="C204">
        <f t="shared" ref="C204:AI204" si="0">AVERAGE(_xlfn.ANCHORARRAY(C2))</f>
        <v>32.286965174129357</v>
      </c>
      <c r="D204">
        <f t="shared" si="0"/>
        <v>17.634676616915414</v>
      </c>
      <c r="E204">
        <f t="shared" si="0"/>
        <v>25.889901492537319</v>
      </c>
      <c r="F204">
        <f t="shared" si="0"/>
        <v>31.261542288557212</v>
      </c>
      <c r="G204">
        <f t="shared" si="0"/>
        <v>51.928583582089523</v>
      </c>
      <c r="H204">
        <f t="shared" si="0"/>
        <v>24.644776119402973</v>
      </c>
      <c r="I204">
        <f t="shared" si="0"/>
        <v>57.407611940298494</v>
      </c>
      <c r="J204">
        <f t="shared" si="0"/>
        <v>60.774726368159243</v>
      </c>
      <c r="K204">
        <f t="shared" si="0"/>
        <v>71.953034825870645</v>
      </c>
      <c r="L204">
        <f t="shared" si="0"/>
        <v>28.488159203980068</v>
      </c>
      <c r="M204">
        <f t="shared" si="0"/>
        <v>55.959353233830846</v>
      </c>
      <c r="N204">
        <f t="shared" si="0"/>
        <v>58.033680597014929</v>
      </c>
      <c r="O204">
        <f t="shared" si="0"/>
        <v>53.136990049751255</v>
      </c>
      <c r="P204">
        <f t="shared" si="0"/>
        <v>58.222164179104517</v>
      </c>
      <c r="Q204">
        <f t="shared" si="0"/>
        <v>18.905554726368159</v>
      </c>
      <c r="R204">
        <f t="shared" si="0"/>
        <v>1217.1327363184075</v>
      </c>
      <c r="S204">
        <f t="shared" si="0"/>
        <v>33.222212935323356</v>
      </c>
      <c r="T204">
        <f t="shared" si="0"/>
        <v>18.629968159203983</v>
      </c>
      <c r="U204">
        <f t="shared" si="0"/>
        <v>15.343532338308451</v>
      </c>
      <c r="V204">
        <f t="shared" si="0"/>
        <v>39.025024875621895</v>
      </c>
      <c r="W204">
        <f t="shared" si="0"/>
        <v>44.837310945273657</v>
      </c>
      <c r="X204">
        <f t="shared" si="0"/>
        <v>25.745671641791059</v>
      </c>
      <c r="Y204">
        <f t="shared" si="0"/>
        <v>46.418656716417935</v>
      </c>
      <c r="Z204">
        <f t="shared" si="0"/>
        <v>40.619253731343299</v>
      </c>
      <c r="AA204">
        <f t="shared" si="0"/>
        <v>75.83203980099502</v>
      </c>
      <c r="AB204">
        <f t="shared" si="0"/>
        <v>54.616417910447794</v>
      </c>
      <c r="AC204">
        <f t="shared" si="0"/>
        <v>40.172288557213925</v>
      </c>
      <c r="AD204">
        <f t="shared" si="0"/>
        <v>549.26835820895496</v>
      </c>
      <c r="AE204">
        <f t="shared" si="0"/>
        <v>619.52527363184061</v>
      </c>
      <c r="AF204">
        <f t="shared" si="0"/>
        <v>42.606865671641806</v>
      </c>
      <c r="AG204">
        <f t="shared" si="0"/>
        <v>53.311853731343255</v>
      </c>
      <c r="AH204">
        <f t="shared" si="0"/>
        <v>45.595920398009923</v>
      </c>
      <c r="AI204">
        <f t="shared" si="0"/>
        <v>48.174129353233837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5531876"><![CDATA[{"EWI^FG_PRICE(0,-200D)":[53.95,53.55,53.02,52.98,52.98,53.15,53.29,53.0,52.66,52.93,52.54,52.16,51.19,51.47,50.81,51.34,51.81,52.56,53.2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,44.26,44.21,44.67,44.23,44.04,43.48,42.69,42.81,41.94,42.13,41.76,41.54,40.92,40.53,39.66,40.22,36.6,37.06,38.49,41.77,42.66,42.46,42.32,42.8,43.07,42.61,43.42,42.98,42.95,43.26,43.99,43.92,43.53,43.03,41.94,42.5,42.27,42.15,42.85,42.27,42.69,41.28,41.31,40.8,40.61,41.27],"EWD^FG_PRICE(0,-200D)":[49.67,49.36,48.55,48.4,48.37,48.09,47.77,47.61,47.58,47.91,47.43,47.06,46.26,46.06,45.38,46.17,46.49,47.22,47.65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,43.12,43.64,43.0,43.61,43.62,43.32,42.43,42.68,41.77,41.9,41.07,41.39,40.72,40.31,39.65,39.92,37.07,37.34,38.17,41.47,42.61,42.25,42.08,42.94,43.53,43.58,44.67,44.24,44.03,44.41,44.73,44.67,44.97,44.55,43.07,43.77,43.88,43.82,45.12,44.31,45.1,43.32,43.9,43.14,43.07,43.85],"EWN^FG_PRICE(0,-200D)":[59.5,58.8,58.55,58.7224,58.55,58.78,59.18,58.57,58.32,58.17,57.79,56.872,55.95,55.92,55.52,57.05,56.63,57.36,58.13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,48.78,48.85,48.92,48.79,48.78,48.41,47.77,47.1,46.09,46.55,46.26,46.89,46.61,45.81,44.67,46.05,41.88,42.58,43.14,45.71,46.87,46.7,46.73,47.34,47.8176,47.8398,48.56,48.33,48.25,48.87,49.49,49.28,49.21,48.68,47.5801,48.12,47.81,47.48,49.36,48.48,49.02,47.8,47.37,47.17,47.08,48.46],"EWQ^FG_PRICE(0,-200D)":[45.0,44.58,44.21,44.65,44.62,44.75,44.79,44.44,44.41,44.57,44.43,44.06,43.33,43.69,42.99,43.44,43.63,44.2,44.84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,41.07,41.04,40.94,41.04,40.95,40.72,40.12,39.84,38.97,39.22,38.96,39.0,38.85,38.97,37.99,38.61,35.65,35.97,37.21,39.48,40.18,40.05,39.8,40.35,40.55,40.48,41.23,40.91,40.91,41.28,41.97,41.81,41.68,41.29,40.47,40.97,41.09,41.0,41.87,41.43,42.02,40.78,40.36,39.54,39.44,39.89],"SPY^FG_PRICE(0,-200D)":[689.17,687.57,683.04,683.63,685.69,684.39,683.89,681.53,680.27,683.39,679.68,675.02,668.73,659.03,652.53,662.63,660.08,665.67,671.9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,558.47,554.54,554.32,550.85,550.64,546.69,535.42,527.25,513.88,526.41,525.66,537.61,539.12,533.94,524.58,548.62,496.48,504.38,505.28,536.7,564.52,560.97,559.39,555.66,567.08,568.59,575.46,574.08,563.98,565.49,567.13,561.02,567.15,562.81,551.42,558.87,555.92,560.58,575.92,572.71,583.06,576.86,583.77,594.18,585.05,594.54],"QQQ^FG_PRICE(0,-200D)":[625.58,627.61,625.05,624.28,625.48,622.94,623.52,622.0,617.17,619.25,614.27,608.89,605.16,590.07,585.67,599.87,596.31,603.66,608.86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,481.68,475.47,475.53,472.41,472.56,467.35,454.56,444.48,433.11,444.1,444.18,457.99,457.48,454.4,446.18,466.0,416.06,423.69,422.67,450.66,476.15,472.7,468.92,468.94,481.62,484.38,493.46,490.66,480.84,479.26,480.89,474.54,482.77,479.66,468.34,476.92,471.6,472.73,491.79,488.2,502.01,495.55,497.05,508.17,500.27,514.56],"EWU^FG_PRICE(0,-200D)":[43.65,43.46,42.88,43.08,43.22,43.42,43.46,43.01,42.93,43.15,42.99,42.52,41.92,42.06,41.34,41.73,42.19,42.44,42.77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,37.88,38.1,38.35,38.19,37.94,37.89,37.55,37.58,36.82,36.97,36.55,36.65,36.15,35.57,34.67,35.11,33.19,33.29,34.62,37.28,37.61,37.44,37.47,37.59,37.66,37.51,37.64,37.53,37.53,37.88,37.99,37.95,37.97,37.71,37.13,37.12,36.96,37.05,37.83,37.25,37.92,37.55,37.42,37.04,36.7,36.75],"EWL^FG_PRICE(0,-200D)":[58.49,58.38,57.69,57.76,58.03,57.91,58.07,57.94,57.42,57.82,57.55,57.26,56.39,56.69,55.69,56.36,56.58,56.81,57.55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,53.52,53.86,53.67,53.71,53.04,52.96,52.23,52.45,51.82,51.95,51.29,51.45,51.2,51.05,49.7,49.71,47.12,47.04,48.36,51.41,51.49,51.76,51.79,52.48,52.59,52.45,52.98,52.9,53.06,53.28,53.24,53.43,53.33,52.59,52.14,52.41,51.87,52.62,53.53,52.59,52.86,52.71,52.3,51.73,51.33,52.03],"EWJ^FG_PRICE(0,-200D)":[84.22,83.91,83.31,83.19,83.7,83.62,82.61,82.47,82.53,83.01,83.26,81.92,81.74,81.19,79.49,80.68,80.78,82.47,83.98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,71.17,71.43,72.02,71.74,70.77,70.28,69.48,69.27,67.92,68.07,66.78,67.44,66.9,65.82,64.22,66.34,61.65,61.32,61.51,65.41,68.22,68.2,68.56,69.22,70.65,70.75,71.68,71.17,71.33,71.32,71.7,70.89,71.09,70.35,69.26,69.52,68.26,68.68,70.17,69.61,70.15,68.64,69.21,68.47,69.0,69.51],"EWG^FG_PRICE(0,-200D)":[42.39,41.94,41.53,41.34,41.41,41.14,40.95,40.89,40.52,40.92,40.6,40.19,39.47,39.4,38.89,39.51,39.53,40.01,40.86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,39.46,39.49,39.67,39.47,39.36,39.03,38.44,38.03,37.03,37.4,37.22,37.2,36.82,36.37,35.8,36.22,33.22,33.55,34.32,36.73,37.38,37.29,37.08,37.39,37.59,37.56,38.38,38.03,38.09,38.36,39.04,39.31,39.03,38.62,37.59,37.99,37.74,37.79,38.81,38.59,38.53,37.03,37.16,36.07,36.0,36.71],"EWC^FG_PRICE(0,-200D)":[54.08,53.72,53.07,52.95,53.29,53.07,52.47,52.14,52.18,52.7,52.25,51.56,51.05,50.43,49.91,50.62,50.53,50.34,50.89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,42.31,42.45,42.45,42.37,42.04,42.06,41.52,41.39,40.77,41.1,40.83,40.53,40.44,39.87,38.74,39.54,37.17,37.79,38.41,40.62,41.59,41.13,40.75,40.57,41.25,41.38,41.71,41.51,40.88,41.03,41.04,40.52,40.69,40.11,39.3,39.84,39.48,39.68,40.47,40.37,40.73,39.77,40.45,41.23,40.8,41.43],"EWA^FG_PRICE(0,-200D)":[26.64,26.65,26.35,26.24,26.34,26.29,26.13,25.93,25.73,25.85,25.82,25.62,25.44,25.33,24.95,25.3,25.4,25.64,25.95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,24.65,24.67,24.55,24.52,24.51,24.51,24.0,23.96,23.48,23.61,23.42,23.36,23.29,22.77,22.35,22.81,20.82,20.85,21.15,23.25,23.89,23.71,23.44,23.47,23.75,23.71,23.81,23.7,23.43,23.53,23.65,23.43,23.87,23.5,23.02,23.31,23.32,23.42,23.89,24.02,24.41,23.92,23.95,23.99,24.07,24.44],"ENZL^FG_PRICE(0,-200D)":[46.35,46.2943,45.9504,46.0267,45.995,46.005,46.1656,45.8184,45.48,45.6257,45.47,44.6994,44.47,44.33,43.75,43.6663,44.2359,44.4932,44.845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,43.06,42.61,43.35,43.6,43.76,43.805,42.8238,43.095,43.38,43.5,43.03,42.68,43.1,42.39,41.79,41.36,39.48,39.39,40.13,42.72,42.67,42.39,42.08,42.05,42.6,42.48,42.41,41.83,41.82,41.75,42.29,41.95,42.77,42.45,41.91,42.34,42.39,42.75,42.985,42.72,42.94,42.25,42.18,42.37,42.37,42.96],"KSA^FG_PRICE(0,-200D)":[37.62,37.66,37.43,37.19,37.2,37.17,37.04,36.98,37.06,37.44,37.38,37.59,38.16,38.28,38.19,38.43,38.79,38.45,38.83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,40.01,40.43,40.74,40.85,41.16,41.05,40.37,40.41,39.9,40.19,40.04,40.24,40.01,39.58,39.34,40.2,38.17,38.75,38.98,40.61,41.52,41.34,41.37,41.07,41.39,40.87,40.28,40.49,40.34,40.35,40.38,40.59,41.13,40.48,40.02,40.06,39.95,40.04,40.39,40.27,40.75,40.64,41.07,41.13,41.17,41.63],"VNM^FG_PRICE(0,-200D)":[18.27,18.28,18.65,18.72,18.65,18.59,18.69,18.65,18.38,18.34,18.24,17.75,17.91,17.72,17.45,17.61,17.73,17.66,17.59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,12.11,12.07,12.05,11.95,12.01,12.0,11.62,11.64,11.51,11.73,11.5,11.74,11.93,11.87,11.31,11.46,10.13,11.16,11.64,11.4,12.7,12.56,12.48,12.38,12.56,12.49,12.69,12.7,12.54,12.4,12.6,12.62,12.76,12.66,12.44,12.58,12.41,12.24,12.4,12.2,11.95,11.97,12.04,12.04,11.965,11.89],"UAE^FG_PRICE(0,-200D)":[19.51,19.4401,19.38,19.08,19.22,19.05,18.85,18.53,18.4941,18.58,18.53,18.71,18.75,18.68,18.7582,18.87,18.85,18.93,19.17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,17.96,17.88,17.99,17.64,17.47,17.57,17.23,17.01,16.76,16.76,16.68,16.79,16.71,16.51,16.17,16.46,15.58,15.88,15.6,16.35,17.0,16.93,16.97,16.85,17.05,16.91,16.91,17.04,16.83,16.95,17.02,16.94,17.1,16.97,16.78,16.78,16.58,16.61,16.92,17.09,17.3,17.32,17.12,17.45,17.42,17.47],"TUR^FG_PRICE(0,-200D)":[34.82,34.73,34.66,34.42,33.84,33.55,33.87,34.1,34.03,33.5,33.59,33.54,33.76,33.78,33.58,33.66,33.3,33.08,32.8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,30.66,30.67,31.18,31.48,31.96,32.18,31.77,31.66,31.71,31.91,31.21,31.85,32.13,32.08,31.9,32.83,31.83,31.86,31.67,32.2,32.44,32.89,32.82,32.67,32.31,32.76,32.63,31.74,30.77,33.28,33.04,37.79,38.55,38.34,37.89,37.62,37.05,36.82,37.28,37.28,36.34,35.2,34.97,34.28,34.55,33.88],"SET-BKK^FG_PRICE(0,-200D)":[1253.54,1269.87,1261.39,1273.77,1274.82,1277.58,1276.57,1256.69,1252.71,1261.18,1268.78,1252.73,1254.4,1281.81,1272.17,1270.04,1280.07,1269.26,1287.44,1284.81,1300.47,1306.26,1302.91,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,1144.05,1134.71,1150.95,1141.28,1138.9,1128.66,1133.95,1088.18,1074.59,1125.21,1161.81,1172.69,1168.02,1158.09,1175.45,1187.9,1190.36,1184.93,1190.06,1186.61,1181.71,1189.66,1176.17,1170.2,1173.76,1159.64,1160.06,1187.63,1177.44,1202.03,1189.55,1206.96,1177.64,1188.41,1203.72,1215.73,1231.14,1206.39,1235.85,1246.21,1245.61,1262.27,1257.48,1256.48,1272.1,1284.11,1283.97],"QAT^FG_PRICE(0,-200D)":[19.315,19.1685,19.0414,18.9554,18.9304,18.9402,18.9302,18.775,18.71,18.88,18.885,18.77,18.85,18.68,18.615,18.955,18.815,18.89,19.285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,18.34,18.31,18.2,18.14,18.16,18.12,17.9,17.91,17.78,17.72,17.78,17.89,17.79,17.61,17.52,17.57,17.23,17.16,16.83,17.66,17.86,17.88,17.84,17.75,17.87,17.79,17.87,17.86,17.99,17.92,18.14,18.15,18.18,18.12,17.94,18.08,18.05,18.07,18.07,18.14,18.05,17.96,17.94,18.0,17.86,18.1],"MCHI^FG_PRICE(0,-200D)":[61.69,61.81,61.35,62.22,62.66,61.98,61.88,62.24,62.66,62.2,61.91,62.2,61.96,60.92,60.88,61.91,62.42,62.78,63.5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,51.59,51.66,51.68,51.85,51.91,51.97,51.66,50.9,49.39,49.29,49.16,50.17,50.56,49.68,47.98,48.06,45.22,46.0,50.0,53.67,54.16,54.55,54.4,54.57,55.81,55.0,55.0,55.61,55.65,56.69,58.31,58.36,58.65,57.37,55.77,55.63,55.83,54.79,56.5,56.53,56.22,53.6,52.81,53.58,54.91,55.4],"INDA^FG_PRICE(0,-200D)":[53.57,53.36,53.27,53.08,53.97,53.76,53.41,53.88,54.33,54.71,54.67,54.28,54.22,54.21,54.72,54.83,54.61,54.65,54.6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,53.54,53.57,53.54,53.29,52.85,53.74,53.18,53.5,53.0,52.26,51.13,51.13,51.03,50.76,50.52,51.22,49.16,49.13,49.19,51.18,51.56,51.05,51.48,51.28,51.79,51.4,52.04,52.12,51.47,50.76,50.61,49.88,49.44,48.91,48.51,48.73,48.66,48.36,49.08,48.94,48.93,47.85,47.8,48.1,48.55,49.02],"GREK^FG_PRICE(0,-200D)":[67.67,66.77,65.8,66.97,66.45,66.3,66.37,66.64,66.28,65.32,66.15,65.48,63.99,64.64,62.76,63.34,63.2,64.5,65.0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,49.3,49.52,49.99,49.71,49.52,49.95,49.35,49.05,47.02,47.34,47.35,47.415,46.92,45.92,44.76,44.85,42.65,40.77,43.59,47.32,48.1,47.63,46.97,48.4701,48.9,48.42,48.48,48.31,46.99,47.865,48.03,48.1505,48.59,47.95,46.83,46.85,45.64,44.77,45.53,44.85,45.28,43.36,43.25,42.58,42.0296,42.4371],"EZA^FG_PRICE(0,-200D)":[69.5,68.18,66.91,66.39,67.88,67.05,66.92,66.5,67.45,66.74,67.83,66.3,65.89,64.86,64.93,66.57,66.16,66.13,66.99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,49.27,49.52,49.14,49.09,48.38,47.96,47.55,48.16,47.6,47.9,47.43,47.1,47.22,45.62,43.94,44.27,40.54,40.77,41.29,44.88,46.65,48.1,48.13,47.6,48.21,48.16,47.93,47.71,47.6,48.03,48.77,47.69,47.74,47.0,45.86,45.97,46.31,45.77,46.84,46.57,46.39,45.07,44.54,44.4,45.21,46.1],"EWZ^FG_PRICE(0,-200D)":[33.16,32.77,32.74,32.75,32.53,34.72,34.2,34.03,33.4,33.61,33.47,32.55,32.2,32.03,31.9,32.49,32.71,32.78,33.18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,26.88,27.04,27.36,27.21,26.94,26.74,26.31,25.86,25.2,25.22,24.79,24.86,25.01,24.69,24.19,24.71,23.44,23.95,24.5,26.33,26.14,26.14,25.85,25.96,26.33,26.3,26.42,26.19,26.57,26.58,26.94,26.57,26.45,25.84,24.8,24.48,24.38,24.3,24.82,24.57,24.58,23.91,24.14,24.11,24.71,24.88],"EWY^FG_PRICE(0,-200D)":[94.96,96.75,95.57,95.07,94.3,91.87,93.0,92.07,90.62,90.87,91.55,89.79,90.3,89.22,88.53,90.56,91.59,93.02,94.13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,55.6,56.19,56.1,55.65,55.81,55.95,55.6,54.81,54.39,54.31,54.06,54.38,54.35,54.31,51.82,53.28,48.92,50.78,51.25,53.14,54.63,54.85,54.04,54.79,56.49,56.81,57.07,57.31,56.86,56.73,57.24,56.97,57.86,56.14,55.22,55.95,54.69,54.09,55.68,54.94,56.05,54.57,54.32,54.67,55.95,57.81],"EWW^FG_PRICE(0,-200D)":[71.06,69.04,69.27,68.64,68.68,68.82,68.43,68.71,68.46,68.42,67.88,67.75,66.55,66.04,66.02,66.77,66.67,65.87,67.22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,56.67,56.97,56.42,58.12,57.94,57.34,56.51,55.51,54.34,54.93,53.02,52.19,51.91,50.68,50.3,51.86,48.06,48.52,49.92,54.26,52.16,52.05,50.96,51.62,52.15,52.01,52.59,52.04,51.7,52.26,52.42,52.41,53.28,52.36,51.19,50.98,50.25,50.16,51.53,51.45,51.03,50.02,49.85,50.52,50.59,51.49],"EWT^FG_PRICE(0,-200D)":[65.92,66.8,65.72,65.57,65.35,64.51,64.85,64.63,64.13,64.51,63.66,62.8,62.51,61.8,61.68,62.5,62.67,63.16,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,47.82,47.48,47.15,46.47,46.34,46.18,45.5,44.33,44.22,44.88,44.99,46.05,45.77,45.62,43.32,44.79,40.95,42.03,43.82,46.05,48.48,48.2,47.48,47.82,49.2,49.51,50.46,50.38,50.22,50.28,50.14,50.2,50.71,50.27,49.63,50.67,49.98,49.89,51.23,50.79,52.07,51.04,50.25,50.81,50.83,53.08],"EWM^FG_PRICE(0,-200D)":[26.87,26.52,26.37,26.32,26.64,26.59,26.73,26.67,26.6,26.43,26.64,26.49,26.47,26.29,26.05,26.33,26.16,26.23,26.45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,24.12,24.17,23.7,23.71,23.43,23.43,23.07,22.91,23.04,22.77,22.44,22.63,22.65,22.46,22.05,22.14,21.2,21.75,21.91,23.01,23.32,23.03,23.08,23.0,23.55,23.21,23.17,23.0,23.15,22.94,23.32,23.39,23.44,23.21,22.91,22.53,23.1,23.12,23.29,23.42,23.73,23.23,23.4,23.67,23.76,24.16],"EPU^FG_PRICE(0,-200D)":[69.68,68.29,67.48,66.53,67.03,67.0,66.03,64.67,64.57,64.47,63.1,61.56,61.02,59.64,59.5,61.25,60.32,61.1636,62.34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,43.74,44.33,44.8,44.6021,44.4285,44.55,43.98,43.836,43.48,43.2,43.3511,43.15,43.14,42.085,40.8059,41.46,38.53,39.07,40.05,43.42,44.85,44.57,43.89,44.2008,44.86,44.4931,45.2331,44.6,44.66,44.5894,44.48,44.2814,44.12,43.37,42.25,41.7471,41.1012,40.6935,41.5776,41.46,41.4694,40.4409,40.5245,40.9415,40.6676,41.4594],"EPOL^FG_PRICE(0,-200D)":[35.27,34.88,34.25,33.51,33.44,33.53,33.61,33.65,33.9,34.07,34.07,33.73,32.94,33.04,32.56,33.29,32.87,33.39,34.16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,29.45,29.48,30.3,30.3,30.04,30.19,29.43,29.25,28.63,28.29,27.74,27.58,27.59,27.25,26.93,27.69,24.7,24.54,25.14,27.51,28.79,28.28,28.01,28.43,28.69,28.42,29.11,28.56,28.13,28.35,28.79,29.15,29.01,28.5,27.58,27.17,26.88,26.44,27.42,26.86,26.92,25.51,25.68,25.28,25.55,26.18],"EPHE^FG_PRICE(0,-200D)":[25.02,24.73,24.67,24.58,24.73,24.2,24.68,25.06,25.24,25.21,25.02,25.0,24.97,25.06,24.37,24.23,24.02,23.95,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,26.86,26.89,26.41,26.18,26.26,25.96,25.59,25.55,25.17,25.3019,25.25,25.4141,25.19,24.96,24.18,25.16,24.13,24.14,23.83,25.04,25.56,25.26,25.3,24.98,25.1,25.022,25.2,25.43,25.79,25.91,25.87,25.67,26.0,25.785,25.38,25.08,25.07,25.47,25.36,25.14,24.71,24.25,24.05,24.0,24.3,24.46],"EIDO^FG_PRICE(0,-200D)":[18.68,18.86,18.68,18.87,18.82,18.79,18.83,18.92,18.79,18.67,18.87,18.73,18.78,18.37,18.33,18.48,18.26,18.38,18.38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,17.3,17.31,17.1,16.93,16.77,16.76,16.61,16.36,16.03,16.13,15.93,16.14,16.09,15.87,15.45,15.56,14.36,15.15,15.09,15.88,16.33,16.25,16.3,16.37,16.42,16.31,15.72,15.34,15.62,15.91,15.95,15.74,16.62,16.57,16.73,16.87,16.46,16.69,17.1,17.12,17.05,16.46,16.66,15.96,16.41,16.98],"ECH^FG_PRICE(0,-200D)":[39.28,38.75,38.34,38.24,38.18,38.51,38.62,38.29,37.69,37.86,37.61,37.27,36.61,36.34,36.59,37.11,36.83,37.31,36.37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,31.07,31.13,31.44,31.24,31.67,31.7,31.19,30.91,30.05,29.95,29.43,29.35,29.13,28.39,27.51,28.24,26.5,27.09,28.19,30.07,29.91,30.2,29.82,29.76,30.17,30.27,30.76,30.41,30.3,30.52,30.94,30.9,30.71,30.06,29.76,29.34,29.39,29.16,29.77,29.69,29.39,28.9,28.36,28.62,28.74,28.89],"CNYA^FG_PRICE(0,-200D)":[34.09,34.34,34.225,34.36,34.21,33.74,33.76,33.81,34.25,33.95,33.59,33.51,33.11,33.06,33.46,33.88,33.93,33.89,34.19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,26.92,27.06,27.14,27.14,27.25,27.29,27.2,27.16,27.04,26.82,26.92,26.7,26.96,27.09,26.64,26.4,24.95,24.71,26.56,27.65,27.91,27.92,28.03,28.08,28.34,28.16,28.33,28.3,28.17,28.46,28.96,29.02,29.2,29.34,28.34,28.435,28.51,28.09,28.45,28.625,28.38,27.97,27.77,27.96,28.41,28.5],"CNYA^JULIAN(FG_PRICE(0,-200D).DATES)":[46002,46001,46000,45999,45996,45995,45994,45993,45992,45989,45987,45986,45985,45982,45981,45980,45979,45978,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,45768,45764,45763,45762,45761,45758,45757,45756,45755,45754,45751,45750,45749,45748,45747,45744,45743,45742,45741,45740,45737,45736,45735,45734,45733,45730,45729,45728,45727,45726,45723,45722,45721,45720,45719,45716,45715,45714],"EWI^FG_TOTAL_RETURNC(-5AY,0,AM)":[7.4019194,4.3350577,2.3309946,2.6358604,0.47558546,2.0195723,5.539775,-4.4497194,4.408574,-3.95481,-1.2074292,6.1422706,-3.8086712,3.8832307,-3.7159085,-16.433239,8.156431,-8.4022045,-2.1227717,-7.957244,8.3871,-5.4761944,-9.739715,27.255821,0.0,8.181572,3.8408756,-2.1136105,5.026984,0.54609776,-1.0159552,5.291009,0.3140688,-1.0644972,-2.8797448,1.4988542,7.1910143,2.3230553,0.5927563,7.896292,-0.3823042,4.6875,-1.7899752,2.3224115,-5.0467253,6.4679384,1.2414217,-3.0002654,1.0220528,-1.3331175,8.9589,6.2861443,-4.116398,13.027393,4.627812,1.8676758,4.167533,3.2206416,-2.4999917,6.8376064,0.37209988],"EWD^FG_TOTAL_RETURNC(-5AY,0,AM)":[2.94348,5.005729,3.3988833,5.9168816,4.389274,0.08494854,4.608476,-1.888752,2.89824,-2.0764768,-6.7184567,9.047937,-4.4169245,1.629591,-10.365987,-12.004889,6.112802,-12.463993,2.648306,-9.355318,12.173343,-9.171337,-13.051945,27.408504,-0.6154716,3.9824247,-0.34227967,-4.092729,5.849004,2.3118138,-2.7555823,-0.68008304,-2.8530657,-2.5550604,1.7179012,-2.4000049,14.51124,2.523756,-0.2649784,7.8374147,-2.5375664,3.2608628,1.7605901,-0.17110705,-4.627812,3.4403086,3.499627,-4.1726646,-1.4514446,-4.621637,13.20554,3.1984925,-8.135825,10.096752,3.4249663,1.5148282,-0.7461071,4.6429396,-0.8662641,3.3248067,2.4546146],"EWN^FG_TOTAL_RETURNC(-5AY,0,AM)":[5.3890586,6.232941,7.0435762,-0.2860844,5.8927298,-0.6461084,5.033362,-3.1162083,5.8933377,3.5077453,-7.251036,7.1851373,-6.0940742,-0.034826994,-8.348608,-14.419013,4.8805833,-11.509907,3.491187,-7.256299,12.488926,-8.2939625,-14.081276,25.749493,3.0463576,6.5703154,0.9466052,-4.376054,6.1855674,-0.6393552,1.0601163,2.6111722,-0.4647851,-6.5374794,-3.4723938,3.80435,7.6788783,1.6875982,8.648777,2.34375,2.145648,2.302575,1.7071247,1.9827247,-7.949954,2.133,2.4979591,-8.389932,1.5918016,-3.3109426,5.7322025,1.2494683,-4.1832266,10.870993,7.0486307,1.4094949,-3.749311,3.990829,4.0029407,3.6899686,1.3110876],"EWQ^FG_TOTAL_RETURNC(-5AY,0,AM)":[4.28077,2.8306723,0.265491,4.1776896,2.0050764,3.7929177,5.5134177,-3.093046,3.5083175,-1.5545368,-3.339374,6.8291306,-2.2060692,3.793776,-5.1776648,-12.981802,5.1676393,-7.3413253,1.714766,-7.188499,11.600685,-6.7242384,-10.515875,21.61863,2.218175,6.536269,1.9602418,-0.8239448,6.286347,1.4330387,-3.1742096,3.0919433,0.57879686,-2.7988493,-3.794402,0.0,7.3286653,0.46768188,1.4360309,5.585587,-1.633352,4.0892243,-4.084289,-0.9905994,-3.5146177,3.3235788,1.235199,-5.0076303,-0.9098232,-2.3263752,9.164333,4.848182,-5.159402,6.954062,3.430903,2.6641846,-2.148801,2.7863026,-0.551337,3.2801986,0.64862967],"SPY^FG_TOTAL_RETURNC(-5AY,0,AM)":[2.6999712,3.8249373,3.1741023,0.72176456,4.906857,0.6610155,2.4383783,2.9822946,1.896584,0.3740549,-2.0976067,6.6898227,1.5028954,0.1447916,-6.235236,-4.6292486,5.047226,-10.7224045,-0.75111985,-1.0040879,9.306919,-3.188169,-11.652433,11.396551,-1.312393,1.0370016,3.1654596,-5.423486,6.579888,0.5882025,4.3117404,3.305316,0.72096586,0.6283045,-2.357453,0.9832144,4.8523664,3.5270452,5.2167535,2.011168,1.6312957,0.54826736,3.0930758,3.9720058,-4.221177,4.0207148,4.859197,3.3092856,1.4530063,-4.122072,4.2757034,-8.159458,-3.6650538,5.693531,6.5598726,4.008925,1.9723535,3.4139514,-0.42703748,4.590976,0.903368],"QQQ^FG_TOTAL_RETURNC(-5AY,0,AM)":[4.1724205,4.353595,6.411803,-4.943502,6.1273932,-3.5003364,4.8968673,5.915487,1.4403939,2.8344393,-4.725128,8.984625,1.8996954,-2.937609,-10.046137,-6.5291286,5.2134156,-14.388811,-1.0279596,0.25701523,12.122881,-5.2425327,-14.286322,9.594667,-2.0558357,-1.3528764,7.9805493,-3.7203968,9.62311,3.2834172,8.675659,3.9987922,-0.52422285,2.929771,-1.3830304,1.9314766,4.527068,3.756559,6.76682,0.07779598,1.9579291,-0.74320436,5.8725,5.2776337,-8.44022,4.042983,5.42686,4.1511297,3.129375,-4.136544,4.101026,-10.680121,-3.5066068,7.387769,9.107113,4.2084575,3.3652067,1.9603848,1.0442615,5.4401994,0.64513683],"EWU^FG_TOTAL_RETURNC(-5AY,0,AM)":[3.1974792,5.726075,-1.9218266,5.114579,1.4533997,4.048586,2.694106,-1.6893983,1.5676856,-2.8198183,0.12216568,2.3184896,-1.4311254,6.327176,0.7307768,-8.589667,7.4285746,-9.249413,2.399683,-5.60233,6.6895366,-5.7234764,-11.493855,15.105974,5.490458,3.0746102,1.1562467,-2.4714231,5.0047517,0.4524827,-1.5473723,-1.243782,2.3299694,-1.5384614,0.5312443,-3.5125792,4.896903,2.5849342,-1.2251198,3.5348772999999998,2.0964384,6.042826,-1.6235948,2.5802732,-1.0620356,3.4745693,-0.21840334,-3.44733,1.926887,-4.9402714,8.868313,1.3713717,-3.7608206,7.6468945,5.5366874,0.80963373,1.8036127,3.81397,-1.090306,4.6010137,0.0],"EWL^FG_TOTAL_RETURNC(-5AY,0,AM)":[2.2791266,3.9366722,0.3538251,-2.6002645,4.5701385,0.8005142,8.511686,-0.72522163,2.2524357,-1.9845188,-4.2113724,7.2711825,0.9655237,0.33177137,-5.3686023,-7.173693,10.540295,-13.541662,-2.759111,0.1701951,6.2864065,-4.841292,-11.231094,17.085695,-1.223743,3.5296917,0.09031296,-3.3386052,8.238041,4.3984413,-3.5620213,0.26276112,1.5505552,-2.5591373,-1.5007734,-3.495407,7.0582747,3.4265876,-2.746904,4.484689,-4.416013,3.4974098,3.2690644,1.670444,0.95335245,1.8886805,1.498723,-5.4983497,-1.9942462,-2.643168,7.843137,3.6363602,-1.5808761,4.9559355,3.4527779,0.5610585,-2.742231,5.4887176,-0.035637617,2.7985692,1.4218926],"EWJ^FG_TOTAL_RETURNC(-5AY,0,AM)":[3.9073467,4.486692,3.5984874,-4.317254,2.3956418,-2.7558446,2.414143,-0.65330863,0.3361106,6.0442686,-6.3864765,1.3497591,-0.94094276,-0.74530244,-4.580039,-8.474046,-0.068330765,-6.71795,1.3854146,-3.285271,6.2275887,-5.720377,-7.480687,11.894094,0.5824566,0.11343956,5.2898526,-2.3055732,1.9373059,3.5072565,4.5889735,-0.6428838,-0.7279217,1.5479922,-3.4338892,0.48189163,4.415405,5.681741,1.2613893,4.45745,0.56034327,-2.914703,0.910449,4.334414,-7.942539,6.409657,2.142048,-2.0408213,2.1120667,-6.7636786,5.3648114,-0.6982744,-3.574574,9.404445,2.3052335,-0.9844005,7.5041413,4.5378566,-3.6399424,6.878507,0.56118965],"EWG^FG_TOTAL_RETURNC(-5AY,0,AM)":[3.206408,6.077087,1.6064286,1.1857748,3.9663434,0.23121834,4.455662,-1.965189,-0.114536285,-1.1467934,-5.7424603,4.8615456,-4.107988,2.6553154,-5.0811768,-15.394365,2.358675,-7.681054,1.4173985,-11.35723,8.995914,-6.5443935,-11.864406,25.657892,1.7317772,8.151924,1.6843677,-1.6924798,4.9450517,1.082027,-1.511538,1.5489936,-0.28378963,-2.3834944,-3.6807597,-0.34052134,10.250568,0.521791,0.27406216,6.012988,-0.5800843,4.31118,-2.0867705,2.21138,-4.040724,5.4708242,4.3382525,-2.8622985,2.9156327,-3.4659505,10.5214,6.610167,-3.6301076,12.097883,3.2867312,2.4723768,-1.201421,-1.3113976,0.31409264,-0.69845915,2.8134823],"EWC^FG_TOTAL_RETURNC(-5AY,0,AM)":[7.932687,2.3790598,3.1780958,4.574561,2.274716,4.3341875,3.9977908,-1.4807045,1.476121,-1.5075386,0.9935498,4.918897,-3.6239266,3.5051465,-0.05146861,-0.82389116,2.7258515,-11.068994,3.7228465,-8.170021,7.8749537,-2.7862906,-12.754369,15.111696,-3.3961236,2.6560307,3.6204457,-7.382369,6.1454177,0.14330149,-1.4152884,1.0264039,1.4804006,-1.6876459,-2.065754,-1.0992229,5.5271864,4.62296,0.22063255,3.7974715,0.10603666,1.1387706,-2.4894297,4.039037,-1.4330387,5.8683515,3.8701653,0.649035,2.1256208,-5.151725,5.122435,-6.156409,0.9878397,7.4742913,6.5577626,1.7048001,2.4929523,5.583751,-0.120186806,2.3666263,5.9561133],"EWA^FG_TOTAL_RETURNC(-5AY,0,AM)":[6.35916,3.6936045,2.7846098,0.35856962,1.3100386,4.2319775,2.8803945,-3.2234132,1.4931083,-2.6782393,-1.2015462,1.3730884,-2.3219824,1.591289,-4.365402,3.0431032,7.7112436,-11.500382,-0.58938265,-7.2832823,11.036146,-2.9947937,-12.214762,16.207945,1.622808,2.697444,3.4674644,-7.9437313,4.494381,-1.1612952,-0.8588135,-0.2683401,-0.22421479,-0.89887977,-1.4512479,-1.6106784,6.6884995,5.8635473,-0.042265654,3.2135367,-0.24579763,0.5338788,0.1578331,5.0311923,-3.840059,5.4343343,3.4752011,-2.150941,-1.1569679,-5.541033,5.165899,-6.869012,-2.3584902,9.837508,6.3574553,0.6069541,1.1001468,2.8517842,-3.538853,0.7186055,0.037550926],"ENZL^FG_TOTAL_RETURNC(-5AY,0,AM)":[3.908646,2.0949244,-3.032732,-4.273123,-0.6613076,1.8227935,-2.519226,-0.12891293,-0.46789646,2.7232885,-3.0298233,1.0740399,-5.0635996,-0.54324865,-7.323408,0.6538391,-0.519681,-13.264918,-0.56984425,-2.4053931,11.594522,-3.7781298,-15.350884,13.200104,8.06452,0.91047287,3.5147667,-7.217699,3.7222862,1.8749952,-4.840165,2.9875398,-3.9363682,-5.5626335,1.2589931,-2.975136,6.6132665,4.8198223,-2.6964903,-1.1707783,-1.4237642,-0.15435219,1.2781024,1.5601039,0.129807,6.2662125,0.52866936,-3.3735871,-2.9196918,-3.8131356,2.1119952,-5.694586,0.0,6.558144,1.3061762,0.9468436,0.06556511,3.1338692,-3.0068755,-0.28381348,1.4778256],"KSA^FG_TOTAL_RETURNC(-5AY,0,AM)":[1.9268394,2.2657156,0.7228136,7.363498,5.6669593,2.722764,4.726565,0.85161924,5.7574153,0.7984519,1.7042756,3.7762642,-9.5747175,10.234558,3.1709552,3.830731,7.1428657,-2.982986,-7.494384,-7.5730324,10.162902,-4.811299,-2.643168,-0.23815632,-10.408211,3.4704804,-2.8630912,0.21436214,6.149733,3.3249378,1.8781304,1.8886209,-3.5408795,-0.78837276,-7.673204,4.2495966,5.1083684,6.0779095,1.4302373,2.2884965,1.6497135,-4.6687365,-3.4007668,0.5145788,-1.0970294,1.4542818,1.6763806,0.7885337,0.6401181,-1.9248366,3.6239028,-5.6001844,-0.92615485,-0.101065636,-2.7314186,2.8268218,-3.7541747,-1.6831458,8.179355,-1.0550141,-4.4935284],"VNM^FG_TOTAL_RETURNC(-5AY,0,AM)":[7.4311376,10.834753,-3.13344,0.3346324,3.390777,2.2580624,5.152464,-0.34999847,0.10035038,0.4009962,-1.947087,4.887986,0.3883481,2.347207,-6.8376007,-5.555558,0.86346865,-13.911181,-2.7346194,-9.392965,8.815229,-2.4627328,-20.066446,-6.816292,14.629793,-0.94600916,-5.2339373,-2.4267793,5.4030895,0.69161654,6.2626243,4.258561,10.685635,0.5601287,-10.550463,-3.4432173,3.4142613,-0.12976527,1.2006164,1.7987013,0.526309,-6.0583353,0.7165551,-1.6600788,-4.8231483,4.983115,1.7699003,-5.770749,-0.08389354,-6.549114,1.886797,9.435617,-4.35133,5.2232504,6.64531,14.264274,13.469124,4.4006944,5.268991,-10.800838,7.9149485],"UAE^FG_TOTAL_RETURNC(-5AY,0,AM)":[11.9238615,4.411888,3.3778548,0.30394793,0.37878752,3.4716964,9.625948,-3.030306,2.5568128,5.2631617,-4.2763114,10.137451,7.956314,-4.636735,4.9907684,6.4553857,6.670344,-9.250652,-5.42022,-6.2192144,10.702562,-8.362997,-2.5242686,6.7728996,-6.0945272,-1.6401529,1.9399524,-4.4183373,-0.3462553,3.544128,-1.5527666,3.9215684,2.7628064,-1.5081942,-1.0652542,-0.60564876,-2.6404917,6.6026807,-4.462904,-0.6893337,3.3910036,-2.744311,-4.1460695,3.8805962,3.9511561,3.662753,-1.5999973,3.7262917,0.84911585,7.765889,6.25751,-6.115514,-0.42219162,9.933365,3.1404972,6.1003327,4.528892,-5.328685,-0.05260706,3.6315799,-0.91416836],"TUR^FG_TOTAL_RETURNC(-5AY,0,AM)":[7.40242,15.53998,6.7101955,-5.064583,-16.57716,2.660942,1.1660218,-8.468085,2.6499271,3.35145,-7.0990324,5.377352,-10.966879,1.4565825,0.4479885,-9.0188265,23.692799,-4.6675444,-7.992065,-6.2467756,14.647579,20.365036,-1.75578,22.014618,12.849533,-3.91832,-9.44153,24.87223,-5.67531,-3.2976568,-6.1024547,1.6501665,16.850662,6.751871,-0.10410547,-9.718603,-1.5007198,-0.47976375,12.079727,-3.7164807,7.140887,6.3046813,-2.0706892,8.408415,-11.980605,-6.163132,-5.925095,3.5353541,8.034444,-3.818655,-2.1901906,5.0170064,-13.414299,-2.0885348,2.2285938,4.873395,5.049145,-7.245845,1.6089082,0.030446053,5.9969544],"SET-BKK^FG_TOTAL_RETURNC(-5AY,0,AM)":[10.207832,3.6299348,-1.8314481,4.4273615,-0.55805445,0.8037925,3.649938,-5.1614404,-1.2486398,6.6966414,-0.1167953,-0.06121993,-0.8704722,3.0212045,1.9242764,-2.4240792,1.2333989,-3.8797438,1.1950374,-4.607314,4.164636,1.9947529,-5.5565596,4.774487,-0.8648455,3.8579822,-1.2564182,-3.9000988,-0.15941262,-1.8596172,-0.78410506,-3.7392855,2.5518417,0.3764987,-5.512863,-4.5618477,-0.61745644,1.9732237,-1.410979,-0.5863011,1.1700988,-1.7531037,-4.067355,1.0082841,-2.4297237,9.123648,3.863895,-0.92715025,-0.9213984,-5.2014885,-6.141859,-7.503289,-4.9653473,7.2900534,-5.72778,-1.7913699,12.30365,2.3001194,-0.08152127,1.0481954,-3.6086917],"QAT^FG_TOTAL_RETURNC(-5AY,0,AM)":[3.0555844,3.0761123,-2.6687622,-0.349468,2.346909,3.4001112,-0.7863343,1.1209965,0.8311629,1.4940858,5.004561,2.5336027,-3.5360694,2.7965188,10.91243,2.1496177,7.954538,-7.9142275,-4.69026,-5.238968,12.7061,-5.518502,-2.493453,3.6730528,-11.156768,-1.2514234,-7.9116344,3.7650585,-1.2439132,5.914569,-2.7903438,-2.1558821,4.2372823,-2.0596266,-4.759276,-0.058096647,-2.2093058,5.7075024,-3.7120342,4.6144843,-1.8425465,-2.1615446,-0.2312541,5.6741953,0.8083105,1.2027502,3.9049268,0.21785498,-1.0869503,-1.8104136,2.3308635,0.27776957,-2.437663,6.132877,1.4446139,1.1622071,6.9652915,-2.2690713,-1.7875373,2.1731615,-1.6943216],"MCHI^FG_TOTAL_RETURNC(-5AY,0,AM)":[-0.100404024,5.870521,15.401173,-9.916073,-6.3952208,-2.98599,3.428495,-4.602355,-6.406796,-1.182133,-3.9783,2.3468137,-6.7232847,-2.468294,-2.4764836,-21.086472,5.784118,-10.66615,15.867996,-0.7483661,-6.0508966,-2.9695034,-15.963608,5.4872036,13.69257,11.205125,-3.950572,-8.908379,6.0560703,-4.3180046,-3.15547,-0.3956914,1.1697173,-2.6832461,-0.80699325,-3.954804,-4.04706,-2.1958947,-3.2390773,5.765152,1.833713,11.445486,-3.7393868,0.62355995,-4.7280254,-1.7586112,29.082882,-6.02203,-1.2735009,-8.81483,15.625715,10.466957,-11.015588,7.1859956,4.901409,-0.6713569,5.2229285,11.051536,-4.391837,5.1148415,-4.401052],"INDA^FG_TOTAL_RETURNC(-5AY,0,AM)":[6.40707,7.6669455,3.7394404,1.8372059,-4.795623,1.7270327,6.700611,-1.9464672,3.2934785,7.6435924,-0.34490228,2.1376252,-3.2888114,5.7098627,-8.284884,-4.709077,8.149206,-10.786468,-0.886482,-0.4223585,7.9341173,1.1789203,-7.7450275,9.039127,-2.8389752,-1.3791502,-4.384923,-2.4789274,1.8556118,3.4689307,1.7599106,4.417002,-0.79600215,4.2182446,-1.7157912,-0.42524338,6.9004297,3.4272432,3.1103969,2.3265004,0.8670449,-1.872015,5.625856,4.847038,-1.9335508,2.3929,0.11378527,-4.633671,2.1635532,-7.4214277,-2.0894349,-2.9517353,4.3156624,3.2111883,5.6117654,-0.8133054,-4.755831,1.8557549,-0.88279843,3.733182,-2.1373808],"GREK^FG_TOTAL_RETURNC(-5AY,0,AM)":[23.196877,2.458012,-5.103451,10.382056,5.1918745,2.6108742,4.5660496,-7.9000053,0.97720623,2.078855,-3.160113,2.320516,-3.2601,5.5166006,4.0439844,-16.808731,11.47542,-8.272058,0.7214308,-13.388729,15.318298,-5.734235,-7.881361,19.457222,2.156341,8.747101,11.059737,-3.7143767,4.5892954,2.5437236,10.759699,8.528412,-2.464974,-6.8635345,-5.7412148,5.9393883,3.6899328,9.175134,4.1505575,-1.5841663,1.15695,4.82347,-2.2533238,1.3301969,-2.7864516,2.7827978,-0.31397343,-3.0241907,1.6870737,1.2369752,3.7734985,10.809779,0.6134987,11.167908,10.718668,9.545839,7.689786,-2.2228956,1.915288,-2.7807415,6.349206],"EZA^FG_TOTAL_RETURNC(-5AY,0,AM)":[2.6186585,2.0541668,13.162792,3.6580324,-1.4076114,3.9010644,2.1316886,-6.5404534,-0.3683269,-2.8137147,0.9932399,0.81607103,-5.66625,8.812904,4.5556664,2.3642063,4.714644,-19.795847,1.5188575,-5.4016886,9.073317,-9.050578,-9.68293,18.417501,-1.6647637,9.085965,-6.842226,-6.047267,4.1430354,-7.3644342,5.4281116,-1.5786886,1.9799471,-3.5881042,0.050985813,-1.4267564,1.6800284,1.1966228,-2.4669409,2.1381974,3.9060593,4.496312,-4.6871424,12.102234,-1.3187289,3.6919475,9.3490715,-4.754299,3.9429545,-12.582702,11.013853,1.4235735,-1.4899671,11.003947,6.793058,-0.87831616,6.379771,7.4520946,4.5574665,5.0694823,4.4641495],"EWZ^FG_TOTAL_RETURNC(-5AY,0,AM)":[16.902733,-1.2179911,-1.2359262,-6.36819,-0.32669306,14.153755,6.805086,-4.168737,-2.8482616,-7.782519,-7.1387234,-2.0852864,-2.4793327,-1.8338442,16.184353,2.613771,12.67606,-18.430847,4.283929,-13.363904,16.635155,2.0745516,0.5398512,-3.2217324,-2.2845924,5.9755087,-4.681134,-3.8434148,6.587708,2.6388884,9.525072,0.31645298,-0.41009784,-0.7602155,-1.883179,5.400133,4.197526,4.84215,-3.6006987,-2.4597645,-0.93399286,-0.6599605,-9.00234,3.9497375,0.7944703,0.06854534,-3.0137002,-2.153957,-4.3305635,-10.515404,13.66241,-5.4672422,1.271534,11.624134,2.3947716,-0.6697595,0.39955378,8.719242,-4.193008,16.325115,-0.98537207],"EWY^FG_TOTAL_RETURNC(-5AY,0,AM)":[13.680863,16.631233,-1.4884651,-5.5650177,2.8845072,0.9089947,0.5426526,-2.6230574,-2.017516,-5.407852,-6.960887,1.105547,2.657342,-1.0371447,-6.801331,-7.9423904,1.8924117,-6.9903493,-0.7389903,-10.296213,8.281827,-8.92042,-12.94539,24.907446,-4.4294415,7.2474837,1.5769839,-7.5384083,7.356763,-3.160268,11.0223055,-3.4943044,-1.9114196,-0.5386591,-5.1290154,1.2424469,3.9966822,0.68478584,3.4779787,4.0207386,-1.9779623,-0.06161332,-1.6954362,7.9491973,-9.629625,-0.9000361,2.8057098,-7.919228,-4.9169064,-1.2307644,2.8961062,-0.69003105,-0.69482327,6.2235236,16.120647,8.314669,0.6477356,6.6137195,3.6732554,18.05005,-0.3463149],"EWW^FG_TOTAL_RETURNC(-5AY,0,AM)":[8.239496,6.4959645,-5.165058,4.262376,2.4983048,4.254377,5.68887,-3.0198634,3.0512094,1.41958,-4.199159,1.5863061,-1.2122393,6.56327,-0.39588213,-2.3251176,8.321465,-9.936142,0.3904581,-4.682559,5.7756186,-2.3849368,-2.4432063,17.772411,-3.8985252,10.307825,1.1133075,1.1898398,4.369962,4.6073556,1.8899441,0.44500828,-1.8196225,-2.9492319,-6.2437773,4.5164704,8.354521,4.8624873,2.105105,-2.3435235,4.2983055,-0.29124618,-16.597557,6.869149,-8.046925,-6.325245,5.639744,-6.464505,1.0289311,-6.530857,8.782351,-2.0085752,0.85572004,14.680349,5.918789,-0.5540967,2.3449183,6.7760825,-2.0088255,7.687521,2.4805307],"EWT^FG_TOTAL_RETURNC(-5AY,0,AM)":[8.654046,10.266388,5.077851,-0.5556464,3.1154752,-0.55829287,4.887712,1.4798522,-1.0394037,2.1476746,-6.2001286,6.1027527,3.114891,3.0756712,-2.7131796,-7.4471354,-2.8642416,-9.442639,3.2749772,-11.773282,8.118153,-5.426061,-14.929295,14.200902,2.91121,2.4955273,4.467201,-3.1403124,3.9549232,-3.7602305,9.400141,-1.449579,-2.3875475,-1.0482609,1.2580037,0.7846594,5.6444526,1.5343189,6.1136365,3.5339475,2.027309,0.28386116,4.164982,10.326088,-9.429979,1.0100961,5.942309,-0.5990207,-0.5843699,-2.9915333,2.698481,-4.836255,-8.723492,13.437092,7.8840613,4.424143,3.396225,4.080963,-1.7851472,6.1181426,0.8105159],"EWM^FG_TOTAL_RETURNC(-5AY,0,AM)":[8.443475,-4.5362234,-0.6383002,0.24981499,-1.6731918,-1.2672007,0.19937754,-5.3227606,-1.4752805,6.191826,0.03811121,-3.1619072,-3.068453,6.179309,-0.7895827,-0.31834245,2.9940128,-7.984495,-3.328377,-4.401958,5.488372,-1.7195761,-10.049355,8.179558,4.7026157,2.701962,-0.47619343,-7.0465384,4.726243,-2.368182,-6.0655,0.2976179,5.5885315,-1.030451,-1.2777984,0.8149624,0.2853036,3.0221105,-1.311481,4.0341735,-0.5474508,4.2201877,1.2439728,2.3409963,3.0642986,6.867683,1.4890194,-4.9034777,0.8526206,-3.0038953,1.3953447,-3.669721,-2.770567,8.860207,0.0,0.5772233,2.1594763,2.9674768,0.0,5.724442,0.33607483],"EPU^FG_TOTAL_RETURNC(-5AY,0,AM)":[11.510563,6.91185,3.5326838,-0.9940982,-1.6485691,-3.704214,-10.71403,-5.825239,-9.518904,3.9878488,2.1913767,7.8984976,-4.9685297,15.897751,4.279554,8.709776,-2.3628414,-21.168291,7.0196033,-15.589744,9.842038,-3.7241876,-2.5660694,16.194963,0.27064085,7.114053,-4.583335,-2.082634,6.6209316,-1.2548268,1.4361382,3.086245,4.5804143,-4.1793766,-6.010503,-0.9216845,4.8232555,12.096251,-0.40191412,11.426926,9.008288,4.578221,-2.8093219,4.9244404,-7.147908,-0.7367909,12.234449,-2.3945272,3.328514,-6.5525236,3.0961037,-0.48208237,2.3936033,7.711303,6.8600893,2.698195,4.712057,12.548769,5.843556,3.4969687,10.532999],"EPOL^FG_TOTAL_RETURNC(-5AY,0,AM)":[11.967314,5.42053,-4.3002725,-0.93506575,0.6292701,9.275663,5.5301547,-1.087451,0.32066107,5.0228357,1.7391324,-2.8632462,-8.183014,8.871627,-9.653026,-15.706545,8.060741,-21.135134,4.160714,-8.964146,6.783366,-12.5,-16.237318,36.62629,1.7053246,14.51639,-6.257457,-1.7164648,3.040111,10.671687,5.9557676,3.9614558,4.016483,-12.623769,2.7762055,11.466372,11.424339,-1.2796283,3.100419,4.488325,3.5223365,2.5103688,-4.782653,8.921612,-10.57654,3.8683891,2.1832228,-5.236697,0.8399606,-3.0724585,18.233072,6.8362474,1.3764858,13.321102,-0.8419633,6.164229,4.663527,-2.5119603,-2.515328,8.747637,2.0543933],"EPHE^FG_TOTAL_RETURNC(-5AY,0,AM)":[3.5871506,1.7101884,-5.2678823,-4.4865727,-2.2494197,-1.5228391,9.571684,-5.3836465,-3.420657,6.2543154,2.308941,5.2447557,-1.9329488,-3.264296,2.1249413,-5.788481,0.33210516,-6.2231007,-2.643615,-6.4563456,6.9019675,-4.1452703,-14.657479,12.511217,5.101633,5.5701613,2.7787805,-7.514042,0.7213354,0.98001957,-3.1732976,0.4682064,-2.174753,-1.4489889,-0.6243706,0.0,1.824081,5.3565145,4.609525,1.2381673,-5.0359726,-3.7878811,-3.844297,4.364097,2.4691343,9.016716,2.1746874,-7.501745,-2.753675,-3.042549,-3.95481,5.3361416,-0.43877363,10.657061,1.1223674,-1.7066181,-3.4647942,-0.725472,-4.3461504,-5.870533,6.8774104],"EIDO^FG_TOTAL_RETURNC(-5AY,0,AM)":[7.030523,6.141901,-2.0508587,-2.8475642,-6.5948305,0.7844925,2.5240302,-8.629215,0.24594069,4.857707,10.060835,2.0833373,-2.1657646,0.5351305,1.3219595,2.525258,0.32840967,-2.782327,-0.7236004,-6.8357706,11.21366,1.1203289,-5.580634,3.2159925,-5.347371,-2.4053037,7.7348113,-5.5128155,7.1913123,0.42192936,0.6151676,-1.7902732,-0.5208373,0.1308918,-4.5315924,-4.2902827,1.7644286,5.7685375,0.08932352,2.275765,-5.0174475,-5.9255896,-4.4700623,7.35451,0.9364128,8.105469,-1.0840118,-6.986296,0.88363886,-9.799433,-5.2054825,-4.8554897,-3.5844445,9.703838,8.615744,-2.9565215,0.6155491,-1.8909931,-1.8707454,6.5858006,1.2466073],"ECH^FG_TOTAL_RETURNC(-5AY,0,AM)":[4.52224,12.303925,0.062465668,7.646692,1.565659,-8.307165,-6.722796,-5.5329204,-0.5749166,0.18069744,-11.291486,11.956083,-8.10026,-0.50922036,8.740246,-0.7924497,5.1730633,-9.330922,14.923143,-16.353792,18.040573,3.8391232,-14.929575,13.824499,-1.1272728,5.591345,4.608798,-1.5027344,-2.6699066,7.374418,1.0885239,2.5256038,-1.8475354,-9.8524685,-4.7027826,-2.566123,8.225274,-1.2783289,-5.687028,5.8680773,5.8486223,1.5529037,-1.8217623,0.5574107,-5.3954124,-1.1328161,5.689454,-6.2803745,3.589952,-3.1449735,12.923813,3.8149118,-3.4025192,13.420224,1.0558963,-4.2120876,3.1465054,8.102953,-7.4074087,15.873014,7.6164365],"CNYA^FG_TOTAL_RETURNC(-5AY,0,AM)":[1.1335015,12.536371,8.662642,-13.396335,-2.5148332,1.5332222,6.0697317,-1.3580799,-0.3212571,0.7596731,-2.3989022,1.9896984,3.1673193,-5.545068,-5.7047844,-5.2684546,-5.0292788,-8.65789,8.331394,3.5744667,-2.19118,-4.9845934,-11.759501,4.308617,4.2907476,4.7980547,0.6002426,-4.6539426,3.0976295,-3.702581,-6.7723694,0.3726244,-0.6375313,-2.7549922,-1.9214034,-2.9198825,-1.5957415,-4.6669903,0.89205503,8.361268,-3.464979,4.862988,-4.2432127,-0.8481145,-3.2659411,-3.3360124,25.363827,1.028192,-3.545636,-8.584732,5.783856,2.5539637,-4.980707,2.5470614,1.8358588,3.628087,3.7500024,12.031687,-3.005308,4.7083974,-1.1024117],"ECH^JULIAN(FG_TOTAL_RETURNC(-5AY,0,AM).DATES)":[44176,44207,44238,44266,44295,44327,44358,44386,44419,44449,44480,44511,44540,44572,44603,44631,44662,44692,44722,44753,44784,44813,44845,44876,44904,44937,44967,44995,45027,45057,45086,45118,45149,45180,45210,45240,45271,45302,45331,45362,45393,45422,45454,45484,45513,45546,45576,45607,45637,45667,45699,45727,45758,45786,45819,45849,45880,45911,45940,45972,46002]}]]></FdsFormulaCache>
</file>

<file path=customXml/itemProps1.xml><?xml version="1.0" encoding="utf-8"?>
<ds:datastoreItem xmlns:ds="http://schemas.openxmlformats.org/officeDocument/2006/customXml" ds:itemID="{9F2428DF-9E50-45C9-BFAE-196774302274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2025-12-12T09:31:17Z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